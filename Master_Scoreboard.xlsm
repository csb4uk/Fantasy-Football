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36\projects\ESPN_Data\Master_Sheets\"/>
    </mc:Choice>
  </mc:AlternateContent>
  <xr:revisionPtr revIDLastSave="0" documentId="10_ncr:8100000_{266DF22C-E853-4F77-84EA-FADE87668457}" xr6:coauthVersionLast="34" xr6:coauthVersionMax="34" xr10:uidLastSave="{00000000-0000-0000-0000-000000000000}"/>
  <bookViews>
    <workbookView xWindow="240" yWindow="15" windowWidth="16095" windowHeight="9660" tabRatio="787" activeTab="1" xr2:uid="{00000000-000D-0000-FFFF-FFFF00000000}"/>
  </bookViews>
  <sheets>
    <sheet name="Key" sheetId="17" r:id="rId1"/>
    <sheet name="Main" sheetId="16" r:id="rId2"/>
    <sheet name="Points For" sheetId="21" r:id="rId3"/>
    <sheet name="Schedule Optimizer" sheetId="22" r:id="rId4"/>
    <sheet name="Week 1" sheetId="1" r:id="rId5"/>
    <sheet name="Week 2" sheetId="8" r:id="rId6"/>
    <sheet name="Week 3" sheetId="9" r:id="rId7"/>
    <sheet name="Week 4" sheetId="10" r:id="rId8"/>
    <sheet name="Week 5" sheetId="11" r:id="rId9"/>
    <sheet name="Week 6" sheetId="12" r:id="rId10"/>
    <sheet name="Week 7" sheetId="13" r:id="rId11"/>
    <sheet name="Week 8" sheetId="14" r:id="rId12"/>
    <sheet name="Week 9" sheetId="15" r:id="rId13"/>
    <sheet name="Week 10" sheetId="3" r:id="rId14"/>
    <sheet name="Week 11" sheetId="4" r:id="rId15"/>
    <sheet name="Week 12" sheetId="5" r:id="rId16"/>
    <sheet name="Week 13" sheetId="6" r:id="rId17"/>
    <sheet name="Week 14" sheetId="18" r:id="rId18"/>
    <sheet name="Week 15" sheetId="19" r:id="rId19"/>
    <sheet name="Week 16" sheetId="20" r:id="rId20"/>
  </sheets>
  <calcPr calcId="162913"/>
</workbook>
</file>

<file path=xl/calcChain.xml><?xml version="1.0" encoding="utf-8"?>
<calcChain xmlns="http://schemas.openxmlformats.org/spreadsheetml/2006/main">
  <c r="C23" i="20" l="1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Q10" i="21"/>
  <c r="R14" i="21"/>
  <c r="P6" i="21"/>
  <c r="AV9" i="16"/>
  <c r="C5" i="21"/>
  <c r="AP8" i="16"/>
  <c r="L7" i="21"/>
  <c r="G3" i="21"/>
  <c r="BG7" i="22"/>
  <c r="G10" i="21"/>
  <c r="H14" i="21"/>
  <c r="L3" i="21"/>
  <c r="BO9" i="22"/>
  <c r="M13" i="21"/>
  <c r="R3" i="21"/>
  <c r="E7" i="21"/>
  <c r="BK12" i="22"/>
  <c r="K5" i="21"/>
  <c r="L9" i="21"/>
  <c r="M5" i="21"/>
  <c r="G9" i="21"/>
  <c r="AS13" i="16"/>
  <c r="R11" i="21"/>
  <c r="BK4" i="22"/>
  <c r="AS10" i="16"/>
  <c r="R12" i="21"/>
  <c r="P4" i="21"/>
  <c r="Q8" i="21"/>
  <c r="AP11" i="16"/>
  <c r="J12" i="21"/>
  <c r="AP3" i="16"/>
  <c r="AS8" i="16"/>
  <c r="AV10" i="16"/>
  <c r="C41" i="16"/>
  <c r="R22" i="16"/>
  <c r="P29" i="16"/>
  <c r="C39" i="16"/>
  <c r="P23" i="16"/>
  <c r="R23" i="16"/>
  <c r="BO13" i="22"/>
  <c r="O12" i="21"/>
  <c r="BO12" i="22"/>
  <c r="BK5" i="22"/>
  <c r="AP4" i="16"/>
  <c r="P22" i="16"/>
  <c r="P20" i="16"/>
  <c r="R29" i="16"/>
  <c r="AS7" i="16"/>
  <c r="F13" i="21"/>
  <c r="R8" i="21"/>
  <c r="C7" i="21"/>
  <c r="P31" i="16"/>
  <c r="BO14" i="22"/>
  <c r="H9" i="21"/>
  <c r="M12" i="21"/>
  <c r="Q31" i="16"/>
  <c r="M6" i="21"/>
  <c r="N10" i="21"/>
  <c r="O14" i="21"/>
  <c r="AS9" i="16"/>
  <c r="J5" i="21"/>
  <c r="I4" i="21"/>
  <c r="N11" i="21"/>
  <c r="E11" i="21"/>
  <c r="E14" i="21"/>
  <c r="C6" i="21"/>
  <c r="D10" i="21"/>
  <c r="AP12" i="16"/>
  <c r="D13" i="21"/>
  <c r="AP6" i="16"/>
  <c r="P11" i="21"/>
  <c r="G11" i="21"/>
  <c r="BG9" i="22"/>
  <c r="R13" i="21"/>
  <c r="P5" i="21"/>
  <c r="K11" i="21"/>
  <c r="J13" i="21"/>
  <c r="E8" i="21"/>
  <c r="M7" i="21"/>
  <c r="F7" i="21"/>
  <c r="N8" i="21"/>
  <c r="L12" i="21"/>
  <c r="F8" i="21"/>
  <c r="AP5" i="16"/>
  <c r="Q21" i="16"/>
  <c r="C38" i="16"/>
  <c r="P21" i="16"/>
  <c r="L5" i="21"/>
  <c r="K12" i="21"/>
  <c r="G4" i="21"/>
  <c r="R30" i="16"/>
  <c r="P13" i="21"/>
  <c r="AS5" i="16"/>
  <c r="C40" i="16"/>
  <c r="Q24" i="16"/>
  <c r="BO11" i="22"/>
  <c r="L14" i="21"/>
  <c r="R6" i="21"/>
  <c r="K10" i="21"/>
  <c r="AS12" i="16"/>
  <c r="I5" i="21"/>
  <c r="C8" i="21"/>
  <c r="Q7" i="21"/>
  <c r="E4" i="21"/>
  <c r="I10" i="21"/>
  <c r="J14" i="21"/>
  <c r="H6" i="21"/>
  <c r="AV8" i="16"/>
  <c r="C13" i="21"/>
  <c r="H12" i="21"/>
  <c r="O3" i="21"/>
  <c r="J7" i="21"/>
  <c r="BG14" i="22"/>
  <c r="N9" i="21"/>
  <c r="O13" i="21"/>
  <c r="AV14" i="16"/>
  <c r="I13" i="21"/>
  <c r="H4" i="21"/>
  <c r="P3" i="21"/>
  <c r="I3" i="21"/>
  <c r="BK11" i="22"/>
  <c r="R4" i="21"/>
  <c r="K8" i="21"/>
  <c r="D3" i="21"/>
  <c r="BK3" i="22"/>
  <c r="J4" i="21"/>
  <c r="N7" i="21"/>
  <c r="BG5" i="22"/>
  <c r="C45" i="16"/>
  <c r="C37" i="16"/>
  <c r="P30" i="16"/>
  <c r="Q27" i="16"/>
  <c r="P26" i="16"/>
  <c r="P28" i="16"/>
  <c r="C44" i="16"/>
  <c r="R28" i="16"/>
  <c r="Q6" i="21"/>
  <c r="BG13" i="22"/>
  <c r="BO6" i="22"/>
  <c r="I14" i="21"/>
  <c r="D9" i="21"/>
  <c r="M9" i="21"/>
  <c r="L11" i="21"/>
  <c r="AV11" i="16"/>
  <c r="Q23" i="16"/>
  <c r="Q29" i="16"/>
  <c r="O9" i="21"/>
  <c r="H8" i="21"/>
  <c r="H7" i="21"/>
  <c r="BO4" i="22"/>
  <c r="P10" i="21"/>
  <c r="Q14" i="21"/>
  <c r="G7" i="21"/>
  <c r="AP10" i="16"/>
  <c r="H5" i="21"/>
  <c r="E12" i="21"/>
  <c r="N5" i="21"/>
  <c r="J10" i="21"/>
  <c r="E6" i="21"/>
  <c r="F10" i="21"/>
  <c r="G14" i="21"/>
  <c r="AS6" i="16"/>
  <c r="F9" i="21"/>
  <c r="G12" i="21"/>
  <c r="M11" i="21"/>
  <c r="E3" i="21"/>
  <c r="L13" i="21"/>
  <c r="R5" i="21"/>
  <c r="K9" i="21"/>
  <c r="AV7" i="16"/>
  <c r="H13" i="21"/>
  <c r="F12" i="21"/>
  <c r="K7" i="21"/>
  <c r="H3" i="21"/>
  <c r="BK7" i="22"/>
  <c r="Q12" i="21"/>
  <c r="O4" i="21"/>
  <c r="N6" i="21"/>
  <c r="BK13" i="22"/>
  <c r="I12" i="21"/>
  <c r="Q3" i="21"/>
  <c r="I11" i="21"/>
  <c r="R31" i="16"/>
  <c r="Q26" i="16"/>
  <c r="Q30" i="16"/>
  <c r="R21" i="16"/>
  <c r="R24" i="16"/>
  <c r="BG12" i="22"/>
  <c r="M4" i="21"/>
  <c r="AV3" i="16"/>
  <c r="H10" i="21"/>
  <c r="AP7" i="16"/>
  <c r="K3" i="21"/>
  <c r="AP9" i="16"/>
  <c r="F6" i="21"/>
  <c r="Q4" i="21"/>
  <c r="R7" i="21"/>
  <c r="Q20" i="16"/>
  <c r="J11" i="21"/>
  <c r="BK10" i="22"/>
  <c r="C4" i="21"/>
  <c r="Q28" i="16"/>
  <c r="BK14" i="22"/>
  <c r="L6" i="21"/>
  <c r="M10" i="21"/>
  <c r="D12" i="21"/>
  <c r="BK8" i="22"/>
  <c r="C9" i="21"/>
  <c r="E5" i="21"/>
  <c r="AV5" i="16"/>
  <c r="BO3" i="22"/>
  <c r="D14" i="21"/>
  <c r="J6" i="21"/>
  <c r="C10" i="21"/>
  <c r="AS11" i="16"/>
  <c r="E9" i="21"/>
  <c r="J8" i="21"/>
  <c r="P7" i="21"/>
  <c r="F5" i="21"/>
  <c r="P9" i="21"/>
  <c r="Q13" i="21"/>
  <c r="O5" i="21"/>
  <c r="AP14" i="16"/>
  <c r="G13" i="21"/>
  <c r="I8" i="21"/>
  <c r="N3" i="21"/>
  <c r="F11" i="21"/>
  <c r="BG11" i="22"/>
  <c r="M8" i="21"/>
  <c r="N12" i="21"/>
  <c r="R10" i="21"/>
  <c r="BG3" i="22"/>
  <c r="D8" i="21"/>
  <c r="O11" i="21"/>
  <c r="H11" i="21"/>
  <c r="C36" i="16"/>
  <c r="P24" i="16"/>
  <c r="P25" i="16"/>
  <c r="R27" i="16"/>
  <c r="C47" i="16"/>
  <c r="K14" i="21"/>
  <c r="J9" i="21"/>
  <c r="BO7" i="22"/>
  <c r="L4" i="21"/>
  <c r="Q9" i="21"/>
  <c r="N13" i="21"/>
  <c r="F3" i="21"/>
  <c r="C12" i="21"/>
  <c r="C46" i="16"/>
  <c r="D4" i="21"/>
  <c r="AV6" i="16"/>
  <c r="K4" i="21"/>
  <c r="N14" i="21"/>
  <c r="P27" i="16"/>
  <c r="BG8" i="22"/>
  <c r="O10" i="21"/>
  <c r="P14" i="21"/>
  <c r="G6" i="21"/>
  <c r="BG6" i="22"/>
  <c r="P8" i="21"/>
  <c r="BG10" i="22"/>
  <c r="J3" i="21"/>
  <c r="BK6" i="22"/>
  <c r="D6" i="21"/>
  <c r="E10" i="21"/>
  <c r="I9" i="21"/>
  <c r="O7" i="21"/>
  <c r="G5" i="21"/>
  <c r="AV13" i="16"/>
  <c r="BK9" i="22"/>
  <c r="BO10" i="22"/>
  <c r="K13" i="21"/>
  <c r="Q5" i="21"/>
  <c r="R9" i="21"/>
  <c r="BO5" i="22"/>
  <c r="E13" i="21"/>
  <c r="AS4" i="16"/>
  <c r="C11" i="21"/>
  <c r="D11" i="21"/>
  <c r="O8" i="21"/>
  <c r="P12" i="21"/>
  <c r="N4" i="21"/>
  <c r="AV4" i="16"/>
  <c r="G8" i="21"/>
  <c r="F4" i="21"/>
  <c r="M3" i="21"/>
  <c r="I7" i="21"/>
  <c r="C42" i="16"/>
  <c r="C43" i="16"/>
  <c r="Q25" i="16"/>
  <c r="R20" i="16"/>
  <c r="R26" i="16"/>
  <c r="Q22" i="16"/>
  <c r="M14" i="21"/>
  <c r="K6" i="21"/>
  <c r="L10" i="21"/>
  <c r="AP13" i="16"/>
  <c r="D5" i="21"/>
  <c r="AV12" i="16"/>
  <c r="Q11" i="21"/>
  <c r="D7" i="21"/>
  <c r="BG4" i="22"/>
  <c r="C14" i="21"/>
  <c r="I6" i="21"/>
  <c r="F14" i="21"/>
  <c r="AS3" i="16"/>
  <c r="BO8" i="22"/>
  <c r="C3" i="21"/>
  <c r="AS14" i="16"/>
  <c r="L8" i="21"/>
  <c r="O6" i="21"/>
  <c r="R25" i="16"/>
  <c r="Y7" i="21" l="1"/>
  <c r="T7" i="21"/>
  <c r="S7" i="21"/>
  <c r="BH5" i="22"/>
  <c r="BE10" i="22"/>
  <c r="BE12" i="22"/>
  <c r="BE5" i="22"/>
  <c r="BE6" i="22"/>
  <c r="BE3" i="22"/>
  <c r="BE13" i="22"/>
  <c r="BE14" i="22"/>
  <c r="BE8" i="22"/>
  <c r="BE7" i="22"/>
  <c r="BE4" i="22"/>
  <c r="BE11" i="22"/>
  <c r="BE9" i="22"/>
  <c r="BL5" i="22"/>
  <c r="S4" i="21"/>
  <c r="T4" i="21"/>
  <c r="Y4" i="21"/>
  <c r="Y12" i="21"/>
  <c r="S12" i="21"/>
  <c r="T12" i="21"/>
  <c r="BH3" i="22"/>
  <c r="BL13" i="22"/>
  <c r="BL3" i="22"/>
  <c r="BP12" i="22"/>
  <c r="BA4" i="22"/>
  <c r="BA14" i="22"/>
  <c r="BA7" i="22"/>
  <c r="BA12" i="22"/>
  <c r="BA11" i="22"/>
  <c r="BA8" i="22"/>
  <c r="BA3" i="22"/>
  <c r="BA6" i="22"/>
  <c r="BA5" i="22"/>
  <c r="BA13" i="22"/>
  <c r="BA9" i="22"/>
  <c r="BA10" i="22"/>
  <c r="W4" i="21"/>
  <c r="V4" i="21"/>
  <c r="V12" i="21"/>
  <c r="W12" i="21"/>
  <c r="BH11" i="22"/>
  <c r="BL7" i="22"/>
  <c r="BL11" i="22"/>
  <c r="BP13" i="22"/>
  <c r="BL4" i="22"/>
  <c r="T11" i="21"/>
  <c r="S11" i="21"/>
  <c r="Y11" i="21"/>
  <c r="W3" i="21"/>
  <c r="V3" i="21"/>
  <c r="BL10" i="22"/>
  <c r="U5" i="22"/>
  <c r="U10" i="22"/>
  <c r="U7" i="22"/>
  <c r="U11" i="22"/>
  <c r="U4" i="22"/>
  <c r="U3" i="22"/>
  <c r="U9" i="22"/>
  <c r="U14" i="22"/>
  <c r="U8" i="22"/>
  <c r="U13" i="22"/>
  <c r="U6" i="22"/>
  <c r="U12" i="22"/>
  <c r="BP5" i="22"/>
  <c r="Y3" i="21"/>
  <c r="T3" i="21"/>
  <c r="S3" i="21"/>
  <c r="W5" i="21"/>
  <c r="V5" i="21"/>
  <c r="V13" i="21"/>
  <c r="W13" i="21"/>
  <c r="W9" i="21"/>
  <c r="V9" i="21"/>
  <c r="BH14" i="22"/>
  <c r="BH9" i="22"/>
  <c r="BL12" i="22"/>
  <c r="BP14" i="22"/>
  <c r="BP10" i="22"/>
  <c r="BL9" i="22"/>
  <c r="V7" i="21"/>
  <c r="W7" i="21"/>
  <c r="W11" i="21"/>
  <c r="V11" i="21"/>
  <c r="BP8" i="22"/>
  <c r="T13" i="21"/>
  <c r="S13" i="21"/>
  <c r="Y13" i="21"/>
  <c r="BP9" i="22"/>
  <c r="T10" i="21"/>
  <c r="S10" i="21"/>
  <c r="Y10" i="21"/>
  <c r="AC4" i="22"/>
  <c r="AC8" i="22"/>
  <c r="AC5" i="22"/>
  <c r="AC12" i="22"/>
  <c r="AC3" i="22"/>
  <c r="AC14" i="22"/>
  <c r="AC9" i="22"/>
  <c r="AC6" i="22"/>
  <c r="AC13" i="22"/>
  <c r="AC11" i="22"/>
  <c r="AC10" i="22"/>
  <c r="AC7" i="22"/>
  <c r="AG6" i="22"/>
  <c r="AG14" i="22"/>
  <c r="AG5" i="22"/>
  <c r="AG11" i="22"/>
  <c r="AG7" i="22"/>
  <c r="AG3" i="22"/>
  <c r="AG4" i="22"/>
  <c r="AG13" i="22"/>
  <c r="AG8" i="22"/>
  <c r="AG9" i="22"/>
  <c r="AG10" i="22"/>
  <c r="AG12" i="22"/>
  <c r="AK10" i="22"/>
  <c r="AK13" i="22"/>
  <c r="AK5" i="22"/>
  <c r="AK14" i="22"/>
  <c r="AK9" i="22"/>
  <c r="AK12" i="22"/>
  <c r="AK6" i="22"/>
  <c r="AK7" i="22"/>
  <c r="AK11" i="22"/>
  <c r="AK3" i="22"/>
  <c r="AK8" i="22"/>
  <c r="AK4" i="22"/>
  <c r="I4" i="22"/>
  <c r="I11" i="22"/>
  <c r="T6" i="21"/>
  <c r="I12" i="22"/>
  <c r="I9" i="22"/>
  <c r="S6" i="21"/>
  <c r="I5" i="22"/>
  <c r="I10" i="22"/>
  <c r="I14" i="22"/>
  <c r="I13" i="22"/>
  <c r="I3" i="22"/>
  <c r="Y6" i="21"/>
  <c r="I6" i="22"/>
  <c r="I7" i="22"/>
  <c r="I8" i="22"/>
  <c r="S14" i="21"/>
  <c r="Y14" i="21"/>
  <c r="T14" i="21"/>
  <c r="M11" i="22"/>
  <c r="M14" i="22"/>
  <c r="M3" i="22"/>
  <c r="M9" i="22"/>
  <c r="M8" i="22"/>
  <c r="M7" i="22"/>
  <c r="M4" i="22"/>
  <c r="M13" i="22"/>
  <c r="M5" i="22"/>
  <c r="M10" i="22"/>
  <c r="M6" i="22"/>
  <c r="M12" i="22"/>
  <c r="Q11" i="22"/>
  <c r="Q4" i="22"/>
  <c r="Q12" i="22"/>
  <c r="Q8" i="22"/>
  <c r="Q9" i="22"/>
  <c r="Q10" i="22"/>
  <c r="Q13" i="22"/>
  <c r="Q3" i="22"/>
  <c r="Q5" i="22"/>
  <c r="Q7" i="22"/>
  <c r="Q14" i="22"/>
  <c r="Q6" i="22"/>
  <c r="BH7" i="22"/>
  <c r="BH4" i="22"/>
  <c r="BL6" i="22"/>
  <c r="BP7" i="22"/>
  <c r="BP3" i="22"/>
  <c r="BP6" i="22"/>
  <c r="BH10" i="22"/>
  <c r="Y8" i="21"/>
  <c r="S8" i="21"/>
  <c r="T8" i="21"/>
  <c r="V8" i="21"/>
  <c r="W8" i="21"/>
  <c r="Y9" i="21"/>
  <c r="T9" i="21"/>
  <c r="S9" i="21"/>
  <c r="Y5" i="21"/>
  <c r="T5" i="21"/>
  <c r="S5" i="21"/>
  <c r="BH6" i="22"/>
  <c r="BH13" i="22"/>
  <c r="BL8" i="22"/>
  <c r="Y4" i="22"/>
  <c r="Y11" i="22"/>
  <c r="Y3" i="22"/>
  <c r="Y13" i="22"/>
  <c r="Y9" i="22"/>
  <c r="Y12" i="22"/>
  <c r="Y14" i="22"/>
  <c r="Y5" i="22"/>
  <c r="Y8" i="22"/>
  <c r="Y6" i="22"/>
  <c r="Y10" i="22"/>
  <c r="Y7" i="22"/>
  <c r="BI10" i="22"/>
  <c r="V6" i="21"/>
  <c r="BI13" i="22"/>
  <c r="BI11" i="22"/>
  <c r="BI4" i="22"/>
  <c r="BI7" i="22"/>
  <c r="BI14" i="22"/>
  <c r="BI12" i="22"/>
  <c r="BI8" i="22"/>
  <c r="BI9" i="22"/>
  <c r="W6" i="21"/>
  <c r="BI3" i="22"/>
  <c r="BI6" i="22"/>
  <c r="BI5" i="22"/>
  <c r="BJ5" i="22" s="1"/>
  <c r="W14" i="21"/>
  <c r="V14" i="21"/>
  <c r="BM4" i="22"/>
  <c r="BM6" i="22"/>
  <c r="BM9" i="22"/>
  <c r="BM8" i="22"/>
  <c r="BN8" i="22" s="1"/>
  <c r="BM14" i="22"/>
  <c r="BM11" i="22"/>
  <c r="BM13" i="22"/>
  <c r="BN13" i="22" s="1"/>
  <c r="BM7" i="22"/>
  <c r="BN7" i="22" s="1"/>
  <c r="BM5" i="22"/>
  <c r="BN5" i="22" s="1"/>
  <c r="BM10" i="22"/>
  <c r="BM3" i="22"/>
  <c r="BM12" i="22"/>
  <c r="BQ9" i="22"/>
  <c r="BQ5" i="22"/>
  <c r="BR5" i="22" s="1"/>
  <c r="BQ4" i="22"/>
  <c r="BQ8" i="22"/>
  <c r="BQ7" i="22"/>
  <c r="BQ11" i="22"/>
  <c r="BQ12" i="22"/>
  <c r="BQ3" i="22"/>
  <c r="BR3" i="22" s="1"/>
  <c r="BQ14" i="22"/>
  <c r="BQ13" i="22"/>
  <c r="BQ10" i="22"/>
  <c r="BR10" i="22" s="1"/>
  <c r="BQ6" i="22"/>
  <c r="AO13" i="22"/>
  <c r="AO3" i="22"/>
  <c r="AO5" i="22"/>
  <c r="AO8" i="22"/>
  <c r="AO11" i="22"/>
  <c r="AO7" i="22"/>
  <c r="AO14" i="22"/>
  <c r="AO10" i="22"/>
  <c r="AO6" i="22"/>
  <c r="AO4" i="22"/>
  <c r="AO9" i="22"/>
  <c r="AO12" i="22"/>
  <c r="AS13" i="22"/>
  <c r="AS10" i="22"/>
  <c r="AS12" i="22"/>
  <c r="AS14" i="22"/>
  <c r="AS7" i="22"/>
  <c r="AS3" i="22"/>
  <c r="AS5" i="22"/>
  <c r="AS11" i="22"/>
  <c r="AS6" i="22"/>
  <c r="AS4" i="22"/>
  <c r="AS8" i="22"/>
  <c r="AS9" i="22"/>
  <c r="W10" i="21"/>
  <c r="V10" i="21"/>
  <c r="AW8" i="22"/>
  <c r="AW4" i="22"/>
  <c r="AW13" i="22"/>
  <c r="AW14" i="22"/>
  <c r="AW12" i="22"/>
  <c r="AW10" i="22"/>
  <c r="AW11" i="22"/>
  <c r="AW3" i="22"/>
  <c r="AW7" i="22"/>
  <c r="AW5" i="22"/>
  <c r="AW9" i="22"/>
  <c r="AW6" i="22"/>
  <c r="BH8" i="22"/>
  <c r="BH12" i="22"/>
  <c r="BL14" i="22"/>
  <c r="BP4" i="22"/>
  <c r="BP11" i="22"/>
  <c r="X31" i="16"/>
  <c r="X24" i="16"/>
  <c r="X26" i="16"/>
  <c r="X28" i="16"/>
  <c r="X25" i="16"/>
  <c r="X21" i="16"/>
  <c r="X23" i="16"/>
  <c r="X27" i="16"/>
  <c r="X22" i="16"/>
  <c r="X20" i="16"/>
  <c r="X29" i="16"/>
  <c r="X30" i="16"/>
  <c r="W20" i="16"/>
  <c r="W31" i="16"/>
  <c r="W24" i="16"/>
  <c r="W26" i="16"/>
  <c r="W28" i="16"/>
  <c r="W25" i="16"/>
  <c r="W21" i="16"/>
  <c r="W29" i="16"/>
  <c r="W23" i="16"/>
  <c r="W27" i="16"/>
  <c r="W22" i="16"/>
  <c r="W30" i="1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2" i="11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" i="1"/>
  <c r="C3" i="1"/>
  <c r="C4" i="1"/>
  <c r="AW7" i="16"/>
  <c r="AU3" i="22"/>
  <c r="W4" i="22"/>
  <c r="I46" i="16"/>
  <c r="D45" i="16"/>
  <c r="D31" i="16"/>
  <c r="O26" i="16"/>
  <c r="AG6" i="16"/>
  <c r="AJ9" i="16"/>
  <c r="F26" i="16"/>
  <c r="O10" i="16"/>
  <c r="H22" i="16"/>
  <c r="I25" i="16"/>
  <c r="AW14" i="16"/>
  <c r="AQ9" i="22"/>
  <c r="S11" i="22"/>
  <c r="G14" i="22"/>
  <c r="G26" i="16"/>
  <c r="L9" i="16"/>
  <c r="D26" i="16"/>
  <c r="X6" i="16"/>
  <c r="K12" i="22"/>
  <c r="AJ10" i="16"/>
  <c r="F38" i="16"/>
  <c r="AT6" i="16"/>
  <c r="AQ10" i="22"/>
  <c r="R10" i="16"/>
  <c r="C12" i="16"/>
  <c r="G31" i="16"/>
  <c r="AQ11" i="16"/>
  <c r="AU10" i="22"/>
  <c r="W12" i="22"/>
  <c r="C24" i="16"/>
  <c r="AQ12" i="16"/>
  <c r="AM6" i="22"/>
  <c r="O12" i="22"/>
  <c r="G21" i="16"/>
  <c r="N21" i="16"/>
  <c r="AJ5" i="16"/>
  <c r="C10" i="16"/>
  <c r="L8" i="16"/>
  <c r="S9" i="22"/>
  <c r="F31" i="16"/>
  <c r="AY7" i="22"/>
  <c r="AA8" i="22"/>
  <c r="M21" i="16"/>
  <c r="D41" i="16"/>
  <c r="AQ13" i="22"/>
  <c r="AA13" i="22"/>
  <c r="M30" i="16"/>
  <c r="N29" i="16"/>
  <c r="I40" i="16"/>
  <c r="F39" i="16"/>
  <c r="K30" i="16"/>
  <c r="R9" i="16"/>
  <c r="D23" i="16"/>
  <c r="AD4" i="16"/>
  <c r="I13" i="16"/>
  <c r="AW12" i="16"/>
  <c r="AD8" i="16"/>
  <c r="C29" i="16"/>
  <c r="O10" i="22"/>
  <c r="AW5" i="16"/>
  <c r="AE14" i="22"/>
  <c r="O20" i="16"/>
  <c r="I6" i="16"/>
  <c r="W10" i="22"/>
  <c r="C4" i="16"/>
  <c r="U3" i="16"/>
  <c r="U8" i="16"/>
  <c r="C20" i="16"/>
  <c r="G6" i="22"/>
  <c r="AA11" i="22"/>
  <c r="AT7" i="16"/>
  <c r="G4" i="22"/>
  <c r="AA3" i="16"/>
  <c r="AI9" i="22"/>
  <c r="K5" i="22"/>
  <c r="AT3" i="16"/>
  <c r="AE11" i="22"/>
  <c r="AJ7" i="16"/>
  <c r="O11" i="16"/>
  <c r="AM5" i="16"/>
  <c r="AA7" i="16"/>
  <c r="L23" i="16"/>
  <c r="L26" i="16"/>
  <c r="AU4" i="22"/>
  <c r="W3" i="22"/>
  <c r="O30" i="16"/>
  <c r="AA9" i="22"/>
  <c r="E26" i="16"/>
  <c r="W14" i="22"/>
  <c r="M29" i="16"/>
  <c r="AQ7" i="16"/>
  <c r="AM11" i="22"/>
  <c r="W13" i="22"/>
  <c r="AG11" i="16"/>
  <c r="G30" i="16"/>
  <c r="I38" i="16"/>
  <c r="K20" i="16"/>
  <c r="N28" i="16"/>
  <c r="N27" i="16"/>
  <c r="AA14" i="16"/>
  <c r="I24" i="16"/>
  <c r="X8" i="16"/>
  <c r="C26" i="16"/>
  <c r="AW13" i="16"/>
  <c r="AQ5" i="22"/>
  <c r="S4" i="22"/>
  <c r="F36" i="16"/>
  <c r="I47" i="16"/>
  <c r="U13" i="16"/>
  <c r="E24" i="16"/>
  <c r="X11" i="16"/>
  <c r="AJ3" i="16"/>
  <c r="I43" i="16"/>
  <c r="F11" i="16"/>
  <c r="AW3" i="16"/>
  <c r="AI6" i="22"/>
  <c r="I7" i="16"/>
  <c r="N24" i="16"/>
  <c r="U4" i="16"/>
  <c r="AT13" i="16"/>
  <c r="AU12" i="22"/>
  <c r="W7" i="22"/>
  <c r="AJ11" i="16"/>
  <c r="BC14" i="22"/>
  <c r="AM3" i="22"/>
  <c r="O13" i="22"/>
  <c r="K23" i="16"/>
  <c r="I28" i="16"/>
  <c r="AG5" i="16"/>
  <c r="E25" i="16"/>
  <c r="G22" i="16"/>
  <c r="K13" i="22"/>
  <c r="O23" i="16"/>
  <c r="AY10" i="22"/>
  <c r="AA4" i="22"/>
  <c r="I22" i="16"/>
  <c r="AW11" i="16"/>
  <c r="AQ12" i="22"/>
  <c r="S8" i="22"/>
  <c r="R7" i="16"/>
  <c r="U7" i="16"/>
  <c r="AJ13" i="16"/>
  <c r="L6" i="16"/>
  <c r="O29" i="16"/>
  <c r="X4" i="16"/>
  <c r="C9" i="16"/>
  <c r="O5" i="16"/>
  <c r="AJ14" i="16"/>
  <c r="AG3" i="16"/>
  <c r="AA5" i="16"/>
  <c r="L24" i="16"/>
  <c r="AM14" i="16"/>
  <c r="D43" i="16"/>
  <c r="W5" i="22"/>
  <c r="AQ10" i="16"/>
  <c r="R13" i="16"/>
  <c r="O8" i="22"/>
  <c r="AG10" i="16"/>
  <c r="AQ8" i="22"/>
  <c r="R4" i="16"/>
  <c r="AM7" i="16"/>
  <c r="L12" i="16"/>
  <c r="E31" i="16"/>
  <c r="AM10" i="16"/>
  <c r="R3" i="16"/>
  <c r="M31" i="16"/>
  <c r="U12" i="16"/>
  <c r="O6" i="22"/>
  <c r="F25" i="16"/>
  <c r="AQ4" i="16"/>
  <c r="O25" i="16"/>
  <c r="F41" i="16"/>
  <c r="C22" i="16"/>
  <c r="K4" i="22"/>
  <c r="AE9" i="22"/>
  <c r="U14" i="16"/>
  <c r="J20" i="16"/>
  <c r="AA5" i="22"/>
  <c r="C8" i="16"/>
  <c r="F20" i="16"/>
  <c r="AD5" i="16"/>
  <c r="AQ5" i="16"/>
  <c r="AG4" i="16"/>
  <c r="AA14" i="22"/>
  <c r="E27" i="16"/>
  <c r="M24" i="16"/>
  <c r="AM10" i="22"/>
  <c r="O9" i="16"/>
  <c r="AY14" i="22"/>
  <c r="J30" i="16"/>
  <c r="K28" i="16"/>
  <c r="C25" i="16"/>
  <c r="AT12" i="16"/>
  <c r="AM4" i="22"/>
  <c r="O9" i="22"/>
  <c r="C21" i="16"/>
  <c r="O21" i="16"/>
  <c r="N25" i="16"/>
  <c r="L14" i="16"/>
  <c r="D36" i="16"/>
  <c r="H24" i="16"/>
  <c r="AA12" i="22"/>
  <c r="AJ6" i="16"/>
  <c r="I9" i="16"/>
  <c r="O4" i="16"/>
  <c r="AT11" i="16"/>
  <c r="AI8" i="22"/>
  <c r="S3" i="22"/>
  <c r="AD14" i="16"/>
  <c r="M22" i="16"/>
  <c r="C23" i="16"/>
  <c r="AD6" i="16"/>
  <c r="F30" i="16"/>
  <c r="AA9" i="16"/>
  <c r="D37" i="16"/>
  <c r="J21" i="16"/>
  <c r="AW9" i="16"/>
  <c r="AI13" i="22"/>
  <c r="X7" i="16"/>
  <c r="I45" i="16"/>
  <c r="U10" i="16"/>
  <c r="AW8" i="16"/>
  <c r="AM7" i="22"/>
  <c r="W9" i="22"/>
  <c r="K29" i="16"/>
  <c r="BC9" i="22"/>
  <c r="AE4" i="22"/>
  <c r="O14" i="22"/>
  <c r="F22" i="16"/>
  <c r="AM9" i="16"/>
  <c r="I10" i="16"/>
  <c r="O24" i="16"/>
  <c r="H29" i="16"/>
  <c r="K3" i="22"/>
  <c r="M23" i="16"/>
  <c r="AQ11" i="22"/>
  <c r="AA3" i="22"/>
  <c r="J24" i="16"/>
  <c r="AT4" i="16"/>
  <c r="S13" i="22"/>
  <c r="F14" i="16"/>
  <c r="D27" i="16"/>
  <c r="AM6" i="16"/>
  <c r="K31" i="16"/>
  <c r="M28" i="16"/>
  <c r="F40" i="16"/>
  <c r="R11" i="16"/>
  <c r="I30" i="16"/>
  <c r="AU8" i="22"/>
  <c r="I37" i="16"/>
  <c r="L13" i="16"/>
  <c r="AW10" i="16"/>
  <c r="E21" i="16"/>
  <c r="K26" i="16"/>
  <c r="AU13" i="22"/>
  <c r="L21" i="16"/>
  <c r="AY13" i="22"/>
  <c r="O3" i="16"/>
  <c r="O7" i="16"/>
  <c r="AU9" i="22"/>
  <c r="G13" i="22"/>
  <c r="F12" i="16"/>
  <c r="AT8" i="16"/>
  <c r="S10" i="22"/>
  <c r="L4" i="16"/>
  <c r="AE13" i="22"/>
  <c r="C13" i="16"/>
  <c r="F45" i="16"/>
  <c r="AI10" i="22"/>
  <c r="D42" i="16"/>
  <c r="F28" i="16"/>
  <c r="G24" i="16"/>
  <c r="BC8" i="22"/>
  <c r="AM5" i="22"/>
  <c r="O11" i="22"/>
  <c r="E23" i="16"/>
  <c r="L30" i="16"/>
  <c r="C3" i="16"/>
  <c r="I20" i="16"/>
  <c r="L25" i="16"/>
  <c r="I27" i="16"/>
  <c r="S5" i="22"/>
  <c r="C30" i="16"/>
  <c r="H30" i="16"/>
  <c r="L11" i="16"/>
  <c r="AT9" i="16"/>
  <c r="AI4" i="22"/>
  <c r="K14" i="22"/>
  <c r="X10" i="16"/>
  <c r="F10" i="16"/>
  <c r="N26" i="16"/>
  <c r="J28" i="16"/>
  <c r="I11" i="16"/>
  <c r="X14" i="16"/>
  <c r="E22" i="16"/>
  <c r="I23" i="16"/>
  <c r="AY12" i="22"/>
  <c r="AI12" i="22"/>
  <c r="F29" i="16"/>
  <c r="R8" i="16"/>
  <c r="I26" i="16"/>
  <c r="AQ13" i="16"/>
  <c r="AM13" i="22"/>
  <c r="O4" i="22"/>
  <c r="X9" i="16"/>
  <c r="BC3" i="22"/>
  <c r="AE12" i="22"/>
  <c r="G7" i="22"/>
  <c r="C28" i="16"/>
  <c r="AM13" i="16"/>
  <c r="AD11" i="16"/>
  <c r="K22" i="16"/>
  <c r="H27" i="16"/>
  <c r="D44" i="16"/>
  <c r="AG8" i="16"/>
  <c r="AQ7" i="22"/>
  <c r="S12" i="22"/>
  <c r="R6" i="16"/>
  <c r="AQ9" i="16"/>
  <c r="AI11" i="22"/>
  <c r="S7" i="22"/>
  <c r="E20" i="16"/>
  <c r="F6" i="16"/>
  <c r="D24" i="16"/>
  <c r="AD10" i="16"/>
  <c r="G23" i="16"/>
  <c r="AQ3" i="16"/>
  <c r="H23" i="16"/>
  <c r="C27" i="16"/>
  <c r="N20" i="16"/>
  <c r="M26" i="16"/>
  <c r="I4" i="16"/>
  <c r="BC12" i="22"/>
  <c r="I21" i="16"/>
  <c r="F37" i="16"/>
  <c r="L20" i="16"/>
  <c r="AM3" i="16"/>
  <c r="D29" i="16"/>
  <c r="D38" i="16"/>
  <c r="BC4" i="22"/>
  <c r="G27" i="16"/>
  <c r="AY3" i="22"/>
  <c r="D22" i="16"/>
  <c r="K21" i="16"/>
  <c r="W11" i="22"/>
  <c r="AA4" i="16"/>
  <c r="L10" i="16"/>
  <c r="F47" i="16"/>
  <c r="M27" i="16"/>
  <c r="R14" i="16"/>
  <c r="AM8" i="16"/>
  <c r="O14" i="16"/>
  <c r="AQ6" i="22"/>
  <c r="F46" i="16"/>
  <c r="AQ6" i="16"/>
  <c r="L5" i="16"/>
  <c r="H21" i="16"/>
  <c r="G12" i="22"/>
  <c r="U5" i="16"/>
  <c r="J22" i="16"/>
  <c r="C11" i="16"/>
  <c r="I14" i="16"/>
  <c r="BC11" i="22"/>
  <c r="AE5" i="22"/>
  <c r="O3" i="22"/>
  <c r="O27" i="16"/>
  <c r="AA8" i="16"/>
  <c r="E30" i="16"/>
  <c r="H26" i="16"/>
  <c r="K27" i="16"/>
  <c r="AG12" i="16"/>
  <c r="K8" i="22"/>
  <c r="AD3" i="16"/>
  <c r="M20" i="16"/>
  <c r="J31" i="16"/>
  <c r="AY4" i="22"/>
  <c r="AI3" i="22"/>
  <c r="K11" i="22"/>
  <c r="N22" i="16"/>
  <c r="U11" i="16"/>
  <c r="AJ12" i="16"/>
  <c r="AA11" i="16"/>
  <c r="F21" i="16"/>
  <c r="F42" i="16"/>
  <c r="O12" i="16"/>
  <c r="D46" i="16"/>
  <c r="AY8" i="22"/>
  <c r="AA7" i="22"/>
  <c r="C5" i="16"/>
  <c r="AJ4" i="16"/>
  <c r="AG14" i="16"/>
  <c r="BC7" i="22"/>
  <c r="AM14" i="22"/>
  <c r="O7" i="22"/>
  <c r="O22" i="16"/>
  <c r="AU11" i="22"/>
  <c r="AE8" i="22"/>
  <c r="G11" i="22"/>
  <c r="O31" i="16"/>
  <c r="F9" i="16"/>
  <c r="H28" i="16"/>
  <c r="O28" i="16"/>
  <c r="D39" i="16"/>
  <c r="L27" i="16"/>
  <c r="L28" i="16"/>
  <c r="AQ3" i="22"/>
  <c r="S14" i="22"/>
  <c r="AM12" i="16"/>
  <c r="AQ8" i="16"/>
  <c r="AI7" i="22"/>
  <c r="K10" i="22"/>
  <c r="X5" i="16"/>
  <c r="F24" i="16"/>
  <c r="H25" i="16"/>
  <c r="H31" i="16"/>
  <c r="G29" i="16"/>
  <c r="AT14" i="16"/>
  <c r="G25" i="16"/>
  <c r="AM4" i="16"/>
  <c r="M25" i="16"/>
  <c r="I3" i="16"/>
  <c r="X3" i="16"/>
  <c r="AU7" i="22"/>
  <c r="D30" i="16"/>
  <c r="H20" i="16"/>
  <c r="F5" i="16"/>
  <c r="I36" i="16"/>
  <c r="K25" i="16"/>
  <c r="G9" i="22"/>
  <c r="N30" i="16"/>
  <c r="L22" i="16"/>
  <c r="O13" i="16"/>
  <c r="AT5" i="16"/>
  <c r="AT10" i="16"/>
  <c r="U9" i="16"/>
  <c r="AD9" i="16"/>
  <c r="AM12" i="22"/>
  <c r="AU5" i="22"/>
  <c r="AA13" i="16"/>
  <c r="G10" i="22"/>
  <c r="AG7" i="16"/>
  <c r="L29" i="16"/>
  <c r="J26" i="16"/>
  <c r="AY11" i="22"/>
  <c r="I8" i="16"/>
  <c r="I44" i="16"/>
  <c r="AM8" i="22"/>
  <c r="BC5" i="22"/>
  <c r="AE6" i="22"/>
  <c r="G5" i="22"/>
  <c r="L7" i="16"/>
  <c r="J29" i="16"/>
  <c r="AD13" i="16"/>
  <c r="AG13" i="16"/>
  <c r="J27" i="16"/>
  <c r="D40" i="16"/>
  <c r="G3" i="22"/>
  <c r="O8" i="16"/>
  <c r="E28" i="16"/>
  <c r="U6" i="16"/>
  <c r="AY9" i="22"/>
  <c r="AA10" i="22"/>
  <c r="K7" i="22"/>
  <c r="C31" i="16"/>
  <c r="N23" i="16"/>
  <c r="F3" i="16"/>
  <c r="O6" i="16"/>
  <c r="I29" i="16"/>
  <c r="AA12" i="16"/>
  <c r="R12" i="16"/>
  <c r="AD7" i="16"/>
  <c r="AY6" i="22"/>
  <c r="S6" i="22"/>
  <c r="AM11" i="16"/>
  <c r="I39" i="16"/>
  <c r="I12" i="16"/>
  <c r="BC13" i="22"/>
  <c r="AE10" i="22"/>
  <c r="O5" i="22"/>
  <c r="X12" i="16"/>
  <c r="AU6" i="22"/>
  <c r="W6" i="22"/>
  <c r="F7" i="16"/>
  <c r="F27" i="16"/>
  <c r="C14" i="16"/>
  <c r="D47" i="16"/>
  <c r="D20" i="16"/>
  <c r="AJ8" i="16"/>
  <c r="R5" i="16"/>
  <c r="AW4" i="16"/>
  <c r="AI5" i="22"/>
  <c r="K9" i="22"/>
  <c r="E29" i="16"/>
  <c r="AY5" i="22"/>
  <c r="AI14" i="22"/>
  <c r="K6" i="22"/>
  <c r="D28" i="16"/>
  <c r="AA10" i="16"/>
  <c r="G20" i="16"/>
  <c r="N31" i="16"/>
  <c r="F4" i="16"/>
  <c r="AQ14" i="16"/>
  <c r="F43" i="16"/>
  <c r="G28" i="16"/>
  <c r="C7" i="16"/>
  <c r="J23" i="16"/>
  <c r="I42" i="16"/>
  <c r="AM9" i="22"/>
  <c r="K24" i="16"/>
  <c r="BC6" i="22"/>
  <c r="D25" i="16"/>
  <c r="AD12" i="16"/>
  <c r="AU14" i="22"/>
  <c r="C6" i="16"/>
  <c r="AE3" i="22"/>
  <c r="F23" i="16"/>
  <c r="AA6" i="22"/>
  <c r="AA6" i="16"/>
  <c r="AQ4" i="22"/>
  <c r="BC10" i="22"/>
  <c r="AG9" i="16"/>
  <c r="L3" i="16"/>
  <c r="G8" i="22"/>
  <c r="X13" i="16"/>
  <c r="I5" i="16"/>
  <c r="J25" i="16"/>
  <c r="W8" i="22"/>
  <c r="I31" i="16"/>
  <c r="I41" i="16"/>
  <c r="AQ14" i="22"/>
  <c r="F8" i="16"/>
  <c r="AW6" i="16"/>
  <c r="L31" i="16"/>
  <c r="F13" i="16"/>
  <c r="F44" i="16"/>
  <c r="D21" i="16"/>
  <c r="AE7" i="22"/>
  <c r="BR13" i="22" l="1"/>
  <c r="BJ6" i="22"/>
  <c r="Z27" i="16"/>
  <c r="Z23" i="16"/>
  <c r="Z21" i="16"/>
  <c r="Z25" i="16"/>
  <c r="Z30" i="16"/>
  <c r="Z28" i="16"/>
  <c r="Z29" i="16"/>
  <c r="Z26" i="16"/>
  <c r="Z24" i="16"/>
  <c r="Z22" i="16"/>
  <c r="Z31" i="16"/>
  <c r="BJ3" i="22"/>
  <c r="E3" i="22" s="1"/>
  <c r="Z20" i="16"/>
  <c r="BR8" i="22"/>
  <c r="BR14" i="22"/>
  <c r="BR7" i="22"/>
  <c r="BN4" i="22"/>
  <c r="BJ13" i="22"/>
  <c r="E13" i="22" s="1"/>
  <c r="BR6" i="22"/>
  <c r="BJ7" i="22"/>
  <c r="F7" i="22" s="1"/>
  <c r="BR9" i="22"/>
  <c r="BR12" i="22"/>
  <c r="BN3" i="22"/>
  <c r="BN9" i="22"/>
  <c r="BJ10" i="22"/>
  <c r="Z6" i="21"/>
  <c r="BN11" i="22"/>
  <c r="E5" i="22"/>
  <c r="BJ4" i="22"/>
  <c r="F5" i="22"/>
  <c r="P8" i="22"/>
  <c r="X10" i="22"/>
  <c r="Z10" i="22" s="1"/>
  <c r="AF7" i="22"/>
  <c r="AN12" i="22"/>
  <c r="AV14" i="22"/>
  <c r="AX14" i="22" s="1"/>
  <c r="BD4" i="22"/>
  <c r="BF4" i="22" s="1"/>
  <c r="AR10" i="16"/>
  <c r="P6" i="22"/>
  <c r="R6" i="22" s="1"/>
  <c r="X5" i="22"/>
  <c r="AF14" i="22"/>
  <c r="AH14" i="22" s="1"/>
  <c r="AN8" i="22"/>
  <c r="AP8" i="22" s="1"/>
  <c r="AV9" i="22"/>
  <c r="BD6" i="22"/>
  <c r="BF6" i="22" s="1"/>
  <c r="AX5" i="16"/>
  <c r="P10" i="22"/>
  <c r="R10" i="22" s="1"/>
  <c r="X14" i="22"/>
  <c r="Z14" i="22" s="1"/>
  <c r="AF11" i="22"/>
  <c r="AN9" i="22"/>
  <c r="AP9" i="22" s="1"/>
  <c r="AV7" i="22"/>
  <c r="AX7" i="22" s="1"/>
  <c r="BD12" i="22"/>
  <c r="AX12" i="16"/>
  <c r="AT15" i="16"/>
  <c r="AU3" i="16"/>
  <c r="AR14" i="16"/>
  <c r="AU14" i="16"/>
  <c r="AR3" i="16"/>
  <c r="AQ15" i="16"/>
  <c r="L5" i="22"/>
  <c r="L6" i="22"/>
  <c r="N6" i="22" s="1"/>
  <c r="L10" i="22"/>
  <c r="N10" i="22" s="1"/>
  <c r="T7" i="22"/>
  <c r="V7" i="22" s="1"/>
  <c r="T13" i="22"/>
  <c r="V13" i="22" s="1"/>
  <c r="T8" i="22"/>
  <c r="AB13" i="22"/>
  <c r="AD13" i="22" s="1"/>
  <c r="AB9" i="22"/>
  <c r="AB5" i="22"/>
  <c r="AJ14" i="22"/>
  <c r="AL14" i="22" s="1"/>
  <c r="AJ7" i="22"/>
  <c r="AL7" i="22" s="1"/>
  <c r="AJ11" i="22"/>
  <c r="AL11" i="22" s="1"/>
  <c r="AR8" i="22"/>
  <c r="AT8" i="22" s="1"/>
  <c r="AR12" i="22"/>
  <c r="AR13" i="22"/>
  <c r="AT13" i="22" s="1"/>
  <c r="AZ11" i="22"/>
  <c r="AZ13" i="22"/>
  <c r="AZ5" i="22"/>
  <c r="BB5" i="22" s="1"/>
  <c r="AR8" i="16"/>
  <c r="AR9" i="16"/>
  <c r="AU4" i="16"/>
  <c r="AX11" i="16"/>
  <c r="H12" i="22"/>
  <c r="J12" i="22" s="1"/>
  <c r="H8" i="22"/>
  <c r="J8" i="22" s="1"/>
  <c r="L9" i="22"/>
  <c r="N9" i="22" s="1"/>
  <c r="T14" i="22"/>
  <c r="V14" i="22" s="1"/>
  <c r="T12" i="22"/>
  <c r="V12" i="22" s="1"/>
  <c r="AB3" i="22"/>
  <c r="AD3" i="22" s="1"/>
  <c r="AB4" i="22"/>
  <c r="AD4" i="22" s="1"/>
  <c r="AB8" i="22"/>
  <c r="AJ10" i="22"/>
  <c r="AL10" i="22" s="1"/>
  <c r="AJ9" i="22"/>
  <c r="AL9" i="22" s="1"/>
  <c r="AJ5" i="22"/>
  <c r="AR3" i="22"/>
  <c r="AT3" i="22" s="1"/>
  <c r="AR7" i="22"/>
  <c r="AT7" i="22" s="1"/>
  <c r="AR11" i="22"/>
  <c r="AT11" i="22" s="1"/>
  <c r="AZ10" i="22"/>
  <c r="BB10" i="22" s="1"/>
  <c r="AZ7" i="22"/>
  <c r="AZ14" i="22"/>
  <c r="BB14" i="22" s="1"/>
  <c r="AU10" i="16"/>
  <c r="AX4" i="16"/>
  <c r="L3" i="22"/>
  <c r="N3" i="22" s="1"/>
  <c r="L13" i="22"/>
  <c r="N13" i="22" s="1"/>
  <c r="T9" i="22"/>
  <c r="V9" i="22" s="1"/>
  <c r="H11" i="22"/>
  <c r="J11" i="22" s="1"/>
  <c r="H7" i="22"/>
  <c r="J7" i="22" s="1"/>
  <c r="P14" i="22"/>
  <c r="R14" i="22" s="1"/>
  <c r="P13" i="22"/>
  <c r="P12" i="22"/>
  <c r="X3" i="22"/>
  <c r="Z3" i="22" s="1"/>
  <c r="X11" i="22"/>
  <c r="Z11" i="22" s="1"/>
  <c r="X6" i="22"/>
  <c r="Z6" i="22" s="1"/>
  <c r="AF8" i="22"/>
  <c r="AH8" i="22" s="1"/>
  <c r="AF12" i="22"/>
  <c r="AH12" i="22" s="1"/>
  <c r="AF4" i="22"/>
  <c r="AH4" i="22" s="1"/>
  <c r="AN3" i="22"/>
  <c r="AP3" i="22" s="1"/>
  <c r="AN6" i="22"/>
  <c r="AN10" i="22"/>
  <c r="AP10" i="22" s="1"/>
  <c r="AV13" i="22"/>
  <c r="AX13" i="22" s="1"/>
  <c r="AV6" i="22"/>
  <c r="AX6" i="22" s="1"/>
  <c r="AV11" i="22"/>
  <c r="AX11" i="22" s="1"/>
  <c r="BD3" i="22"/>
  <c r="BF3" i="22" s="1"/>
  <c r="BD9" i="22"/>
  <c r="BF9" i="22" s="1"/>
  <c r="BD14" i="22"/>
  <c r="BF14" i="22" s="1"/>
  <c r="AR12" i="16"/>
  <c r="AX6" i="16"/>
  <c r="AU5" i="16"/>
  <c r="H4" i="22"/>
  <c r="J4" i="22" s="1"/>
  <c r="P5" i="22"/>
  <c r="R5" i="22" s="1"/>
  <c r="P7" i="22"/>
  <c r="P4" i="22"/>
  <c r="R4" i="22" s="1"/>
  <c r="X9" i="22"/>
  <c r="Z9" i="22" s="1"/>
  <c r="X7" i="22"/>
  <c r="Z7" i="22" s="1"/>
  <c r="X12" i="22"/>
  <c r="Z12" i="22" s="1"/>
  <c r="AF13" i="22"/>
  <c r="AH13" i="22" s="1"/>
  <c r="AF9" i="22"/>
  <c r="AH9" i="22" s="1"/>
  <c r="AF10" i="22"/>
  <c r="AH10" i="22" s="1"/>
  <c r="AN14" i="22"/>
  <c r="AP14" i="22" s="1"/>
  <c r="AN13" i="22"/>
  <c r="AP13" i="22" s="1"/>
  <c r="AN7" i="22"/>
  <c r="AP7" i="22" s="1"/>
  <c r="AV12" i="22"/>
  <c r="AX12" i="22" s="1"/>
  <c r="AV10" i="22"/>
  <c r="AX10" i="22" s="1"/>
  <c r="AV4" i="22"/>
  <c r="AX4" i="22" s="1"/>
  <c r="BD10" i="22"/>
  <c r="BF10" i="22" s="1"/>
  <c r="BD13" i="22"/>
  <c r="BF13" i="22" s="1"/>
  <c r="BD7" i="22"/>
  <c r="BF7" i="22" s="1"/>
  <c r="AR13" i="16"/>
  <c r="AX8" i="16"/>
  <c r="AU13" i="16"/>
  <c r="AR11" i="16"/>
  <c r="L4" i="22"/>
  <c r="N4" i="22" s="1"/>
  <c r="T6" i="22"/>
  <c r="V6" i="22" s="1"/>
  <c r="AB7" i="22"/>
  <c r="AD7" i="22" s="1"/>
  <c r="AJ12" i="22"/>
  <c r="AJ13" i="22"/>
  <c r="AL13" i="22" s="1"/>
  <c r="AJ6" i="22"/>
  <c r="AL6" i="22" s="1"/>
  <c r="AR10" i="22"/>
  <c r="AT10" i="22" s="1"/>
  <c r="AR14" i="22"/>
  <c r="AT14" i="22" s="1"/>
  <c r="AR4" i="22"/>
  <c r="AT4" i="22" s="1"/>
  <c r="AZ6" i="22"/>
  <c r="BB6" i="22" s="1"/>
  <c r="AZ8" i="22"/>
  <c r="BB8" i="22" s="1"/>
  <c r="AZ12" i="22"/>
  <c r="BB12" i="22" s="1"/>
  <c r="AX9" i="16"/>
  <c r="AW15" i="16"/>
  <c r="AX3" i="16"/>
  <c r="AU6" i="16"/>
  <c r="AR6" i="16"/>
  <c r="AU7" i="16"/>
  <c r="L12" i="22"/>
  <c r="N12" i="22" s="1"/>
  <c r="T10" i="22"/>
  <c r="AB11" i="22"/>
  <c r="AD11" i="22" s="1"/>
  <c r="H14" i="22"/>
  <c r="J14" i="22" s="1"/>
  <c r="H10" i="22"/>
  <c r="J10" i="22" s="1"/>
  <c r="H6" i="22"/>
  <c r="J6" i="22" s="1"/>
  <c r="L7" i="22"/>
  <c r="N7" i="22" s="1"/>
  <c r="L11" i="22"/>
  <c r="N11" i="22" s="1"/>
  <c r="L14" i="22"/>
  <c r="N14" i="22" s="1"/>
  <c r="T3" i="22"/>
  <c r="V3" i="22" s="1"/>
  <c r="T4" i="22"/>
  <c r="V4" i="22" s="1"/>
  <c r="T11" i="22"/>
  <c r="V11" i="22" s="1"/>
  <c r="AB14" i="22"/>
  <c r="AD14" i="22" s="1"/>
  <c r="AB6" i="22"/>
  <c r="AD6" i="22" s="1"/>
  <c r="AB10" i="22"/>
  <c r="AD10" i="22" s="1"/>
  <c r="AJ3" i="22"/>
  <c r="AL3" i="22" s="1"/>
  <c r="AJ4" i="22"/>
  <c r="AL4" i="22" s="1"/>
  <c r="AJ8" i="22"/>
  <c r="AL8" i="22" s="1"/>
  <c r="AR5" i="22"/>
  <c r="AT5" i="22" s="1"/>
  <c r="AR9" i="22"/>
  <c r="AT9" i="22" s="1"/>
  <c r="AR6" i="22"/>
  <c r="AT6" i="22" s="1"/>
  <c r="AZ3" i="22"/>
  <c r="BB3" i="22" s="1"/>
  <c r="AZ9" i="22"/>
  <c r="BB9" i="22" s="1"/>
  <c r="AZ4" i="22"/>
  <c r="BB4" i="22" s="1"/>
  <c r="AU9" i="16"/>
  <c r="AU11" i="16"/>
  <c r="AX13" i="16"/>
  <c r="AX14" i="16"/>
  <c r="AU8" i="16"/>
  <c r="AX10" i="16"/>
  <c r="H3" i="22"/>
  <c r="J3" i="22" s="1"/>
  <c r="L8" i="22"/>
  <c r="N8" i="22" s="1"/>
  <c r="T5" i="22"/>
  <c r="V5" i="22" s="1"/>
  <c r="AB12" i="22"/>
  <c r="AD12" i="22" s="1"/>
  <c r="H13" i="22"/>
  <c r="J13" i="22" s="1"/>
  <c r="H9" i="22"/>
  <c r="J9" i="22" s="1"/>
  <c r="H5" i="22"/>
  <c r="J5" i="22" s="1"/>
  <c r="P3" i="22"/>
  <c r="R3" i="22" s="1"/>
  <c r="P11" i="22"/>
  <c r="R11" i="22" s="1"/>
  <c r="P9" i="22"/>
  <c r="R9" i="22" s="1"/>
  <c r="X13" i="22"/>
  <c r="Z13" i="22" s="1"/>
  <c r="X4" i="22"/>
  <c r="Z4" i="22" s="1"/>
  <c r="X8" i="22"/>
  <c r="Z8" i="22" s="1"/>
  <c r="AF3" i="22"/>
  <c r="AH3" i="22" s="1"/>
  <c r="AF6" i="22"/>
  <c r="AH6" i="22" s="1"/>
  <c r="AF5" i="22"/>
  <c r="AH5" i="22" s="1"/>
  <c r="AN5" i="22"/>
  <c r="AP5" i="22" s="1"/>
  <c r="AN4" i="22"/>
  <c r="AP4" i="22" s="1"/>
  <c r="AN11" i="22"/>
  <c r="AP11" i="22" s="1"/>
  <c r="AV3" i="22"/>
  <c r="AX3" i="22" s="1"/>
  <c r="AV5" i="22"/>
  <c r="AX5" i="22" s="1"/>
  <c r="AV8" i="22"/>
  <c r="AX8" i="22" s="1"/>
  <c r="BD5" i="22"/>
  <c r="BF5" i="22" s="1"/>
  <c r="BD11" i="22"/>
  <c r="BF11" i="22" s="1"/>
  <c r="BD8" i="22"/>
  <c r="BF8" i="22" s="1"/>
  <c r="AU12" i="16"/>
  <c r="AR7" i="16"/>
  <c r="AX7" i="16"/>
  <c r="AR5" i="16"/>
  <c r="AR4" i="16"/>
  <c r="BJ12" i="22"/>
  <c r="AH11" i="22"/>
  <c r="Z10" i="21"/>
  <c r="V8" i="22"/>
  <c r="AT12" i="22"/>
  <c r="BR4" i="22"/>
  <c r="AC14" i="21"/>
  <c r="X14" i="21"/>
  <c r="BJ14" i="22"/>
  <c r="U5" i="21"/>
  <c r="AA5" i="21"/>
  <c r="AB5" i="21" s="1"/>
  <c r="N5" i="22"/>
  <c r="AA6" i="21"/>
  <c r="AB6" i="21" s="1"/>
  <c r="U6" i="21"/>
  <c r="AD9" i="22"/>
  <c r="X11" i="21"/>
  <c r="AC11" i="21"/>
  <c r="X12" i="21"/>
  <c r="AC12" i="21"/>
  <c r="F13" i="22"/>
  <c r="Z5" i="21"/>
  <c r="U8" i="21"/>
  <c r="AA8" i="21"/>
  <c r="AB8" i="21" s="1"/>
  <c r="R8" i="22"/>
  <c r="U14" i="21"/>
  <c r="AA14" i="21"/>
  <c r="AB14" i="21" s="1"/>
  <c r="AL12" i="22"/>
  <c r="AA10" i="21"/>
  <c r="AB10" i="21" s="1"/>
  <c r="U10" i="21"/>
  <c r="Z13" i="21"/>
  <c r="X7" i="21"/>
  <c r="AC7" i="21"/>
  <c r="X5" i="21"/>
  <c r="AC5" i="21"/>
  <c r="U12" i="21"/>
  <c r="AA12" i="21"/>
  <c r="AB12" i="21" s="1"/>
  <c r="AX9" i="22"/>
  <c r="BN14" i="22"/>
  <c r="R12" i="22"/>
  <c r="Z14" i="21"/>
  <c r="AP12" i="22"/>
  <c r="BN12" i="22"/>
  <c r="BJ11" i="22"/>
  <c r="Z5" i="22"/>
  <c r="U9" i="21"/>
  <c r="AA9" i="21"/>
  <c r="AB9" i="21" s="1"/>
  <c r="Z8" i="21"/>
  <c r="R7" i="22"/>
  <c r="U13" i="21"/>
  <c r="AA13" i="21"/>
  <c r="AB13" i="21" s="1"/>
  <c r="AA3" i="21"/>
  <c r="AB3" i="21" s="1"/>
  <c r="T15" i="21"/>
  <c r="U3" i="21"/>
  <c r="AC3" i="21"/>
  <c r="X3" i="21"/>
  <c r="X4" i="21"/>
  <c r="AC4" i="21"/>
  <c r="BB11" i="22"/>
  <c r="Z12" i="21"/>
  <c r="BF12" i="22"/>
  <c r="AA7" i="21"/>
  <c r="AB7" i="21" s="1"/>
  <c r="U7" i="21"/>
  <c r="X6" i="21"/>
  <c r="AC6" i="21"/>
  <c r="Z9" i="21"/>
  <c r="AL5" i="22"/>
  <c r="AD5" i="22"/>
  <c r="Z3" i="21"/>
  <c r="Z11" i="21"/>
  <c r="Z4" i="21"/>
  <c r="Z7" i="21"/>
  <c r="BR11" i="22"/>
  <c r="BN10" i="22"/>
  <c r="BN6" i="22"/>
  <c r="E6" i="22" s="1"/>
  <c r="BJ9" i="22"/>
  <c r="X8" i="21"/>
  <c r="AC8" i="21"/>
  <c r="AD8" i="22"/>
  <c r="AC9" i="21"/>
  <c r="X9" i="21"/>
  <c r="BB7" i="22"/>
  <c r="AA4" i="21"/>
  <c r="AB4" i="21" s="1"/>
  <c r="U4" i="21"/>
  <c r="AC10" i="21"/>
  <c r="X10" i="21"/>
  <c r="AP6" i="22"/>
  <c r="BJ8" i="22"/>
  <c r="R13" i="22"/>
  <c r="AH7" i="22"/>
  <c r="X13" i="21"/>
  <c r="AC13" i="21"/>
  <c r="V10" i="22"/>
  <c r="AA11" i="21"/>
  <c r="AB11" i="21" s="1"/>
  <c r="U11" i="21"/>
  <c r="BB13" i="22"/>
  <c r="S22" i="16"/>
  <c r="S25" i="16"/>
  <c r="S31" i="16"/>
  <c r="S29" i="16"/>
  <c r="S28" i="16"/>
  <c r="S24" i="16"/>
  <c r="S26" i="16"/>
  <c r="S30" i="16"/>
  <c r="S21" i="16"/>
  <c r="S27" i="16"/>
  <c r="S23" i="16"/>
  <c r="S20" i="16"/>
  <c r="Y29" i="16"/>
  <c r="Y26" i="16"/>
  <c r="Y20" i="16"/>
  <c r="Y31" i="16"/>
  <c r="Y27" i="16"/>
  <c r="Y24" i="16"/>
  <c r="Y23" i="16"/>
  <c r="Y22" i="16"/>
  <c r="Y21" i="16"/>
  <c r="Y25" i="16"/>
  <c r="Y30" i="16"/>
  <c r="Y28" i="16"/>
  <c r="T22" i="16"/>
  <c r="T25" i="16"/>
  <c r="T31" i="16"/>
  <c r="T29" i="16"/>
  <c r="T28" i="16"/>
  <c r="T24" i="16"/>
  <c r="T20" i="16"/>
  <c r="T26" i="16"/>
  <c r="T30" i="16"/>
  <c r="T21" i="16"/>
  <c r="T27" i="16"/>
  <c r="T23" i="16"/>
  <c r="E45" i="16"/>
  <c r="E42" i="16"/>
  <c r="E39" i="16"/>
  <c r="E40" i="16"/>
  <c r="E47" i="16"/>
  <c r="E46" i="16"/>
  <c r="E37" i="16"/>
  <c r="E41" i="16"/>
  <c r="E43" i="16"/>
  <c r="E44" i="16"/>
  <c r="E38" i="16"/>
  <c r="E36" i="16"/>
  <c r="J45" i="16"/>
  <c r="V6" i="16"/>
  <c r="V9" i="16"/>
  <c r="J43" i="16"/>
  <c r="Y3" i="16"/>
  <c r="Y8" i="16"/>
  <c r="AE11" i="16"/>
  <c r="Y12" i="16"/>
  <c r="AN14" i="16"/>
  <c r="M5" i="16"/>
  <c r="D9" i="16"/>
  <c r="G7" i="16"/>
  <c r="AE13" i="16"/>
  <c r="G5" i="16"/>
  <c r="AB5" i="16"/>
  <c r="AB11" i="16"/>
  <c r="P7" i="16"/>
  <c r="AK3" i="16"/>
  <c r="G41" i="16"/>
  <c r="AE14" i="16"/>
  <c r="J38" i="16"/>
  <c r="AH9" i="16"/>
  <c r="S13" i="16"/>
  <c r="G42" i="16"/>
  <c r="G6" i="16"/>
  <c r="D13" i="16"/>
  <c r="J9" i="16"/>
  <c r="S14" i="16"/>
  <c r="Y11" i="16"/>
  <c r="P11" i="16"/>
  <c r="AE7" i="16"/>
  <c r="AE6" i="16"/>
  <c r="AH14" i="16"/>
  <c r="V14" i="16"/>
  <c r="P6" i="16"/>
  <c r="V3" i="16"/>
  <c r="AN4" i="16"/>
  <c r="D14" i="16"/>
  <c r="AN12" i="16"/>
  <c r="AB9" i="16"/>
  <c r="AN8" i="16"/>
  <c r="D5" i="16"/>
  <c r="Y6" i="16"/>
  <c r="D4" i="16"/>
  <c r="D10" i="16"/>
  <c r="AN6" i="16"/>
  <c r="AH4" i="16"/>
  <c r="D11" i="16"/>
  <c r="AB12" i="16"/>
  <c r="P9" i="16"/>
  <c r="M8" i="16"/>
  <c r="G14" i="16"/>
  <c r="V11" i="16"/>
  <c r="J41" i="16"/>
  <c r="D8" i="16"/>
  <c r="AN10" i="16"/>
  <c r="Y7" i="16"/>
  <c r="V7" i="16"/>
  <c r="Y4" i="16"/>
  <c r="J3" i="16"/>
  <c r="J14" i="16"/>
  <c r="AB6" i="16"/>
  <c r="AE3" i="16"/>
  <c r="S10" i="16"/>
  <c r="AK5" i="16"/>
  <c r="G9" i="16"/>
  <c r="AE5" i="16"/>
  <c r="S3" i="16"/>
  <c r="AN13" i="16"/>
  <c r="S4" i="16"/>
  <c r="J47" i="16"/>
  <c r="V4" i="16"/>
  <c r="AK7" i="16"/>
  <c r="J4" i="16"/>
  <c r="AN11" i="16"/>
  <c r="S12" i="16"/>
  <c r="G3" i="16"/>
  <c r="G4" i="16"/>
  <c r="S6" i="16"/>
  <c r="AN7" i="16"/>
  <c r="G10" i="16"/>
  <c r="J37" i="16"/>
  <c r="AB14" i="16"/>
  <c r="Y5" i="16"/>
  <c r="AB3" i="16"/>
  <c r="AE4" i="16"/>
  <c r="J6" i="16"/>
  <c r="S7" i="16"/>
  <c r="G13" i="16"/>
  <c r="AK12" i="16"/>
  <c r="AH11" i="16"/>
  <c r="P12" i="16"/>
  <c r="AB7" i="16"/>
  <c r="J11" i="16"/>
  <c r="AH3" i="16"/>
  <c r="M9" i="16"/>
  <c r="S11" i="16"/>
  <c r="G46" i="16"/>
  <c r="G36" i="16"/>
  <c r="Y9" i="16"/>
  <c r="V12" i="16"/>
  <c r="V10" i="16"/>
  <c r="G43" i="16"/>
  <c r="P5" i="16"/>
  <c r="G8" i="16"/>
  <c r="AN3" i="16"/>
  <c r="D12" i="16"/>
  <c r="AK9" i="16"/>
  <c r="M11" i="16"/>
  <c r="AH6" i="16"/>
  <c r="J39" i="16"/>
  <c r="G40" i="16"/>
  <c r="AH7" i="16"/>
  <c r="G37" i="16"/>
  <c r="AN5" i="16"/>
  <c r="AK11" i="16"/>
  <c r="J42" i="16"/>
  <c r="P8" i="16"/>
  <c r="M3" i="16"/>
  <c r="S9" i="16"/>
  <c r="AH5" i="16"/>
  <c r="AE9" i="16"/>
  <c r="G39" i="16"/>
  <c r="AB8" i="16"/>
  <c r="P13" i="16"/>
  <c r="AB13" i="16"/>
  <c r="G45" i="16"/>
  <c r="M12" i="16"/>
  <c r="J5" i="16"/>
  <c r="AB4" i="16"/>
  <c r="J40" i="16"/>
  <c r="V13" i="16"/>
  <c r="J13" i="16"/>
  <c r="V8" i="16"/>
  <c r="S5" i="16"/>
  <c r="AK13" i="16"/>
  <c r="M6" i="16"/>
  <c r="AE8" i="16"/>
  <c r="M10" i="16"/>
  <c r="M4" i="16"/>
  <c r="P14" i="16"/>
  <c r="AB10" i="16"/>
  <c r="J12" i="16"/>
  <c r="J7" i="16"/>
  <c r="M14" i="16"/>
  <c r="Y10" i="16"/>
  <c r="G38" i="16"/>
  <c r="AH12" i="16"/>
  <c r="J8" i="16"/>
  <c r="S8" i="16"/>
  <c r="AK4" i="16"/>
  <c r="AK8" i="16"/>
  <c r="Y13" i="16"/>
  <c r="V5" i="16"/>
  <c r="M13" i="16"/>
  <c r="G47" i="16"/>
  <c r="AK14" i="16"/>
  <c r="J10" i="16"/>
  <c r="P10" i="16"/>
  <c r="M7" i="16"/>
  <c r="AH13" i="16"/>
  <c r="P3" i="16"/>
  <c r="AE10" i="16"/>
  <c r="D7" i="16"/>
  <c r="J36" i="16"/>
  <c r="G44" i="16"/>
  <c r="J46" i="16"/>
  <c r="AH8" i="16"/>
  <c r="D3" i="16"/>
  <c r="D6" i="16"/>
  <c r="AK6" i="16"/>
  <c r="P4" i="16"/>
  <c r="AN9" i="16"/>
  <c r="Y14" i="16"/>
  <c r="AE12" i="16"/>
  <c r="G11" i="16"/>
  <c r="J44" i="16"/>
  <c r="AK10" i="16"/>
  <c r="G12" i="16"/>
  <c r="AH10" i="16"/>
  <c r="E7" i="22" l="1"/>
  <c r="V24" i="16"/>
  <c r="V28" i="16"/>
  <c r="V29" i="16"/>
  <c r="V23" i="16"/>
  <c r="V27" i="16"/>
  <c r="V31" i="16"/>
  <c r="V21" i="16"/>
  <c r="V25" i="16"/>
  <c r="V30" i="16"/>
  <c r="V22" i="16"/>
  <c r="V26" i="16"/>
  <c r="V20" i="16"/>
  <c r="E10" i="22"/>
  <c r="F3" i="22"/>
  <c r="E4" i="22"/>
  <c r="F12" i="22"/>
  <c r="F4" i="22"/>
  <c r="F9" i="22"/>
  <c r="E11" i="22"/>
  <c r="D6" i="22"/>
  <c r="E9" i="22"/>
  <c r="C12" i="22"/>
  <c r="C13" i="22"/>
  <c r="F14" i="22"/>
  <c r="E12" i="22"/>
  <c r="F10" i="22"/>
  <c r="D5" i="22"/>
  <c r="D8" i="22"/>
  <c r="D3" i="22"/>
  <c r="D11" i="22"/>
  <c r="C4" i="22"/>
  <c r="C3" i="22"/>
  <c r="C8" i="22"/>
  <c r="D9" i="22"/>
  <c r="D4" i="22"/>
  <c r="C7" i="22"/>
  <c r="F8" i="22"/>
  <c r="E8" i="22"/>
  <c r="C9" i="22"/>
  <c r="D14" i="22"/>
  <c r="C14" i="22"/>
  <c r="D13" i="22"/>
  <c r="C6" i="22"/>
  <c r="C11" i="22"/>
  <c r="D12" i="22"/>
  <c r="F11" i="22"/>
  <c r="E14" i="22"/>
  <c r="C5" i="22"/>
  <c r="F6" i="22"/>
  <c r="D10" i="22"/>
  <c r="C10" i="22"/>
  <c r="D7" i="22"/>
  <c r="T32" i="16"/>
  <c r="U21" i="16"/>
  <c r="U25" i="16"/>
  <c r="U29" i="16"/>
  <c r="U30" i="16"/>
  <c r="U26" i="16"/>
  <c r="U22" i="16"/>
  <c r="U20" i="16"/>
  <c r="U24" i="16"/>
  <c r="U28" i="16"/>
  <c r="U23" i="16"/>
  <c r="U27" i="16"/>
  <c r="U31" i="16"/>
  <c r="K46" i="16"/>
  <c r="K37" i="16"/>
  <c r="K38" i="16"/>
  <c r="K42" i="16"/>
  <c r="K45" i="16"/>
  <c r="K47" i="16"/>
  <c r="K43" i="16"/>
  <c r="K44" i="16"/>
  <c r="K40" i="16"/>
  <c r="J48" i="16"/>
  <c r="K36" i="16"/>
  <c r="K39" i="16"/>
  <c r="K41" i="16"/>
  <c r="H38" i="16"/>
  <c r="H40" i="16"/>
  <c r="H42" i="16"/>
  <c r="H41" i="16"/>
  <c r="D48" i="16"/>
  <c r="H37" i="16"/>
  <c r="H46" i="16"/>
  <c r="H43" i="16"/>
  <c r="H47" i="16"/>
  <c r="H44" i="16"/>
  <c r="H45" i="16"/>
  <c r="H39" i="16"/>
  <c r="G48" i="16"/>
  <c r="H36" i="16"/>
  <c r="N4" i="16"/>
  <c r="H6" i="16"/>
  <c r="AL6" i="16"/>
  <c r="Z7" i="16"/>
  <c r="AL11" i="16"/>
  <c r="AI10" i="16"/>
  <c r="AC13" i="16"/>
  <c r="AO10" i="16"/>
  <c r="Z13" i="16"/>
  <c r="H8" i="16"/>
  <c r="AL14" i="16"/>
  <c r="W4" i="16"/>
  <c r="H4" i="16"/>
  <c r="AO11" i="16"/>
  <c r="W9" i="16"/>
  <c r="H9" i="16"/>
  <c r="AI4" i="16"/>
  <c r="T11" i="16"/>
  <c r="BG9" i="16"/>
  <c r="AY9" i="16"/>
  <c r="AZ9" i="16" s="1"/>
  <c r="Z4" i="16"/>
  <c r="AF13" i="16"/>
  <c r="Q13" i="16"/>
  <c r="AL4" i="16"/>
  <c r="Q4" i="16"/>
  <c r="AF10" i="16"/>
  <c r="Q7" i="16"/>
  <c r="T4" i="16"/>
  <c r="J15" i="16"/>
  <c r="K3" i="16"/>
  <c r="T13" i="16"/>
  <c r="K6" i="16"/>
  <c r="Q6" i="16"/>
  <c r="AL12" i="16"/>
  <c r="W11" i="16"/>
  <c r="H12" i="16"/>
  <c r="AL7" i="16"/>
  <c r="AL10" i="16"/>
  <c r="S15" i="16"/>
  <c r="T3" i="16"/>
  <c r="BG4" i="16"/>
  <c r="AY4" i="16"/>
  <c r="AZ4" i="16" s="1"/>
  <c r="E4" i="16"/>
  <c r="AL13" i="16"/>
  <c r="W5" i="16"/>
  <c r="BG3" i="16"/>
  <c r="D15" i="16"/>
  <c r="E3" i="16"/>
  <c r="AY3" i="16"/>
  <c r="AZ3" i="16" s="1"/>
  <c r="AI13" i="16"/>
  <c r="Q14" i="16"/>
  <c r="AO4" i="16"/>
  <c r="N11" i="16"/>
  <c r="AC8" i="16"/>
  <c r="N5" i="16"/>
  <c r="AI5" i="16"/>
  <c r="H11" i="16"/>
  <c r="AC9" i="16"/>
  <c r="N10" i="16"/>
  <c r="K11" i="16"/>
  <c r="AC6" i="16"/>
  <c r="AC14" i="16"/>
  <c r="BG10" i="16"/>
  <c r="AY10" i="16"/>
  <c r="AZ10" i="16" s="1"/>
  <c r="AO13" i="16"/>
  <c r="K13" i="16"/>
  <c r="Q11" i="16"/>
  <c r="AL8" i="16"/>
  <c r="T9" i="16"/>
  <c r="BG6" i="16"/>
  <c r="AY6" i="16"/>
  <c r="AC10" i="16"/>
  <c r="AI11" i="16"/>
  <c r="T7" i="16"/>
  <c r="AO5" i="16"/>
  <c r="AI12" i="16"/>
  <c r="T8" i="16"/>
  <c r="BG8" i="16"/>
  <c r="AY8" i="16"/>
  <c r="AZ8" i="16" s="1"/>
  <c r="AF8" i="16"/>
  <c r="Q12" i="16"/>
  <c r="AL5" i="16"/>
  <c r="AC12" i="16"/>
  <c r="K9" i="16"/>
  <c r="Z9" i="16"/>
  <c r="AC4" i="16"/>
  <c r="K14" i="16"/>
  <c r="N9" i="16"/>
  <c r="AO7" i="16"/>
  <c r="AI9" i="16"/>
  <c r="AO9" i="16"/>
  <c r="W10" i="16"/>
  <c r="Z6" i="16"/>
  <c r="AI6" i="16"/>
  <c r="T10" i="16"/>
  <c r="T12" i="16"/>
  <c r="AF11" i="16"/>
  <c r="Q5" i="16"/>
  <c r="AF9" i="16"/>
  <c r="AI8" i="16"/>
  <c r="Q9" i="16"/>
  <c r="BG7" i="16"/>
  <c r="AY7" i="16"/>
  <c r="AZ7" i="16" s="1"/>
  <c r="AB15" i="16"/>
  <c r="AC3" i="16"/>
  <c r="N8" i="16"/>
  <c r="AF12" i="16"/>
  <c r="AO6" i="16"/>
  <c r="Z5" i="16"/>
  <c r="K10" i="16"/>
  <c r="W8" i="16"/>
  <c r="AO8" i="16"/>
  <c r="Z8" i="16"/>
  <c r="K7" i="16"/>
  <c r="AF3" i="16"/>
  <c r="AE15" i="16"/>
  <c r="Z14" i="16"/>
  <c r="W6" i="16"/>
  <c r="AI14" i="16"/>
  <c r="BG14" i="16"/>
  <c r="AY14" i="16"/>
  <c r="AZ14" i="16" s="1"/>
  <c r="Z11" i="16"/>
  <c r="AI3" i="16"/>
  <c r="AH15" i="16"/>
  <c r="BG12" i="16"/>
  <c r="AY12" i="16"/>
  <c r="AZ12" i="16" s="1"/>
  <c r="AF14" i="16"/>
  <c r="Q3" i="16"/>
  <c r="P15" i="16"/>
  <c r="AF6" i="16"/>
  <c r="H13" i="16"/>
  <c r="AF4" i="16"/>
  <c r="N13" i="16"/>
  <c r="W13" i="16"/>
  <c r="AF5" i="16"/>
  <c r="Q10" i="16"/>
  <c r="AC7" i="16"/>
  <c r="K4" i="16"/>
  <c r="Z10" i="16"/>
  <c r="AO12" i="16"/>
  <c r="W3" i="16"/>
  <c r="V15" i="16"/>
  <c r="G15" i="16"/>
  <c r="H3" i="16"/>
  <c r="Q8" i="16"/>
  <c r="AO3" i="16"/>
  <c r="AN15" i="16"/>
  <c r="W14" i="16"/>
  <c r="H10" i="16"/>
  <c r="T14" i="16"/>
  <c r="K12" i="16"/>
  <c r="H7" i="16"/>
  <c r="T5" i="16"/>
  <c r="Z12" i="16"/>
  <c r="H14" i="16"/>
  <c r="BG5" i="16"/>
  <c r="AY5" i="16"/>
  <c r="AZ5" i="16" s="1"/>
  <c r="AI7" i="16"/>
  <c r="AF7" i="16"/>
  <c r="N14" i="16"/>
  <c r="T6" i="16"/>
  <c r="AC5" i="16"/>
  <c r="N7" i="16"/>
  <c r="N12" i="16"/>
  <c r="AC11" i="16"/>
  <c r="N3" i="16"/>
  <c r="M15" i="16"/>
  <c r="AO14" i="16"/>
  <c r="Y15" i="16"/>
  <c r="Z3" i="16"/>
  <c r="K5" i="16"/>
  <c r="N6" i="16"/>
  <c r="AK15" i="16"/>
  <c r="AL3" i="16"/>
  <c r="W12" i="16"/>
  <c r="BG13" i="16"/>
  <c r="AY13" i="16"/>
  <c r="AZ13" i="16" s="1"/>
  <c r="H5" i="16"/>
  <c r="AL9" i="16"/>
  <c r="W7" i="16"/>
  <c r="BG11" i="16"/>
  <c r="AY11" i="16"/>
  <c r="AZ11" i="16" s="1"/>
  <c r="K8" i="16"/>
  <c r="E5" i="16"/>
  <c r="E6" i="16"/>
  <c r="BH4" i="16" l="1"/>
  <c r="BH5" i="16"/>
  <c r="BH6" i="16"/>
  <c r="BH3" i="16"/>
  <c r="BF4" i="16"/>
  <c r="BE4" i="16"/>
  <c r="AY15" i="16"/>
  <c r="BD4" i="16"/>
  <c r="BF3" i="16"/>
  <c r="BD3" i="16"/>
  <c r="BF6" i="16"/>
  <c r="BF5" i="16"/>
  <c r="BE3" i="16"/>
  <c r="AZ6" i="16"/>
  <c r="BA5" i="16" s="1"/>
  <c r="BD6" i="16"/>
  <c r="BE6" i="16"/>
  <c r="BD5" i="16"/>
  <c r="BE5" i="16"/>
  <c r="E8" i="16"/>
  <c r="BH8" i="16" s="1"/>
  <c r="E7" i="16"/>
  <c r="BH7" i="16" s="1"/>
  <c r="BF7" i="16" l="1"/>
  <c r="BF8" i="16"/>
  <c r="BB8" i="16"/>
  <c r="BB10" i="16"/>
  <c r="BA14" i="16"/>
  <c r="BB14" i="16"/>
  <c r="BA11" i="16"/>
  <c r="BC3" i="16"/>
  <c r="BA10" i="16"/>
  <c r="BB3" i="16"/>
  <c r="BA12" i="16"/>
  <c r="BB12" i="16"/>
  <c r="BB11" i="16"/>
  <c r="BA8" i="16"/>
  <c r="BA4" i="16"/>
  <c r="BB5" i="16"/>
  <c r="BB13" i="16"/>
  <c r="BA9" i="16"/>
  <c r="BB4" i="16"/>
  <c r="BA3" i="16"/>
  <c r="BB9" i="16"/>
  <c r="BA6" i="16"/>
  <c r="BB7" i="16"/>
  <c r="BA13" i="16"/>
  <c r="AZ15" i="16"/>
  <c r="BC10" i="16" s="1"/>
  <c r="BA7" i="16"/>
  <c r="BB6" i="16"/>
  <c r="BD8" i="16"/>
  <c r="BE8" i="16"/>
  <c r="BD7" i="16"/>
  <c r="BE7" i="16"/>
  <c r="E10" i="16"/>
  <c r="BH10" i="16" s="1"/>
  <c r="E9" i="16"/>
  <c r="BH9" i="16" s="1"/>
  <c r="BF10" i="16" l="1"/>
  <c r="BF9" i="16"/>
  <c r="BC5" i="16"/>
  <c r="BC6" i="16"/>
  <c r="BC7" i="16"/>
  <c r="BC12" i="16"/>
  <c r="BB15" i="16"/>
  <c r="BC13" i="16"/>
  <c r="BC14" i="16"/>
  <c r="BC11" i="16"/>
  <c r="BC8" i="16"/>
  <c r="BC9" i="16"/>
  <c r="BC4" i="16"/>
  <c r="BD9" i="16"/>
  <c r="BE9" i="16"/>
  <c r="BD10" i="16"/>
  <c r="BE10" i="16"/>
  <c r="E12" i="16"/>
  <c r="BH12" i="16" s="1"/>
  <c r="E11" i="16"/>
  <c r="BH11" i="16" s="1"/>
  <c r="BF11" i="16" l="1"/>
  <c r="BF12" i="16"/>
  <c r="BD12" i="16"/>
  <c r="BE12" i="16"/>
  <c r="BD11" i="16"/>
  <c r="BE11" i="16"/>
  <c r="E14" i="16"/>
  <c r="BH14" i="16" s="1"/>
  <c r="E13" i="16"/>
  <c r="BH13" i="16" s="1"/>
  <c r="BF13" i="16" l="1"/>
  <c r="BF14" i="16"/>
  <c r="BD14" i="16"/>
  <c r="BE14" i="16"/>
  <c r="BD13" i="16"/>
  <c r="BE13" i="16"/>
</calcChain>
</file>

<file path=xl/sharedStrings.xml><?xml version="1.0" encoding="utf-8"?>
<sst xmlns="http://schemas.openxmlformats.org/spreadsheetml/2006/main" count="936" uniqueCount="248">
  <si>
    <t>Matchup 1</t>
  </si>
  <si>
    <t>Octobers Very Own</t>
  </si>
  <si>
    <t>88.4</t>
  </si>
  <si>
    <t>King Goffrey</t>
  </si>
  <si>
    <t>93.9</t>
  </si>
  <si>
    <t>Matchup 2</t>
  </si>
  <si>
    <t>5 INT 7-8</t>
  </si>
  <si>
    <t>63.9</t>
  </si>
  <si>
    <t>Queen B</t>
  </si>
  <si>
    <t>81</t>
  </si>
  <si>
    <t>Matchup 3</t>
  </si>
  <si>
    <t>Team Ratliff</t>
  </si>
  <si>
    <t>86.5</t>
  </si>
  <si>
    <t>Pitts Likes Dicks</t>
  </si>
  <si>
    <t>87.8</t>
  </si>
  <si>
    <t>Matchup 4</t>
  </si>
  <si>
    <t>The Dictator</t>
  </si>
  <si>
    <t>72.1</t>
  </si>
  <si>
    <t>Team No Trades</t>
  </si>
  <si>
    <t>61.1</t>
  </si>
  <si>
    <t>Matchup 5</t>
  </si>
  <si>
    <t>Team capt queef</t>
  </si>
  <si>
    <t>90.8</t>
  </si>
  <si>
    <t>Team Quintanilla</t>
  </si>
  <si>
    <t>93.6</t>
  </si>
  <si>
    <t>Matchup 6</t>
  </si>
  <si>
    <t>The Last Jedi</t>
  </si>
  <si>
    <t>132.2</t>
  </si>
  <si>
    <t>Team Binder</t>
  </si>
  <si>
    <t>83.3</t>
  </si>
  <si>
    <t>101.6</t>
  </si>
  <si>
    <t>73.9</t>
  </si>
  <si>
    <t>66.7</t>
  </si>
  <si>
    <t>123.4</t>
  </si>
  <si>
    <t>98.5</t>
  </si>
  <si>
    <t>83.6</t>
  </si>
  <si>
    <t>104.9</t>
  </si>
  <si>
    <t>64.3</t>
  </si>
  <si>
    <t>79.8</t>
  </si>
  <si>
    <t>74.9</t>
  </si>
  <si>
    <t>137.6</t>
  </si>
  <si>
    <t>65.6</t>
  </si>
  <si>
    <t>81.8</t>
  </si>
  <si>
    <t>116.5</t>
  </si>
  <si>
    <t>119.8</t>
  </si>
  <si>
    <t>103.8</t>
  </si>
  <si>
    <t>117.4</t>
  </si>
  <si>
    <t>79.9</t>
  </si>
  <si>
    <t>100.6</t>
  </si>
  <si>
    <t>87.1</t>
  </si>
  <si>
    <t>130.1</t>
  </si>
  <si>
    <t>74.8</t>
  </si>
  <si>
    <t>103.3</t>
  </si>
  <si>
    <t>105.2</t>
  </si>
  <si>
    <t>121.6</t>
  </si>
  <si>
    <t>62.4</t>
  </si>
  <si>
    <t>75.8</t>
  </si>
  <si>
    <t>96.6</t>
  </si>
  <si>
    <t>134.9</t>
  </si>
  <si>
    <t>98.8</t>
  </si>
  <si>
    <t>103.9</t>
  </si>
  <si>
    <t>89</t>
  </si>
  <si>
    <t>98.2</t>
  </si>
  <si>
    <t>64.4</t>
  </si>
  <si>
    <t>86.2</t>
  </si>
  <si>
    <t>92.3</t>
  </si>
  <si>
    <t>72.7</t>
  </si>
  <si>
    <t>86.9</t>
  </si>
  <si>
    <t>109</t>
  </si>
  <si>
    <t>73</t>
  </si>
  <si>
    <t>77.2</t>
  </si>
  <si>
    <t>105.5</t>
  </si>
  <si>
    <t>110.8</t>
  </si>
  <si>
    <t>79.4</t>
  </si>
  <si>
    <t>94</t>
  </si>
  <si>
    <t>121</t>
  </si>
  <si>
    <t>96.4</t>
  </si>
  <si>
    <t>139.1</t>
  </si>
  <si>
    <t>97</t>
  </si>
  <si>
    <t>123.6</t>
  </si>
  <si>
    <t>75.1</t>
  </si>
  <si>
    <t>91.1</t>
  </si>
  <si>
    <t>86.7</t>
  </si>
  <si>
    <t>96</t>
  </si>
  <si>
    <t>82.9</t>
  </si>
  <si>
    <t>92.2</t>
  </si>
  <si>
    <t>85.3</t>
  </si>
  <si>
    <t>79.3</t>
  </si>
  <si>
    <t>112</t>
  </si>
  <si>
    <t>81.4</t>
  </si>
  <si>
    <t>95.9</t>
  </si>
  <si>
    <t>80.2</t>
  </si>
  <si>
    <t>58.6</t>
  </si>
  <si>
    <t>80.7</t>
  </si>
  <si>
    <t>137.9</t>
  </si>
  <si>
    <t>100.4</t>
  </si>
  <si>
    <t>129.8</t>
  </si>
  <si>
    <t>113.6</t>
  </si>
  <si>
    <t>92</t>
  </si>
  <si>
    <t>71.6</t>
  </si>
  <si>
    <t>76.1</t>
  </si>
  <si>
    <t>95.3</t>
  </si>
  <si>
    <t>97.1</t>
  </si>
  <si>
    <t>78.7</t>
  </si>
  <si>
    <t>75.7</t>
  </si>
  <si>
    <t>72.5</t>
  </si>
  <si>
    <t>97.8</t>
  </si>
  <si>
    <t>127</t>
  </si>
  <si>
    <t>86</t>
  </si>
  <si>
    <t>146.5</t>
  </si>
  <si>
    <t>59.9</t>
  </si>
  <si>
    <t>106.4</t>
  </si>
  <si>
    <t>94.1</t>
  </si>
  <si>
    <t>63.7</t>
  </si>
  <si>
    <t>112.9</t>
  </si>
  <si>
    <t>70.9</t>
  </si>
  <si>
    <t>65.5</t>
  </si>
  <si>
    <t>109.7</t>
  </si>
  <si>
    <t>80.9</t>
  </si>
  <si>
    <t>57.1</t>
  </si>
  <si>
    <t>57</t>
  </si>
  <si>
    <t>79.1</t>
  </si>
  <si>
    <t>112.6</t>
  </si>
  <si>
    <t>78.1</t>
  </si>
  <si>
    <t>108.2</t>
  </si>
  <si>
    <t>85.8</t>
  </si>
  <si>
    <t>129.9</t>
  </si>
  <si>
    <t>105.3</t>
  </si>
  <si>
    <t>79.7</t>
  </si>
  <si>
    <t>108.9</t>
  </si>
  <si>
    <t>57.2</t>
  </si>
  <si>
    <t>88.5</t>
  </si>
  <si>
    <t>105.8</t>
  </si>
  <si>
    <t>91.3</t>
  </si>
  <si>
    <t>47.4</t>
  </si>
  <si>
    <t>141.1</t>
  </si>
  <si>
    <t>87.9</t>
  </si>
  <si>
    <t>110</t>
  </si>
  <si>
    <t>89.1</t>
  </si>
  <si>
    <t>79.6</t>
  </si>
  <si>
    <t>59.7</t>
  </si>
  <si>
    <t>84.2</t>
  </si>
  <si>
    <t>101.1</t>
  </si>
  <si>
    <t>114</t>
  </si>
  <si>
    <t>111.4</t>
  </si>
  <si>
    <t>90.3</t>
  </si>
  <si>
    <t>82.8</t>
  </si>
  <si>
    <t>87</t>
  </si>
  <si>
    <t>71.4</t>
  </si>
  <si>
    <t>89.3</t>
  </si>
  <si>
    <t>108.1</t>
  </si>
  <si>
    <t>83.8</t>
  </si>
  <si>
    <t>85.5</t>
  </si>
  <si>
    <t>90</t>
  </si>
  <si>
    <t>102.8</t>
  </si>
  <si>
    <t>120.2</t>
  </si>
  <si>
    <t>70.3</t>
  </si>
  <si>
    <t>106</t>
  </si>
  <si>
    <t>99.8</t>
  </si>
  <si>
    <t>69.8</t>
  </si>
  <si>
    <t>84.7</t>
  </si>
  <si>
    <t>Team Name</t>
  </si>
  <si>
    <t>Tres</t>
  </si>
  <si>
    <t>Sara</t>
  </si>
  <si>
    <t>Sam</t>
  </si>
  <si>
    <t>Catina</t>
  </si>
  <si>
    <t>Dave</t>
  </si>
  <si>
    <t>Jake</t>
  </si>
  <si>
    <t>Cody</t>
  </si>
  <si>
    <t>Jesse</t>
  </si>
  <si>
    <t>Steve</t>
  </si>
  <si>
    <t>Nicole</t>
  </si>
  <si>
    <t>Ed</t>
  </si>
  <si>
    <t>Binder</t>
  </si>
  <si>
    <t>Team Owner</t>
  </si>
  <si>
    <t>Week 1</t>
  </si>
  <si>
    <t>Opponent</t>
  </si>
  <si>
    <t>Points Against</t>
  </si>
  <si>
    <t>Rank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</si>
  <si>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</si>
  <si>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</si>
  <si>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</si>
  <si>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</si>
  <si>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</si>
  <si>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</si>
  <si>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</si>
  <si>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</si>
  <si>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</si>
  <si>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</si>
  <si>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</si>
  <si>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</si>
  <si>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Total PA</t>
  </si>
  <si>
    <t>Opponents Best Week</t>
  </si>
  <si>
    <t>Avg Rank</t>
  </si>
  <si>
    <t>Points Allowed</t>
  </si>
  <si>
    <t>Average</t>
  </si>
  <si>
    <t>Avg Weekly PA</t>
  </si>
  <si>
    <t>Points Behind Max/Week</t>
  </si>
  <si>
    <t>Points vs Average/Week</t>
  </si>
  <si>
    <t>PF</t>
  </si>
  <si>
    <t>MAX</t>
  </si>
  <si>
    <t>Times Opponent 
finished top 6 
on the week</t>
  </si>
  <si>
    <t>Times Opponent 
finished bottom 6 
on the week</t>
  </si>
  <si>
    <t>Top 3 
Opponents Faced</t>
  </si>
  <si>
    <t>Times Opponent
Above 100</t>
  </si>
  <si>
    <t>92.6</t>
  </si>
  <si>
    <t>88.6</t>
  </si>
  <si>
    <t>104.3</t>
  </si>
  <si>
    <t>112.7</t>
  </si>
  <si>
    <t>102.6</t>
  </si>
  <si>
    <t>71.2</t>
  </si>
  <si>
    <t>80.8</t>
  </si>
  <si>
    <t>118.8</t>
  </si>
  <si>
    <t>152.8</t>
  </si>
  <si>
    <t>93.8</t>
  </si>
  <si>
    <t>85.2</t>
  </si>
  <si>
    <t>75.6</t>
  </si>
  <si>
    <t>138.3</t>
  </si>
  <si>
    <t>94.5</t>
  </si>
  <si>
    <t>69.5</t>
  </si>
  <si>
    <t>62.9</t>
  </si>
  <si>
    <t>108.5</t>
  </si>
  <si>
    <t>62.2</t>
  </si>
  <si>
    <t>163.1</t>
  </si>
  <si>
    <t>99</t>
  </si>
  <si>
    <t>77.1</t>
  </si>
  <si>
    <t>82.1</t>
  </si>
  <si>
    <t>107.3</t>
  </si>
  <si>
    <t>Week 14</t>
  </si>
  <si>
    <t>Week 15</t>
  </si>
  <si>
    <t>Week 16</t>
  </si>
  <si>
    <t>PF Regular Season</t>
  </si>
  <si>
    <t>PF Playoffs</t>
  </si>
  <si>
    <t>PF Playoffs PPG</t>
  </si>
  <si>
    <t>Points Behind Leader</t>
  </si>
  <si>
    <t>Schedule Optimizer</t>
  </si>
  <si>
    <t>W</t>
  </si>
  <si>
    <t>L</t>
  </si>
  <si>
    <t>W/L</t>
  </si>
  <si>
    <t>Opponent Points</t>
  </si>
  <si>
    <t>Your Points Scored</t>
  </si>
  <si>
    <t>Total Points</t>
  </si>
  <si>
    <t>Points Behind Leader Season</t>
  </si>
  <si>
    <t>Total</t>
  </si>
  <si>
    <t>PPG</t>
  </si>
  <si>
    <t>Points Behind Leader Playoffs</t>
  </si>
  <si>
    <t>Regular Season</t>
  </si>
  <si>
    <t>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</si>
</sst>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5" xfId="0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 wrapText="1"/>
    </xf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1">
    <cellStyle name="Normal" xfId="0" builtinId="0"/>
  </cellStyles>
  <dxfs count="32"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5712-70EE-4DC0-9FA9-067FE0D51E0B}">
  <sheetPr codeName="Sheet10"/>
  <dimension ref="A1:B29"/>
  <sheetViews>
    <sheetView topLeftCell="A24" workbookViewId="0">
      <selection activeCell="A16" sqref="A16:A28"/>
    </sheetView>
  </sheetViews>
  <sheetFormatPr defaultRowHeight="14.75" x14ac:dyDescent="0.75"/>
  <cols>
    <col min="1" max="1" width="16.54296875" bestFit="1" customWidth="1"/>
    <col min="2" max="2" width="22.6796875" customWidth="1"/>
  </cols>
  <sheetData>
    <row r="1" spans="1:2" ht="15.5" thickBot="1" x14ac:dyDescent="0.9"/>
    <row r="2" spans="1:2" ht="16.25" thickTop="1" thickBot="1" x14ac:dyDescent="0.9">
      <c r="A2" s="4" t="s">
        <v>161</v>
      </c>
      <c r="B2" s="4" t="s">
        <v>174</v>
      </c>
    </row>
    <row r="3" spans="1:2" ht="16.25" thickTop="1" thickBot="1" x14ac:dyDescent="0.9">
      <c r="A3" s="4" t="s">
        <v>1</v>
      </c>
      <c r="B3" s="4" t="s">
        <v>162</v>
      </c>
    </row>
    <row r="4" spans="1:2" ht="16.25" thickTop="1" thickBot="1" x14ac:dyDescent="0.9">
      <c r="A4" s="4" t="s">
        <v>3</v>
      </c>
      <c r="B4" s="4" t="s">
        <v>163</v>
      </c>
    </row>
    <row r="5" spans="1:2" ht="16.25" thickTop="1" thickBot="1" x14ac:dyDescent="0.9">
      <c r="A5" s="4" t="s">
        <v>6</v>
      </c>
      <c r="B5" s="4" t="s">
        <v>164</v>
      </c>
    </row>
    <row r="6" spans="1:2" ht="16.25" thickTop="1" thickBot="1" x14ac:dyDescent="0.9">
      <c r="A6" s="4" t="s">
        <v>8</v>
      </c>
      <c r="B6" s="4" t="s">
        <v>165</v>
      </c>
    </row>
    <row r="7" spans="1:2" ht="16.25" thickTop="1" thickBot="1" x14ac:dyDescent="0.9">
      <c r="A7" s="4" t="s">
        <v>11</v>
      </c>
      <c r="B7" s="4" t="s">
        <v>166</v>
      </c>
    </row>
    <row r="8" spans="1:2" ht="16.25" thickTop="1" thickBot="1" x14ac:dyDescent="0.9">
      <c r="A8" s="4" t="s">
        <v>13</v>
      </c>
      <c r="B8" s="4" t="s">
        <v>167</v>
      </c>
    </row>
    <row r="9" spans="1:2" ht="16.25" thickTop="1" thickBot="1" x14ac:dyDescent="0.9">
      <c r="A9" s="4" t="s">
        <v>16</v>
      </c>
      <c r="B9" s="4" t="s">
        <v>168</v>
      </c>
    </row>
    <row r="10" spans="1:2" ht="16.25" thickTop="1" thickBot="1" x14ac:dyDescent="0.9">
      <c r="A10" s="4" t="s">
        <v>18</v>
      </c>
      <c r="B10" s="4" t="s">
        <v>169</v>
      </c>
    </row>
    <row r="11" spans="1:2" ht="16.25" thickTop="1" thickBot="1" x14ac:dyDescent="0.9">
      <c r="A11" s="4" t="s">
        <v>21</v>
      </c>
      <c r="B11" s="4" t="s">
        <v>170</v>
      </c>
    </row>
    <row r="12" spans="1:2" ht="16.25" thickTop="1" thickBot="1" x14ac:dyDescent="0.9">
      <c r="A12" s="4" t="s">
        <v>23</v>
      </c>
      <c r="B12" s="4" t="s">
        <v>171</v>
      </c>
    </row>
    <row r="13" spans="1:2" ht="16.25" thickTop="1" thickBot="1" x14ac:dyDescent="0.9">
      <c r="A13" s="4" t="s">
        <v>26</v>
      </c>
      <c r="B13" s="4" t="s">
        <v>172</v>
      </c>
    </row>
    <row r="14" spans="1:2" ht="16.25" thickTop="1" thickBot="1" x14ac:dyDescent="0.9">
      <c r="A14" s="4" t="s">
        <v>28</v>
      </c>
      <c r="B14" s="4" t="s">
        <v>173</v>
      </c>
    </row>
    <row r="15" spans="1:2" ht="16.25" thickTop="1" thickBot="1" x14ac:dyDescent="0.9"/>
    <row r="16" spans="1:2" ht="16.25" thickTop="1" thickBot="1" x14ac:dyDescent="0.9">
      <c r="A16" s="4" t="s">
        <v>174</v>
      </c>
      <c r="B16" s="4" t="s">
        <v>161</v>
      </c>
    </row>
    <row r="17" spans="1:2" ht="16.25" thickTop="1" thickBot="1" x14ac:dyDescent="0.9">
      <c r="A17" s="4" t="s">
        <v>162</v>
      </c>
      <c r="B17" s="4" t="s">
        <v>1</v>
      </c>
    </row>
    <row r="18" spans="1:2" ht="16.25" thickTop="1" thickBot="1" x14ac:dyDescent="0.9">
      <c r="A18" s="4" t="s">
        <v>163</v>
      </c>
      <c r="B18" s="4" t="s">
        <v>3</v>
      </c>
    </row>
    <row r="19" spans="1:2" ht="16.25" thickTop="1" thickBot="1" x14ac:dyDescent="0.9">
      <c r="A19" s="4" t="s">
        <v>164</v>
      </c>
      <c r="B19" s="4" t="s">
        <v>6</v>
      </c>
    </row>
    <row r="20" spans="1:2" ht="16.25" thickTop="1" thickBot="1" x14ac:dyDescent="0.9">
      <c r="A20" s="4" t="s">
        <v>165</v>
      </c>
      <c r="B20" s="4" t="s">
        <v>8</v>
      </c>
    </row>
    <row r="21" spans="1:2" ht="16.25" thickTop="1" thickBot="1" x14ac:dyDescent="0.9">
      <c r="A21" s="4" t="s">
        <v>166</v>
      </c>
      <c r="B21" s="4" t="s">
        <v>11</v>
      </c>
    </row>
    <row r="22" spans="1:2" ht="16.25" thickTop="1" thickBot="1" x14ac:dyDescent="0.9">
      <c r="A22" s="4" t="s">
        <v>167</v>
      </c>
      <c r="B22" s="4" t="s">
        <v>13</v>
      </c>
    </row>
    <row r="23" spans="1:2" ht="16.25" thickTop="1" thickBot="1" x14ac:dyDescent="0.9">
      <c r="A23" s="4" t="s">
        <v>168</v>
      </c>
      <c r="B23" s="4" t="s">
        <v>16</v>
      </c>
    </row>
    <row r="24" spans="1:2" ht="16.25" thickTop="1" thickBot="1" x14ac:dyDescent="0.9">
      <c r="A24" s="4" t="s">
        <v>169</v>
      </c>
      <c r="B24" s="4" t="s">
        <v>18</v>
      </c>
    </row>
    <row r="25" spans="1:2" ht="16.25" thickTop="1" thickBot="1" x14ac:dyDescent="0.9">
      <c r="A25" s="4" t="s">
        <v>170</v>
      </c>
      <c r="B25" s="4" t="s">
        <v>21</v>
      </c>
    </row>
    <row r="26" spans="1:2" ht="16.25" thickTop="1" thickBot="1" x14ac:dyDescent="0.9">
      <c r="A26" s="4" t="s">
        <v>171</v>
      </c>
      <c r="B26" s="4" t="s">
        <v>23</v>
      </c>
    </row>
    <row r="27" spans="1:2" ht="16.25" thickTop="1" thickBot="1" x14ac:dyDescent="0.9">
      <c r="A27" s="4" t="s">
        <v>172</v>
      </c>
      <c r="B27" s="4" t="s">
        <v>26</v>
      </c>
    </row>
    <row r="28" spans="1:2" ht="16.25" thickTop="1" thickBot="1" x14ac:dyDescent="0.9">
      <c r="A28" s="4" t="s">
        <v>173</v>
      </c>
      <c r="B28" s="4" t="s">
        <v>28</v>
      </c>
    </row>
    <row r="29" spans="1:2" ht="15.5" thickTop="1" x14ac:dyDescent="0.7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3E2F8-BAA9-48A7-A298-71B74C68F8E1}">
  <sheetPr codeName="Sheet15"/>
  <dimension ref="A1:BJ48"/>
  <sheetViews>
    <sheetView tabSelected="1" zoomScale="47" zoomScaleNormal="70" workbookViewId="0">
      <selection activeCell="I61" sqref="I61"/>
    </sheetView>
  </sheetViews>
  <sheetFormatPr defaultRowHeight="14.75" x14ac:dyDescent="0.75"/>
  <cols>
    <col min="1" max="1" width="17.31640625" style="1" customWidth="1"/>
    <col min="2" max="2" width="13.90625" style="1" customWidth="1"/>
    <col min="3" max="3" width="8.90625" style="1" bestFit="1" customWidth="1"/>
    <col min="4" max="4" width="12.1796875" style="1" bestFit="1" customWidth="1"/>
    <col min="5" max="5" width="9.953125" customWidth="1"/>
    <col min="6" max="6" width="8.90625" bestFit="1" customWidth="1"/>
    <col min="7" max="7" width="12.1796875" bestFit="1" customWidth="1"/>
    <col min="8" max="8" width="6.86328125" bestFit="1" customWidth="1"/>
    <col min="9" max="9" width="8.90625" bestFit="1" customWidth="1"/>
    <col min="10" max="10" width="12.1796875" bestFit="1" customWidth="1"/>
    <col min="11" max="11" width="6.86328125" bestFit="1" customWidth="1"/>
    <col min="12" max="12" width="8.90625" bestFit="1" customWidth="1"/>
    <col min="13" max="13" width="12.1796875" bestFit="1" customWidth="1"/>
    <col min="14" max="14" width="7.90625" bestFit="1" customWidth="1"/>
    <col min="15" max="15" width="8.90625" bestFit="1" customWidth="1"/>
    <col min="16" max="16" width="12.1796875" customWidth="1"/>
    <col min="17" max="17" width="7.90625" bestFit="1" customWidth="1"/>
    <col min="18" max="18" width="8.90625" bestFit="1" customWidth="1"/>
    <col min="19" max="19" width="12.1796875" bestFit="1" customWidth="1"/>
    <col min="20" max="20" width="15.54296875" bestFit="1" customWidth="1"/>
    <col min="21" max="21" width="9.453125" bestFit="1" customWidth="1"/>
    <col min="22" max="22" width="18.453125" bestFit="1" customWidth="1"/>
    <col min="23" max="23" width="13.36328125" bestFit="1" customWidth="1"/>
    <col min="24" max="24" width="8.90625" bestFit="1" customWidth="1"/>
    <col min="25" max="25" width="17.953125" bestFit="1" customWidth="1"/>
    <col min="26" max="26" width="18.453125" bestFit="1" customWidth="1"/>
    <col min="27" max="27" width="8.90625" bestFit="1" customWidth="1"/>
    <col min="28" max="28" width="12.1796875" bestFit="1" customWidth="1"/>
    <col min="29" max="29" width="4.7265625" bestFit="1" customWidth="1"/>
    <col min="30" max="30" width="8.90625" bestFit="1" customWidth="1"/>
    <col min="31" max="31" width="12.1796875" bestFit="1" customWidth="1"/>
    <col min="32" max="32" width="4.7265625" bestFit="1" customWidth="1"/>
    <col min="33" max="33" width="8.90625" bestFit="1" customWidth="1"/>
    <col min="34" max="34" width="12.1796875" bestFit="1" customWidth="1"/>
    <col min="35" max="35" width="4.7265625" bestFit="1" customWidth="1"/>
    <col min="36" max="36" width="8.90625" bestFit="1" customWidth="1"/>
    <col min="37" max="37" width="12.1796875" bestFit="1" customWidth="1"/>
    <col min="38" max="38" width="4.7265625" bestFit="1" customWidth="1"/>
    <col min="39" max="39" width="8.90625" bestFit="1" customWidth="1"/>
    <col min="40" max="40" width="12.1796875" bestFit="1" customWidth="1"/>
    <col min="41" max="41" width="4.7265625" bestFit="1" customWidth="1"/>
    <col min="42" max="42" width="8.90625" bestFit="1" customWidth="1"/>
    <col min="43" max="43" width="12.1796875" bestFit="1" customWidth="1"/>
    <col min="44" max="44" width="6.40625" customWidth="1"/>
    <col min="45" max="45" width="8.90625" bestFit="1" customWidth="1"/>
    <col min="46" max="46" width="12.1796875" bestFit="1" customWidth="1"/>
    <col min="47" max="47" width="4.7265625" customWidth="1"/>
    <col min="48" max="48" width="8.90625" bestFit="1" customWidth="1"/>
    <col min="49" max="49" width="12.1796875" bestFit="1" customWidth="1"/>
    <col min="50" max="50" width="4.7265625" customWidth="1"/>
    <col min="51" max="51" width="12.76953125" bestFit="1" customWidth="1"/>
    <col min="52" max="52" width="14" customWidth="1"/>
    <col min="53" max="53" width="12.453125" customWidth="1"/>
    <col min="54" max="54" width="21.453125" bestFit="1" customWidth="1"/>
    <col min="55" max="55" width="21.453125" customWidth="1"/>
    <col min="56" max="56" width="14.1796875" bestFit="1" customWidth="1"/>
    <col min="57" max="57" width="15.1328125" bestFit="1" customWidth="1"/>
    <col min="58" max="58" width="14.953125" bestFit="1" customWidth="1"/>
    <col min="59" max="59" width="14.1796875" bestFit="1" customWidth="1"/>
    <col min="60" max="60" width="20.6796875" customWidth="1"/>
    <col min="61" max="61" width="12.453125" customWidth="1"/>
  </cols>
  <sheetData>
    <row r="1" spans="1:62" ht="16.25" thickTop="1" thickBot="1" x14ac:dyDescent="0.9">
      <c r="C1" s="18" t="s">
        <v>175</v>
      </c>
      <c r="D1" s="19"/>
      <c r="E1" s="20"/>
      <c r="F1" s="18" t="s">
        <v>179</v>
      </c>
      <c r="G1" s="19"/>
      <c r="H1" s="20"/>
      <c r="I1" s="18" t="s">
        <v>180</v>
      </c>
      <c r="J1" s="19"/>
      <c r="K1" s="20"/>
      <c r="L1" s="18" t="s">
        <v>181</v>
      </c>
      <c r="M1" s="19"/>
      <c r="N1" s="20"/>
      <c r="O1" s="18" t="s">
        <v>182</v>
      </c>
      <c r="P1" s="19"/>
      <c r="Q1" s="20"/>
      <c r="R1" s="18" t="s">
        <v>183</v>
      </c>
      <c r="S1" s="19"/>
      <c r="T1" s="20"/>
      <c r="U1" s="18" t="s">
        <v>184</v>
      </c>
      <c r="V1" s="19"/>
      <c r="W1" s="20"/>
      <c r="X1" s="18" t="s">
        <v>185</v>
      </c>
      <c r="Y1" s="19"/>
      <c r="Z1" s="20"/>
      <c r="AA1" s="18" t="s">
        <v>186</v>
      </c>
      <c r="AB1" s="19"/>
      <c r="AC1" s="20"/>
      <c r="AD1" s="18" t="s">
        <v>187</v>
      </c>
      <c r="AE1" s="19"/>
      <c r="AF1" s="20"/>
      <c r="AG1" s="18" t="s">
        <v>188</v>
      </c>
      <c r="AH1" s="19"/>
      <c r="AI1" s="20"/>
      <c r="AJ1" s="18" t="s">
        <v>189</v>
      </c>
      <c r="AK1" s="19"/>
      <c r="AL1" s="20"/>
      <c r="AM1" s="18" t="s">
        <v>190</v>
      </c>
      <c r="AN1" s="19"/>
      <c r="AO1" s="20"/>
      <c r="AP1" s="18" t="s">
        <v>228</v>
      </c>
      <c r="AQ1" s="19"/>
      <c r="AR1" s="20"/>
      <c r="AS1" s="18" t="s">
        <v>229</v>
      </c>
      <c r="AT1" s="19"/>
      <c r="AU1" s="20"/>
      <c r="AV1" s="18" t="s">
        <v>230</v>
      </c>
      <c r="AW1" s="19"/>
      <c r="AX1" s="20"/>
      <c r="AY1" s="18" t="s">
        <v>194</v>
      </c>
      <c r="AZ1" s="19"/>
      <c r="BA1" s="19"/>
      <c r="BB1" s="19"/>
      <c r="BC1" s="20"/>
    </row>
    <row r="2" spans="1:62" ht="60.5" thickTop="1" thickBot="1" x14ac:dyDescent="0.9">
      <c r="A2" s="4" t="s">
        <v>161</v>
      </c>
      <c r="B2" s="4" t="s">
        <v>174</v>
      </c>
      <c r="C2" s="4" t="s">
        <v>176</v>
      </c>
      <c r="D2" s="4" t="s">
        <v>177</v>
      </c>
      <c r="E2" s="4" t="s">
        <v>178</v>
      </c>
      <c r="F2" s="4" t="s">
        <v>176</v>
      </c>
      <c r="G2" s="4" t="s">
        <v>177</v>
      </c>
      <c r="H2" s="4" t="s">
        <v>178</v>
      </c>
      <c r="I2" s="4" t="s">
        <v>176</v>
      </c>
      <c r="J2" s="4" t="s">
        <v>177</v>
      </c>
      <c r="K2" s="4" t="s">
        <v>178</v>
      </c>
      <c r="L2" s="4" t="s">
        <v>176</v>
      </c>
      <c r="M2" s="4" t="s">
        <v>177</v>
      </c>
      <c r="N2" s="4" t="s">
        <v>178</v>
      </c>
      <c r="O2" s="4" t="s">
        <v>176</v>
      </c>
      <c r="P2" s="4" t="s">
        <v>177</v>
      </c>
      <c r="Q2" s="4" t="s">
        <v>178</v>
      </c>
      <c r="R2" s="4" t="s">
        <v>176</v>
      </c>
      <c r="S2" s="4" t="s">
        <v>177</v>
      </c>
      <c r="T2" s="4" t="s">
        <v>178</v>
      </c>
      <c r="U2" s="4" t="s">
        <v>176</v>
      </c>
      <c r="V2" s="4" t="s">
        <v>177</v>
      </c>
      <c r="W2" s="4" t="s">
        <v>178</v>
      </c>
      <c r="X2" s="4" t="s">
        <v>176</v>
      </c>
      <c r="Y2" s="4" t="s">
        <v>177</v>
      </c>
      <c r="Z2" s="4" t="s">
        <v>178</v>
      </c>
      <c r="AA2" s="4" t="s">
        <v>176</v>
      </c>
      <c r="AB2" s="4" t="s">
        <v>177</v>
      </c>
      <c r="AC2" s="4" t="s">
        <v>178</v>
      </c>
      <c r="AD2" s="4" t="s">
        <v>176</v>
      </c>
      <c r="AE2" s="4" t="s">
        <v>177</v>
      </c>
      <c r="AF2" s="4" t="s">
        <v>178</v>
      </c>
      <c r="AG2" s="4" t="s">
        <v>176</v>
      </c>
      <c r="AH2" s="4" t="s">
        <v>177</v>
      </c>
      <c r="AI2" s="4" t="s">
        <v>178</v>
      </c>
      <c r="AJ2" s="4" t="s">
        <v>176</v>
      </c>
      <c r="AK2" s="4" t="s">
        <v>177</v>
      </c>
      <c r="AL2" s="4" t="s">
        <v>178</v>
      </c>
      <c r="AM2" s="4" t="s">
        <v>176</v>
      </c>
      <c r="AN2" s="4" t="s">
        <v>177</v>
      </c>
      <c r="AO2" s="4" t="s">
        <v>178</v>
      </c>
      <c r="AP2" s="4" t="s">
        <v>176</v>
      </c>
      <c r="AQ2" s="4" t="s">
        <v>177</v>
      </c>
      <c r="AR2" s="4" t="s">
        <v>178</v>
      </c>
      <c r="AS2" s="4" t="s">
        <v>176</v>
      </c>
      <c r="AT2" s="4" t="s">
        <v>177</v>
      </c>
      <c r="AU2" s="4" t="s">
        <v>178</v>
      </c>
      <c r="AV2" s="4" t="s">
        <v>176</v>
      </c>
      <c r="AW2" s="4" t="s">
        <v>177</v>
      </c>
      <c r="AX2" s="4" t="s">
        <v>178</v>
      </c>
      <c r="AY2" s="4" t="s">
        <v>191</v>
      </c>
      <c r="AZ2" s="4" t="s">
        <v>196</v>
      </c>
      <c r="BA2" s="4" t="s">
        <v>178</v>
      </c>
      <c r="BB2" s="7" t="s">
        <v>197</v>
      </c>
      <c r="BC2" s="7" t="s">
        <v>198</v>
      </c>
      <c r="BD2" s="9" t="s">
        <v>201</v>
      </c>
      <c r="BE2" s="9" t="s">
        <v>202</v>
      </c>
      <c r="BF2" s="9" t="s">
        <v>203</v>
      </c>
      <c r="BG2" s="9" t="s">
        <v>204</v>
      </c>
      <c r="BH2" s="4" t="s">
        <v>192</v>
      </c>
      <c r="BI2" s="4" t="s">
        <v>193</v>
      </c>
      <c r="BJ2" s="4" t="s">
        <v>178</v>
      </c>
    </row>
    <row r="3" spans="1:62" ht="16.25" thickTop="1" thickBot="1" x14ac:dyDescent="0.9">
      <c r="A3" s="4" t="s">
        <v>1</v>
      </c>
      <c r="B3" s="4" t="s">
        <v>162</v>
      </c>
      <c r="C3" s="4" t="str">
        <f ca="1">VLOOKUP(VLOOKUP($A3,INDIRECT("'"&amp;C$1&amp;"'!"&amp;"$A$2:$C$23"),3,FALSE),$A$3:$B$14,2,FALSE)</f>
        <v>Sara</v>
      </c>
      <c r="D3" s="5">
        <f ca="1">_xlfn.NUMBERVALUE(VLOOKUP(VLOOKUP(C3,Key!$A$17:$B$28,2,FALSE),INDIRECT("'"&amp;C$1&amp;"'!"&amp;"$A$2:$C$23"),2,FALSE))</f>
        <v>93.9</v>
      </c>
      <c r="E3" s="4">
        <f ca="1">_xlfn.RANK.EQ(D3,D$3:D$14,0)</f>
        <v>2</v>
      </c>
      <c r="F3" s="4" t="str">
        <f ca="1">VLOOKUP(VLOOKUP($A3,INDIRECT("'"&amp;F$1&amp;"'!"&amp;"$A$2:$C$23"),3,FALSE),$A$3:$B$14,2,FALSE)</f>
        <v>Sam</v>
      </c>
      <c r="G3" s="5">
        <f ca="1">_xlfn.NUMBERVALUE(VLOOKUP(VLOOKUP(F3,Key!$A$17:$B$28,2,FALSE),INDIRECT("'"&amp;F$1&amp;"'!"&amp;"$A$2:$C$23"),2,FALSE))</f>
        <v>83.3</v>
      </c>
      <c r="H3" s="4">
        <f ca="1">_xlfn.RANK.EQ(G3,G$3:G$14,0)</f>
        <v>9</v>
      </c>
      <c r="I3" s="4" t="str">
        <f ca="1">VLOOKUP(VLOOKUP($A3,INDIRECT("'"&amp;I$1&amp;"'!"&amp;"$A$2:$C$23"),3,FALSE),$A$3:$B$14,2,FALSE)</f>
        <v>Catina</v>
      </c>
      <c r="J3" s="5">
        <f ca="1">_xlfn.NUMBERVALUE(VLOOKUP(VLOOKUP(I3,Key!$A$17:$B$28,2,FALSE),INDIRECT("'"&amp;I$1&amp;"'!"&amp;"$A$2:$C$23"),2,FALSE))</f>
        <v>95.9</v>
      </c>
      <c r="K3" s="4">
        <f ca="1">_xlfn.RANK.EQ(J3,J$3:J$14,0)</f>
        <v>6</v>
      </c>
      <c r="L3" s="4" t="str">
        <f ca="1">VLOOKUP(VLOOKUP($A3,INDIRECT("'"&amp;L$1&amp;"'!"&amp;"$A$2:$C$23"),3,FALSE),$A$3:$B$14,2,FALSE)</f>
        <v>Jesse</v>
      </c>
      <c r="M3" s="5">
        <f ca="1">_xlfn.NUMBERVALUE(VLOOKUP(VLOOKUP(L3,Key!$A$17:$B$28,2,FALSE),INDIRECT("'"&amp;L$1&amp;"'!"&amp;"$A$2:$C$23"),2,FALSE))</f>
        <v>76.099999999999994</v>
      </c>
      <c r="N3" s="4">
        <f ca="1">_xlfn.RANK.EQ(M3,M$3:M$14,0)</f>
        <v>9</v>
      </c>
      <c r="O3" s="4" t="str">
        <f ca="1">VLOOKUP(VLOOKUP($A3,INDIRECT("'"&amp;O$1&amp;"'!"&amp;"$A$2:$C$23"),3,FALSE),$A$3:$B$14,2,FALSE)</f>
        <v>Cody</v>
      </c>
      <c r="P3" s="5">
        <f ca="1">_xlfn.NUMBERVALUE(VLOOKUP(VLOOKUP(O3,Key!$A$17:$B$28,2,FALSE),INDIRECT("'"&amp;O$1&amp;"'!"&amp;"$A$2:$C$23"),2,FALSE))</f>
        <v>106.4</v>
      </c>
      <c r="Q3" s="4">
        <f ca="1">_xlfn.RANK.EQ(P3,P$3:P$14,0)</f>
        <v>3</v>
      </c>
      <c r="R3" s="4" t="str">
        <f ca="1">VLOOKUP(VLOOKUP($A3,INDIRECT("'"&amp;R$1&amp;"'!"&amp;"$A$2:$C$23"),3,FALSE),$A$3:$B$14,2,FALSE)</f>
        <v>Ed</v>
      </c>
      <c r="S3" s="5">
        <f ca="1">_xlfn.NUMBERVALUE(VLOOKUP(VLOOKUP(R3,Key!$A$17:$B$28,2,FALSE),INDIRECT("'"&amp;R$1&amp;"'!"&amp;"$A$2:$C$23"),2,FALSE))</f>
        <v>57.1</v>
      </c>
      <c r="T3" s="4">
        <f ca="1">_xlfn.RANK.EQ(S3,S$3:S$14,0)</f>
        <v>11</v>
      </c>
      <c r="U3" s="4" t="str">
        <f ca="1">VLOOKUP(VLOOKUP($A3,INDIRECT("'"&amp;U$1&amp;"'!"&amp;"$A$2:$C$23"),3,FALSE),$A$3:$B$14,2,FALSE)</f>
        <v>Steve</v>
      </c>
      <c r="V3" s="5">
        <f ca="1">_xlfn.NUMBERVALUE(VLOOKUP(VLOOKUP(U3,Key!$A$17:$B$28,2,FALSE),INDIRECT("'"&amp;U$1&amp;"'!"&amp;"$A$2:$C$23"),2,FALSE))</f>
        <v>57.2</v>
      </c>
      <c r="W3" s="4">
        <f ca="1">_xlfn.RANK.EQ(V3,V$3:V$14,0)</f>
        <v>11</v>
      </c>
      <c r="X3" s="4" t="str">
        <f ca="1">VLOOKUP(VLOOKUP($A3,INDIRECT("'"&amp;X$1&amp;"'!"&amp;"$A$2:$C$23"),3,FALSE),$A$3:$B$14,2,FALSE)</f>
        <v>Nicole</v>
      </c>
      <c r="Y3" s="5">
        <f ca="1">_xlfn.NUMBERVALUE(VLOOKUP(VLOOKUP(X3,Key!$A$17:$B$28,2,FALSE),INDIRECT("'"&amp;X$1&amp;"'!"&amp;"$A$2:$C$23"),2,FALSE))</f>
        <v>74.900000000000006</v>
      </c>
      <c r="Z3" s="4">
        <f ca="1">_xlfn.RANK.EQ(Y3,Y$3:Y$14,0)</f>
        <v>10</v>
      </c>
      <c r="AA3" s="4" t="str">
        <f ca="1">VLOOKUP(VLOOKUP($A3,INDIRECT("'"&amp;AA$1&amp;"'!"&amp;"$A$2:$C$23"),3,FALSE),$A$3:$B$14,2,FALSE)</f>
        <v>Binder</v>
      </c>
      <c r="AB3" s="5">
        <f ca="1">_xlfn.NUMBERVALUE(VLOOKUP(VLOOKUP(AA3,Key!$A$17:$B$28,2,FALSE),INDIRECT("'"&amp;AA$1&amp;"'!"&amp;"$A$2:$C$23"),2,FALSE))</f>
        <v>83.8</v>
      </c>
      <c r="AC3" s="4">
        <f ca="1">_xlfn.RANK.EQ(AB3,AB$3:AB$14,0)</f>
        <v>10</v>
      </c>
      <c r="AD3" s="4" t="str">
        <f ca="1">VLOOKUP(VLOOKUP($A3,INDIRECT("'"&amp;AD$1&amp;"'!"&amp;"$A$2:$C$23"),3,FALSE),$A$3:$B$14,2,FALSE)</f>
        <v>Jake</v>
      </c>
      <c r="AE3" s="5">
        <f ca="1">_xlfn.NUMBERVALUE(VLOOKUP(VLOOKUP(AD3,Key!$A$17:$B$28,2,FALSE),INDIRECT("'"&amp;AD$1&amp;"'!"&amp;"$A$2:$C$23"),2,FALSE))</f>
        <v>101.6</v>
      </c>
      <c r="AF3" s="4">
        <f ca="1">_xlfn.RANK.EQ(AE3,AE$3:AE$14,0)</f>
        <v>4</v>
      </c>
      <c r="AG3" s="4" t="str">
        <f ca="1">VLOOKUP(VLOOKUP($A3,INDIRECT("'"&amp;AG$1&amp;"'!"&amp;"$A$2:$C$23"),3,FALSE),$A$3:$B$14,2,FALSE)</f>
        <v>Dave</v>
      </c>
      <c r="AH3" s="5">
        <f ca="1">_xlfn.NUMBERVALUE(VLOOKUP(VLOOKUP(AG3,Key!$A$17:$B$28,2,FALSE),INDIRECT("'"&amp;AG$1&amp;"'!"&amp;"$A$2:$C$23"),2,FALSE))</f>
        <v>116.5</v>
      </c>
      <c r="AI3" s="4">
        <f ca="1">_xlfn.RANK.EQ(AH3,AH$3:AH$14,0)</f>
        <v>4</v>
      </c>
      <c r="AJ3" s="4" t="str">
        <f ca="1">VLOOKUP(VLOOKUP($A3,INDIRECT("'"&amp;AJ$1&amp;"'!"&amp;"$A$2:$C$23"),3,FALSE),$A$3:$B$14,2,FALSE)</f>
        <v>Catina</v>
      </c>
      <c r="AK3" s="5">
        <f ca="1">_xlfn.NUMBERVALUE(VLOOKUP(VLOOKUP(AJ3,Key!$A$17:$B$28,2,FALSE),INDIRECT("'"&amp;AJ$1&amp;"'!"&amp;"$A$2:$C$23"),2,FALSE))</f>
        <v>121.6</v>
      </c>
      <c r="AL3" s="4">
        <f ca="1">_xlfn.RANK.EQ(AK3,AK$3:AK$14,0)</f>
        <v>2</v>
      </c>
      <c r="AM3" s="4" t="str">
        <f ca="1">VLOOKUP(VLOOKUP($A3,INDIRECT("'"&amp;AM$1&amp;"'!"&amp;"$A$2:$C$23"),3,FALSE),$A$3:$B$14,2,FALSE)</f>
        <v>Jesse</v>
      </c>
      <c r="AN3" s="5">
        <f ca="1">_xlfn.NUMBERVALUE(VLOOKUP(VLOOKUP(AM3,Key!$A$17:$B$28,2,FALSE),INDIRECT("'"&amp;AM$1&amp;"'!"&amp;"$A$2:$C$23"),2,FALSE))</f>
        <v>86.9</v>
      </c>
      <c r="AO3" s="4">
        <f ca="1">_xlfn.RANK.EQ(AN3,AN$3:AN$14,0)</f>
        <v>8</v>
      </c>
      <c r="AP3" s="4" t="str">
        <f ca="1">VLOOKUP(VLOOKUP($A3,INDIRECT("'"&amp;AP$1&amp;"'!"&amp;"$A$2:$C$23"),3,FALSE),$A$3:$B$14,2,FALSE)</f>
        <v>Steve</v>
      </c>
      <c r="AQ3" s="5">
        <f ca="1">_xlfn.NUMBERVALUE(VLOOKUP(VLOOKUP(AP3,Key!$A$17:$B$28,2,FALSE),INDIRECT("'"&amp;AP$1&amp;"'!"&amp;"$A$2:$C$23"),2,FALSE))</f>
        <v>80.8</v>
      </c>
      <c r="AR3" s="4">
        <f ca="1">_xlfn.RANK.EQ(AQ3,AQ$3:AQ$14,0)</f>
        <v>9</v>
      </c>
      <c r="AS3" s="4" t="str">
        <f ca="1">VLOOKUP(VLOOKUP($A3,INDIRECT("'"&amp;AS$1&amp;"'!"&amp;"$A$2:$C$23"),3,FALSE),$A$3:$B$14,2,FALSE)</f>
        <v>Sara</v>
      </c>
      <c r="AT3" s="5">
        <f ca="1">_xlfn.NUMBERVALUE(VLOOKUP(VLOOKUP(AS3,Key!$A$17:$B$28,2,FALSE),INDIRECT("'"&amp;AS$1&amp;"'!"&amp;"$A$2:$C$23"),2,FALSE))</f>
        <v>88.6</v>
      </c>
      <c r="AU3" s="4">
        <f ca="1">_xlfn.RANK.EQ(AT3,AT$3:AT$14,0)</f>
        <v>7</v>
      </c>
      <c r="AV3" s="4" t="str">
        <f ca="1">VLOOKUP(VLOOKUP($A3,INDIRECT("'"&amp;AV$1&amp;"'!"&amp;"$A$2:$C$23"),3,FALSE),$A$3:$B$14,2,FALSE)</f>
        <v>Catina</v>
      </c>
      <c r="AW3" s="5">
        <f ca="1">_xlfn.NUMBERVALUE(VLOOKUP(VLOOKUP(AV3,Key!$A$17:$B$28,2,FALSE),INDIRECT("'"&amp;AV$1&amp;"'!"&amp;"$A$2:$C$23"),2,FALSE))</f>
        <v>163.1</v>
      </c>
      <c r="AX3" s="4">
        <f ca="1">_xlfn.RANK.EQ(AW3,AW$3:AW$14,0)</f>
        <v>1</v>
      </c>
      <c r="AY3" s="4">
        <f ca="1">SUMIF($C$2:$AO$2,"Points Against",C3:AO3)</f>
        <v>1155.2</v>
      </c>
      <c r="AZ3" s="5">
        <f ca="1">AY3/13</f>
        <v>88.861538461538458</v>
      </c>
      <c r="BA3" s="4">
        <f ca="1">_xlfn.RANK.AVG(AZ3,$AZ$3:$AZ$14,)</f>
        <v>10</v>
      </c>
      <c r="BB3" s="5">
        <f ca="1">AZ3-MAX($AZ$3:$AZ$14)</f>
        <v>-11.330769230769235</v>
      </c>
      <c r="BC3" s="5">
        <f ca="1">AZ3-AVERAGE(AZ3:AZ14)</f>
        <v>-4.0358974358974393</v>
      </c>
      <c r="BD3" s="4">
        <f ca="1">COUNTIFS($C$2:$AO$2,"Rank",C3:AO3,"&lt;=6")</f>
        <v>6</v>
      </c>
      <c r="BE3" s="4">
        <f ca="1">COUNTIFS($C$2:$AO$2,"Rank",C3:AO3,"&gt;6")</f>
        <v>7</v>
      </c>
      <c r="BF3" s="4">
        <f ca="1">COUNTIFS($C$2:$AO$2,"Rank",C3:AO3,"&lt;=3")</f>
        <v>3</v>
      </c>
      <c r="BG3" s="4">
        <f ca="1">COUNTIFS($C$2:$AO$2,"Points Against",C3:AO3,"&gt;=100")</f>
        <v>4</v>
      </c>
      <c r="BH3" s="1">
        <f t="shared" ref="BH3:BH10" ca="1" si="0">COUNTIFS(C3:AO3,$B$20,C3:AO3,$S$20)</f>
        <v>0</v>
      </c>
      <c r="BI3" s="1"/>
    </row>
    <row r="4" spans="1:62" ht="16.25" thickTop="1" thickBot="1" x14ac:dyDescent="0.9">
      <c r="A4" s="4" t="s">
        <v>3</v>
      </c>
      <c r="B4" s="4" t="s">
        <v>163</v>
      </c>
      <c r="C4" s="4" t="str">
        <f t="shared" ref="C4:C14" ca="1" si="1">VLOOKUP(VLOOKUP($A4,INDIRECT("'"&amp;C$1&amp;"'!"&amp;"$A$2:$C$23"),3,FALSE),$A$3:$B$14,2,FALSE)</f>
        <v>Tres</v>
      </c>
      <c r="D4" s="5">
        <f ca="1">_xlfn.NUMBERVALUE(VLOOKUP(VLOOKUP(C4,Key!$A$17:$B$28,2,FALSE),INDIRECT("'"&amp;C$1&amp;"'!"&amp;"$A$2:$C$23"),2,FALSE))</f>
        <v>88.4</v>
      </c>
      <c r="E4" s="4">
        <f t="shared" ref="E4:E14" ca="1" si="2">_xlfn.RANK.EQ(D4,D$3:D$14,0)</f>
        <v>5</v>
      </c>
      <c r="F4" s="4" t="str">
        <f t="shared" ref="F4:F14" ca="1" si="3">VLOOKUP(VLOOKUP($A4,INDIRECT("'"&amp;F$1&amp;"'!"&amp;"$A$2:$C$23"),3,FALSE),$A$3:$B$14,2,FALSE)</f>
        <v>Dave</v>
      </c>
      <c r="G4" s="5">
        <f ca="1">_xlfn.NUMBERVALUE(VLOOKUP(VLOOKUP(F4,Key!$A$17:$B$28,2,FALSE),INDIRECT("'"&amp;F$1&amp;"'!"&amp;"$A$2:$C$23"),2,FALSE))</f>
        <v>75.099999999999994</v>
      </c>
      <c r="H4" s="4">
        <f t="shared" ref="H4:H14" ca="1" si="4">_xlfn.RANK.EQ(G4,G$3:G$14,0)</f>
        <v>12</v>
      </c>
      <c r="I4" s="4" t="str">
        <f t="shared" ref="I4:I14" ca="1" si="5">VLOOKUP(VLOOKUP($A4,INDIRECT("'"&amp;I$1&amp;"'!"&amp;"$A$2:$C$23"),3,FALSE),$A$3:$B$14,2,FALSE)</f>
        <v>Nicole</v>
      </c>
      <c r="J4" s="5">
        <f ca="1">_xlfn.NUMBERVALUE(VLOOKUP(VLOOKUP(I4,Key!$A$17:$B$28,2,FALSE),INDIRECT("'"&amp;I$1&amp;"'!"&amp;"$A$2:$C$23"),2,FALSE))</f>
        <v>92</v>
      </c>
      <c r="K4" s="4">
        <f t="shared" ref="K4:K14" ca="1" si="6">_xlfn.RANK.EQ(J4,J$3:J$14,0)</f>
        <v>7</v>
      </c>
      <c r="L4" s="4" t="str">
        <f t="shared" ref="L4:L14" ca="1" si="7">VLOOKUP(VLOOKUP($A4,INDIRECT("'"&amp;L$1&amp;"'!"&amp;"$A$2:$C$23"),3,FALSE),$A$3:$B$14,2,FALSE)</f>
        <v>Sam</v>
      </c>
      <c r="M4" s="5">
        <f ca="1">_xlfn.NUMBERVALUE(VLOOKUP(VLOOKUP(L4,Key!$A$17:$B$28,2,FALSE),INDIRECT("'"&amp;L$1&amp;"'!"&amp;"$A$2:$C$23"),2,FALSE))</f>
        <v>75.7</v>
      </c>
      <c r="N4" s="4">
        <f t="shared" ref="N4:N14" ca="1" si="8">_xlfn.RANK.EQ(M4,M$3:M$14,0)</f>
        <v>10</v>
      </c>
      <c r="O4" s="4" t="str">
        <f t="shared" ref="O4:O14" ca="1" si="9">VLOOKUP(VLOOKUP($A4,INDIRECT("'"&amp;O$1&amp;"'!"&amp;"$A$2:$C$23"),3,FALSE),$A$3:$B$14,2,FALSE)</f>
        <v>Binder</v>
      </c>
      <c r="P4" s="5">
        <f ca="1">_xlfn.NUMBERVALUE(VLOOKUP(VLOOKUP(O4,Key!$A$17:$B$28,2,FALSE),INDIRECT("'"&amp;O$1&amp;"'!"&amp;"$A$2:$C$23"),2,FALSE))</f>
        <v>105.5</v>
      </c>
      <c r="Q4" s="4">
        <f t="shared" ref="Q4:Q14" ca="1" si="10">_xlfn.RANK.EQ(P4,P$3:P$14,0)</f>
        <v>4</v>
      </c>
      <c r="R4" s="4" t="str">
        <f t="shared" ref="R4:R14" ca="1" si="11">VLOOKUP(VLOOKUP($A4,INDIRECT("'"&amp;R$1&amp;"'!"&amp;"$A$2:$C$23"),3,FALSE),$A$3:$B$14,2,FALSE)</f>
        <v>Cody</v>
      </c>
      <c r="S4" s="5">
        <f ca="1">_xlfn.NUMBERVALUE(VLOOKUP(VLOOKUP(R4,Key!$A$17:$B$28,2,FALSE),INDIRECT("'"&amp;R$1&amp;"'!"&amp;"$A$2:$C$23"),2,FALSE))</f>
        <v>78.099999999999994</v>
      </c>
      <c r="T4" s="4">
        <f t="shared" ref="T4:T14" ca="1" si="12">_xlfn.RANK.EQ(S4,S$3:S$14,0)</f>
        <v>10</v>
      </c>
      <c r="U4" s="4" t="str">
        <f t="shared" ref="U4:U14" ca="1" si="13">VLOOKUP(VLOOKUP($A4,INDIRECT("'"&amp;U$1&amp;"'!"&amp;"$A$2:$C$23"),3,FALSE),$A$3:$B$14,2,FALSE)</f>
        <v>Jesse</v>
      </c>
      <c r="V4" s="5">
        <f ca="1">_xlfn.NUMBERVALUE(VLOOKUP(VLOOKUP(U4,Key!$A$17:$B$28,2,FALSE),INDIRECT("'"&amp;U$1&amp;"'!"&amp;"$A$2:$C$23"),2,FALSE))</f>
        <v>79.599999999999994</v>
      </c>
      <c r="W4" s="4">
        <f t="shared" ref="W4:W14" ca="1" si="14">_xlfn.RANK.EQ(V4,V$3:V$14,0)</f>
        <v>10</v>
      </c>
      <c r="X4" s="4" t="str">
        <f t="shared" ref="X4:X14" ca="1" si="15">VLOOKUP(VLOOKUP($A4,INDIRECT("'"&amp;X$1&amp;"'!"&amp;"$A$2:$C$23"),3,FALSE),$A$3:$B$14,2,FALSE)</f>
        <v>Ed</v>
      </c>
      <c r="Y4" s="5">
        <f ca="1">_xlfn.NUMBERVALUE(VLOOKUP(VLOOKUP(X4,Key!$A$17:$B$28,2,FALSE),INDIRECT("'"&amp;X$1&amp;"'!"&amp;"$A$2:$C$23"),2,FALSE))</f>
        <v>114</v>
      </c>
      <c r="Z4" s="4">
        <f t="shared" ref="Z4:Z14" ca="1" si="16">_xlfn.RANK.EQ(Y4,Y$3:Y$14,0)</f>
        <v>1</v>
      </c>
      <c r="AA4" s="4" t="str">
        <f t="shared" ref="AA4:AA14" ca="1" si="17">VLOOKUP(VLOOKUP($A4,INDIRECT("'"&amp;AA$1&amp;"'!"&amp;"$A$2:$C$23"),3,FALSE),$A$3:$B$14,2,FALSE)</f>
        <v>Jake</v>
      </c>
      <c r="AB4" s="5">
        <f ca="1">_xlfn.NUMBERVALUE(VLOOKUP(VLOOKUP(AA4,Key!$A$17:$B$28,2,FALSE),INDIRECT("'"&amp;AA$1&amp;"'!"&amp;"$A$2:$C$23"),2,FALSE))</f>
        <v>106</v>
      </c>
      <c r="AC4" s="4">
        <f t="shared" ref="AC4:AC14" ca="1" si="18">_xlfn.RANK.EQ(AB4,AB$3:AB$14,0)</f>
        <v>4</v>
      </c>
      <c r="AD4" s="4" t="str">
        <f t="shared" ref="AD4:AD14" ca="1" si="19">VLOOKUP(VLOOKUP($A4,INDIRECT("'"&amp;AD$1&amp;"'!"&amp;"$A$2:$C$23"),3,FALSE),$A$3:$B$14,2,FALSE)</f>
        <v>Catina</v>
      </c>
      <c r="AE4" s="5">
        <f ca="1">_xlfn.NUMBERVALUE(VLOOKUP(VLOOKUP(AD4,Key!$A$17:$B$28,2,FALSE),INDIRECT("'"&amp;AD$1&amp;"'!"&amp;"$A$2:$C$23"),2,FALSE))</f>
        <v>65.599999999999994</v>
      </c>
      <c r="AF4" s="4">
        <f t="shared" ref="AF4:AF14" ca="1" si="20">_xlfn.RANK.EQ(AE4,AE$3:AE$14,0)</f>
        <v>11</v>
      </c>
      <c r="AG4" s="4" t="str">
        <f t="shared" ref="AG4:AG14" ca="1" si="21">VLOOKUP(VLOOKUP($A4,INDIRECT("'"&amp;AG$1&amp;"'!"&amp;"$A$2:$C$23"),3,FALSE),$A$3:$B$14,2,FALSE)</f>
        <v>Steve</v>
      </c>
      <c r="AH4" s="5">
        <f ca="1">_xlfn.NUMBERVALUE(VLOOKUP(VLOOKUP(AG4,Key!$A$17:$B$28,2,FALSE),INDIRECT("'"&amp;AG$1&amp;"'!"&amp;"$A$2:$C$23"),2,FALSE))</f>
        <v>103.3</v>
      </c>
      <c r="AI4" s="4">
        <f t="shared" ref="AI4:AI14" ca="1" si="22">_xlfn.RANK.EQ(AH4,AH$3:AH$14,0)</f>
        <v>7</v>
      </c>
      <c r="AJ4" s="4" t="str">
        <f t="shared" ref="AJ4:AJ14" ca="1" si="23">VLOOKUP(VLOOKUP($A4,INDIRECT("'"&amp;AJ$1&amp;"'!"&amp;"$A$2:$C$23"),3,FALSE),$A$3:$B$14,2,FALSE)</f>
        <v>Nicole</v>
      </c>
      <c r="AK4" s="5">
        <f ca="1">_xlfn.NUMBERVALUE(VLOOKUP(VLOOKUP(AJ4,Key!$A$17:$B$28,2,FALSE),INDIRECT("'"&amp;AJ$1&amp;"'!"&amp;"$A$2:$C$23"),2,FALSE))</f>
        <v>98.2</v>
      </c>
      <c r="AL4" s="4">
        <f t="shared" ref="AL4:AL14" ca="1" si="24">_xlfn.RANK.EQ(AK4,AK$3:AK$14,0)</f>
        <v>5</v>
      </c>
      <c r="AM4" s="4" t="str">
        <f t="shared" ref="AM4:AM14" ca="1" si="25">VLOOKUP(VLOOKUP($A4,INDIRECT("'"&amp;AM$1&amp;"'!"&amp;"$A$2:$C$23"),3,FALSE),$A$3:$B$14,2,FALSE)</f>
        <v>Sam</v>
      </c>
      <c r="AN4" s="5">
        <f ca="1">_xlfn.NUMBERVALUE(VLOOKUP(VLOOKUP(AM4,Key!$A$17:$B$28,2,FALSE),INDIRECT("'"&amp;AM$1&amp;"'!"&amp;"$A$2:$C$23"),2,FALSE))</f>
        <v>109</v>
      </c>
      <c r="AO4" s="4">
        <f t="shared" ref="AO4:AO14" ca="1" si="26">_xlfn.RANK.EQ(AN4,AN$3:AN$14,0)</f>
        <v>4</v>
      </c>
      <c r="AP4" s="4" t="str">
        <f t="shared" ref="AP4:AP14" ca="1" si="27">VLOOKUP(VLOOKUP($A4,INDIRECT("'"&amp;AP$1&amp;"'!"&amp;"$A$2:$C$23"),3,FALSE),$A$3:$B$14,2,FALSE)</f>
        <v>Sam</v>
      </c>
      <c r="AQ4" s="5">
        <f ca="1">_xlfn.NUMBERVALUE(VLOOKUP(VLOOKUP(AP4,Key!$A$17:$B$28,2,FALSE),INDIRECT("'"&amp;AP$1&amp;"'!"&amp;"$A$2:$C$23"),2,FALSE))</f>
        <v>112.7</v>
      </c>
      <c r="AR4" s="4">
        <f t="shared" ref="AR4:AR14" ca="1" si="28">_xlfn.RANK.EQ(AQ4,AQ$3:AQ$14,0)</f>
        <v>2</v>
      </c>
      <c r="AS4" s="4" t="str">
        <f t="shared" ref="AS4:AS14" ca="1" si="29">VLOOKUP(VLOOKUP($A4,INDIRECT("'"&amp;AS$1&amp;"'!"&amp;"$A$2:$C$23"),3,FALSE),$A$3:$B$14,2,FALSE)</f>
        <v>Tres</v>
      </c>
      <c r="AT4" s="5">
        <f ca="1">_xlfn.NUMBERVALUE(VLOOKUP(VLOOKUP(AS4,Key!$A$17:$B$28,2,FALSE),INDIRECT("'"&amp;AS$1&amp;"'!"&amp;"$A$2:$C$23"),2,FALSE))</f>
        <v>94.5</v>
      </c>
      <c r="AU4" s="4">
        <f t="shared" ref="AU4:AU14" ca="1" si="30">_xlfn.RANK.EQ(AT4,AT$3:AT$14,0)</f>
        <v>4</v>
      </c>
      <c r="AV4" s="4" t="str">
        <f t="shared" ref="AV4:AV14" ca="1" si="31">VLOOKUP(VLOOKUP($A4,INDIRECT("'"&amp;AV$1&amp;"'!"&amp;"$A$2:$C$23"),3,FALSE),$A$3:$B$14,2,FALSE)</f>
        <v>Steve</v>
      </c>
      <c r="AW4" s="5">
        <f ca="1">_xlfn.NUMBERVALUE(VLOOKUP(VLOOKUP(AV4,Key!$A$17:$B$28,2,FALSE),INDIRECT("'"&amp;AV$1&amp;"'!"&amp;"$A$2:$C$23"),2,FALSE))</f>
        <v>82.1</v>
      </c>
      <c r="AX4" s="4">
        <f t="shared" ref="AX4:AX14" ca="1" si="32">_xlfn.RANK.EQ(AW4,AW$3:AW$14,0)</f>
        <v>8</v>
      </c>
      <c r="AY4" s="4">
        <f t="shared" ref="AY4:AY14" ca="1" si="33">SUMIF($C$2:$AO$2,"Points Against",C4:AO4)</f>
        <v>1190.5</v>
      </c>
      <c r="AZ4" s="5">
        <f t="shared" ref="AZ4:AZ14" ca="1" si="34">AY4/13</f>
        <v>91.57692307692308</v>
      </c>
      <c r="BA4" s="4">
        <f t="shared" ref="BA4:BA14" ca="1" si="35">_xlfn.RANK.AVG(AZ4,$AZ$3:$AZ$14,)</f>
        <v>8</v>
      </c>
      <c r="BB4" s="5">
        <f t="shared" ref="BB4:BB15" ca="1" si="36">AZ4-MAX($AZ$3:$AZ$14)</f>
        <v>-8.6153846153846132</v>
      </c>
      <c r="BC4" s="5">
        <f t="shared" ref="BC4:BC14" ca="1" si="37">AZ4-AVERAGE(AZ4:AZ15)</f>
        <v>-1.6568376068375983</v>
      </c>
      <c r="BD4" s="4">
        <f t="shared" ref="BD4:BD14" ca="1" si="38">COUNTIFS($C$2:$AO$2,"Rank",C4:AO4,"&lt;=6")</f>
        <v>6</v>
      </c>
      <c r="BE4" s="4">
        <f ca="1">COUNTIFS($C$2:$AO$2,"Rank",C4:AO4,"&gt;6")</f>
        <v>7</v>
      </c>
      <c r="BF4" s="4">
        <f ca="1">COUNTIFS($C$2:$AO$2,"Rank",C4:AO4,"&lt;=3")</f>
        <v>1</v>
      </c>
      <c r="BG4" s="4">
        <f t="shared" ref="BG4:BG14" ca="1" si="39">COUNTIFS($C$2:$AO$2,"Points Against",C4:AO4,"&gt;=100")</f>
        <v>5</v>
      </c>
      <c r="BH4" s="1">
        <f t="shared" ca="1" si="0"/>
        <v>0</v>
      </c>
      <c r="BI4" s="1"/>
    </row>
    <row r="5" spans="1:62" ht="16.25" thickTop="1" thickBot="1" x14ac:dyDescent="0.9">
      <c r="A5" s="4" t="s">
        <v>6</v>
      </c>
      <c r="B5" s="4" t="s">
        <v>164</v>
      </c>
      <c r="C5" s="4" t="str">
        <f t="shared" ca="1" si="1"/>
        <v>Catina</v>
      </c>
      <c r="D5" s="5">
        <f ca="1">_xlfn.NUMBERVALUE(VLOOKUP(VLOOKUP(C5,Key!$A$17:$B$28,2,FALSE),INDIRECT("'"&amp;C$1&amp;"'!"&amp;"$A$2:$C$23"),2,FALSE))</f>
        <v>81</v>
      </c>
      <c r="E5" s="4">
        <f t="shared" ca="1" si="2"/>
        <v>9</v>
      </c>
      <c r="F5" s="4" t="str">
        <f t="shared" ca="1" si="3"/>
        <v>Tres</v>
      </c>
      <c r="G5" s="5">
        <f ca="1">_xlfn.NUMBERVALUE(VLOOKUP(VLOOKUP(F5,Key!$A$17:$B$28,2,FALSE),INDIRECT("'"&amp;F$1&amp;"'!"&amp;"$A$2:$C$23"),2,FALSE))</f>
        <v>97</v>
      </c>
      <c r="H5" s="4">
        <f t="shared" ca="1" si="4"/>
        <v>3</v>
      </c>
      <c r="I5" s="4" t="str">
        <f t="shared" ca="1" si="5"/>
        <v>Binder</v>
      </c>
      <c r="J5" s="5">
        <f ca="1">_xlfn.NUMBERVALUE(VLOOKUP(VLOOKUP(I5,Key!$A$17:$B$28,2,FALSE),INDIRECT("'"&amp;I$1&amp;"'!"&amp;"$A$2:$C$23"),2,FALSE))</f>
        <v>80.2</v>
      </c>
      <c r="K5" s="4">
        <f t="shared" ca="1" si="6"/>
        <v>10</v>
      </c>
      <c r="L5" s="4" t="str">
        <f t="shared" ca="1" si="7"/>
        <v>Sara</v>
      </c>
      <c r="M5" s="5">
        <f ca="1">_xlfn.NUMBERVALUE(VLOOKUP(VLOOKUP(L5,Key!$A$17:$B$28,2,FALSE),INDIRECT("'"&amp;L$1&amp;"'!"&amp;"$A$2:$C$23"),2,FALSE))</f>
        <v>72.5</v>
      </c>
      <c r="N5" s="4">
        <f t="shared" ca="1" si="8"/>
        <v>11</v>
      </c>
      <c r="O5" s="4" t="str">
        <f t="shared" ca="1" si="9"/>
        <v>Ed</v>
      </c>
      <c r="P5" s="5">
        <f ca="1">_xlfn.NUMBERVALUE(VLOOKUP(VLOOKUP(O5,Key!$A$17:$B$28,2,FALSE),INDIRECT("'"&amp;O$1&amp;"'!"&amp;"$A$2:$C$23"),2,FALSE))</f>
        <v>94.1</v>
      </c>
      <c r="Q5" s="4">
        <f t="shared" ca="1" si="10"/>
        <v>7</v>
      </c>
      <c r="R5" s="4" t="str">
        <f t="shared" ca="1" si="11"/>
        <v>Jake</v>
      </c>
      <c r="S5" s="5">
        <f ca="1">_xlfn.NUMBERVALUE(VLOOKUP(VLOOKUP(R5,Key!$A$17:$B$28,2,FALSE),INDIRECT("'"&amp;R$1&amp;"'!"&amp;"$A$2:$C$23"),2,FALSE))</f>
        <v>105.3</v>
      </c>
      <c r="T5" s="4">
        <f t="shared" ca="1" si="12"/>
        <v>5</v>
      </c>
      <c r="U5" s="4" t="str">
        <f t="shared" ca="1" si="13"/>
        <v>Dave</v>
      </c>
      <c r="V5" s="5">
        <f ca="1">_xlfn.NUMBERVALUE(VLOOKUP(VLOOKUP(U5,Key!$A$17:$B$28,2,FALSE),INDIRECT("'"&amp;U$1&amp;"'!"&amp;"$A$2:$C$23"),2,FALSE))</f>
        <v>110</v>
      </c>
      <c r="W5" s="4">
        <f t="shared" ca="1" si="14"/>
        <v>2</v>
      </c>
      <c r="X5" s="4" t="str">
        <f t="shared" ca="1" si="15"/>
        <v>Steve</v>
      </c>
      <c r="Y5" s="5">
        <f ca="1">_xlfn.NUMBERVALUE(VLOOKUP(VLOOKUP(X5,Key!$A$17:$B$28,2,FALSE),INDIRECT("'"&amp;X$1&amp;"'!"&amp;"$A$2:$C$23"),2,FALSE))</f>
        <v>71.400000000000006</v>
      </c>
      <c r="Z5" s="4">
        <f t="shared" ca="1" si="16"/>
        <v>11</v>
      </c>
      <c r="AA5" s="4" t="str">
        <f t="shared" ca="1" si="17"/>
        <v>Nicole</v>
      </c>
      <c r="AB5" s="5">
        <f ca="1">_xlfn.NUMBERVALUE(VLOOKUP(VLOOKUP(AA5,Key!$A$17:$B$28,2,FALSE),INDIRECT("'"&amp;AA$1&amp;"'!"&amp;"$A$2:$C$23"),2,FALSE))</f>
        <v>90</v>
      </c>
      <c r="AC5" s="4">
        <f t="shared" ca="1" si="18"/>
        <v>7</v>
      </c>
      <c r="AD5" s="4" t="str">
        <f t="shared" ca="1" si="19"/>
        <v>Jesse</v>
      </c>
      <c r="AE5" s="5">
        <f ca="1">_xlfn.NUMBERVALUE(VLOOKUP(VLOOKUP(AD5,Key!$A$17:$B$28,2,FALSE),INDIRECT("'"&amp;AD$1&amp;"'!"&amp;"$A$2:$C$23"),2,FALSE))</f>
        <v>66.7</v>
      </c>
      <c r="AF5" s="4">
        <f t="shared" ca="1" si="20"/>
        <v>10</v>
      </c>
      <c r="AG5" s="4" t="str">
        <f t="shared" ca="1" si="21"/>
        <v>Cody</v>
      </c>
      <c r="AH5" s="5">
        <f ca="1">_xlfn.NUMBERVALUE(VLOOKUP(VLOOKUP(AG5,Key!$A$17:$B$28,2,FALSE),INDIRECT("'"&amp;AG$1&amp;"'!"&amp;"$A$2:$C$23"),2,FALSE))</f>
        <v>79.900000000000006</v>
      </c>
      <c r="AI5" s="4">
        <f t="shared" ca="1" si="22"/>
        <v>11</v>
      </c>
      <c r="AJ5" s="4" t="str">
        <f t="shared" ca="1" si="23"/>
        <v>Binder</v>
      </c>
      <c r="AK5" s="5">
        <f ca="1">_xlfn.NUMBERVALUE(VLOOKUP(VLOOKUP(AJ5,Key!$A$17:$B$28,2,FALSE),INDIRECT("'"&amp;AJ$1&amp;"'!"&amp;"$A$2:$C$23"),2,FALSE))</f>
        <v>92.3</v>
      </c>
      <c r="AL5" s="4">
        <f t="shared" ca="1" si="24"/>
        <v>7</v>
      </c>
      <c r="AM5" s="4" t="str">
        <f t="shared" ca="1" si="25"/>
        <v>Sara</v>
      </c>
      <c r="AN5" s="5">
        <f ca="1">_xlfn.NUMBERVALUE(VLOOKUP(VLOOKUP(AM5,Key!$A$17:$B$28,2,FALSE),INDIRECT("'"&amp;AM$1&amp;"'!"&amp;"$A$2:$C$23"),2,FALSE))</f>
        <v>73</v>
      </c>
      <c r="AO5" s="4">
        <f t="shared" ca="1" si="26"/>
        <v>11</v>
      </c>
      <c r="AP5" s="4" t="str">
        <f t="shared" ca="1" si="27"/>
        <v>Sara</v>
      </c>
      <c r="AQ5" s="5">
        <f ca="1">_xlfn.NUMBERVALUE(VLOOKUP(VLOOKUP(AP5,Key!$A$17:$B$28,2,FALSE),INDIRECT("'"&amp;AP$1&amp;"'!"&amp;"$A$2:$C$23"),2,FALSE))</f>
        <v>96</v>
      </c>
      <c r="AR5" s="4">
        <f t="shared" ca="1" si="28"/>
        <v>6</v>
      </c>
      <c r="AS5" s="4" t="str">
        <f t="shared" ca="1" si="29"/>
        <v>Catina</v>
      </c>
      <c r="AT5" s="5">
        <f ca="1">_xlfn.NUMBERVALUE(VLOOKUP(VLOOKUP(AS5,Key!$A$17:$B$28,2,FALSE),INDIRECT("'"&amp;AS$1&amp;"'!"&amp;"$A$2:$C$23"),2,FALSE))</f>
        <v>138.30000000000001</v>
      </c>
      <c r="AU5" s="4">
        <f t="shared" ca="1" si="30"/>
        <v>2</v>
      </c>
      <c r="AV5" s="4" t="str">
        <f t="shared" ca="1" si="31"/>
        <v>Binder</v>
      </c>
      <c r="AW5" s="5">
        <f ca="1">_xlfn.NUMBERVALUE(VLOOKUP(VLOOKUP(AV5,Key!$A$17:$B$28,2,FALSE),INDIRECT("'"&amp;AV$1&amp;"'!"&amp;"$A$2:$C$23"),2,FALSE))</f>
        <v>99</v>
      </c>
      <c r="AX5" s="4">
        <f t="shared" ca="1" si="32"/>
        <v>5</v>
      </c>
      <c r="AY5" s="4">
        <f t="shared" ca="1" si="33"/>
        <v>1113.3999999999999</v>
      </c>
      <c r="AZ5" s="5">
        <f t="shared" ca="1" si="34"/>
        <v>85.646153846153837</v>
      </c>
      <c r="BA5" s="4">
        <f t="shared" ca="1" si="35"/>
        <v>12</v>
      </c>
      <c r="BB5" s="5">
        <f t="shared" ca="1" si="36"/>
        <v>-14.546153846153857</v>
      </c>
      <c r="BC5" s="5">
        <f t="shared" ca="1" si="37"/>
        <v>-7.7382284382284325</v>
      </c>
      <c r="BD5" s="4">
        <f t="shared" ca="1" si="38"/>
        <v>3</v>
      </c>
      <c r="BE5" s="4">
        <f t="shared" ref="BE5:BE14" ca="1" si="40">COUNTIFS($C$2:$AO$2,"Rank",C5:AO5,"&gt;6")</f>
        <v>10</v>
      </c>
      <c r="BF5" s="4">
        <f t="shared" ref="BF5:BF14" ca="1" si="41">COUNTIFS($C$2:$AO$2,"Rank",C5:AO5,"&lt;=3")</f>
        <v>2</v>
      </c>
      <c r="BG5" s="4">
        <f t="shared" ca="1" si="39"/>
        <v>2</v>
      </c>
      <c r="BH5" s="1">
        <f t="shared" ca="1" si="0"/>
        <v>0</v>
      </c>
      <c r="BI5" s="1"/>
    </row>
    <row r="6" spans="1:62" ht="16.25" thickTop="1" thickBot="1" x14ac:dyDescent="0.9">
      <c r="A6" s="4" t="s">
        <v>8</v>
      </c>
      <c r="B6" s="4" t="s">
        <v>165</v>
      </c>
      <c r="C6" s="4" t="str">
        <f t="shared" ca="1" si="1"/>
        <v>Sam</v>
      </c>
      <c r="D6" s="5">
        <f ca="1">_xlfn.NUMBERVALUE(VLOOKUP(VLOOKUP(C6,Key!$A$17:$B$28,2,FALSE),INDIRECT("'"&amp;C$1&amp;"'!"&amp;"$A$2:$C$23"),2,FALSE))</f>
        <v>63.9</v>
      </c>
      <c r="E6" s="4">
        <f t="shared" ca="1" si="2"/>
        <v>11</v>
      </c>
      <c r="F6" s="4" t="str">
        <f t="shared" ca="1" si="3"/>
        <v>Cody</v>
      </c>
      <c r="G6" s="5">
        <f ca="1">_xlfn.NUMBERVALUE(VLOOKUP(VLOOKUP(F6,Key!$A$17:$B$28,2,FALSE),INDIRECT("'"&amp;F$1&amp;"'!"&amp;"$A$2:$C$23"),2,FALSE))</f>
        <v>86.7</v>
      </c>
      <c r="H6" s="4">
        <f t="shared" ca="1" si="4"/>
        <v>7</v>
      </c>
      <c r="I6" s="4" t="str">
        <f t="shared" ca="1" si="5"/>
        <v>Tres</v>
      </c>
      <c r="J6" s="5">
        <f ca="1">_xlfn.NUMBERVALUE(VLOOKUP(VLOOKUP(I6,Key!$A$17:$B$28,2,FALSE),INDIRECT("'"&amp;I$1&amp;"'!"&amp;"$A$2:$C$23"),2,FALSE))</f>
        <v>81.400000000000006</v>
      </c>
      <c r="K6" s="4">
        <f t="shared" ca="1" si="6"/>
        <v>8</v>
      </c>
      <c r="L6" s="4" t="str">
        <f t="shared" ca="1" si="7"/>
        <v>Steve</v>
      </c>
      <c r="M6" s="5">
        <f ca="1">_xlfn.NUMBERVALUE(VLOOKUP(VLOOKUP(L6,Key!$A$17:$B$28,2,FALSE),INDIRECT("'"&amp;L$1&amp;"'!"&amp;"$A$2:$C$23"),2,FALSE))</f>
        <v>146.5</v>
      </c>
      <c r="N6" s="4">
        <f t="shared" ca="1" si="8"/>
        <v>1</v>
      </c>
      <c r="O6" s="4" t="str">
        <f t="shared" ca="1" si="9"/>
        <v>Nicole</v>
      </c>
      <c r="P6" s="5">
        <f ca="1">_xlfn.NUMBERVALUE(VLOOKUP(VLOOKUP(O6,Key!$A$17:$B$28,2,FALSE),INDIRECT("'"&amp;O$1&amp;"'!"&amp;"$A$2:$C$23"),2,FALSE))</f>
        <v>103.9</v>
      </c>
      <c r="Q6" s="4">
        <f t="shared" ca="1" si="10"/>
        <v>5</v>
      </c>
      <c r="R6" s="4" t="str">
        <f t="shared" ca="1" si="11"/>
        <v>Dave</v>
      </c>
      <c r="S6" s="5">
        <f ca="1">_xlfn.NUMBERVALUE(VLOOKUP(VLOOKUP(R6,Key!$A$17:$B$28,2,FALSE),INDIRECT("'"&amp;R$1&amp;"'!"&amp;"$A$2:$C$23"),2,FALSE))</f>
        <v>117.4</v>
      </c>
      <c r="T6" s="4">
        <f t="shared" ca="1" si="12"/>
        <v>2</v>
      </c>
      <c r="U6" s="4" t="str">
        <f t="shared" ca="1" si="13"/>
        <v>Binder</v>
      </c>
      <c r="V6" s="5">
        <f ca="1">_xlfn.NUMBERVALUE(VLOOKUP(VLOOKUP(U6,Key!$A$17:$B$28,2,FALSE),INDIRECT("'"&amp;U$1&amp;"'!"&amp;"$A$2:$C$23"),2,FALSE))</f>
        <v>47.4</v>
      </c>
      <c r="W6" s="4">
        <f t="shared" ca="1" si="14"/>
        <v>12</v>
      </c>
      <c r="X6" s="4" t="str">
        <f t="shared" ca="1" si="15"/>
        <v>Jake</v>
      </c>
      <c r="Y6" s="5">
        <f ca="1">_xlfn.NUMBERVALUE(VLOOKUP(VLOOKUP(X6,Key!$A$17:$B$28,2,FALSE),INDIRECT("'"&amp;X$1&amp;"'!"&amp;"$A$2:$C$23"),2,FALSE))</f>
        <v>87</v>
      </c>
      <c r="Z6" s="4">
        <f t="shared" ca="1" si="16"/>
        <v>7</v>
      </c>
      <c r="AA6" s="4" t="str">
        <f t="shared" ca="1" si="17"/>
        <v>Ed</v>
      </c>
      <c r="AB6" s="5">
        <f ca="1">_xlfn.NUMBERVALUE(VLOOKUP(VLOOKUP(AA6,Key!$A$17:$B$28,2,FALSE),INDIRECT("'"&amp;AA$1&amp;"'!"&amp;"$A$2:$C$23"),2,FALSE))</f>
        <v>120.2</v>
      </c>
      <c r="AC6" s="4">
        <f t="shared" ca="1" si="18"/>
        <v>1</v>
      </c>
      <c r="AD6" s="4" t="str">
        <f t="shared" ca="1" si="19"/>
        <v>Sara</v>
      </c>
      <c r="AE6" s="5">
        <f ca="1">_xlfn.NUMBERVALUE(VLOOKUP(VLOOKUP(AD6,Key!$A$17:$B$28,2,FALSE),INDIRECT("'"&amp;AD$1&amp;"'!"&amp;"$A$2:$C$23"),2,FALSE))</f>
        <v>137.6</v>
      </c>
      <c r="AF6" s="4">
        <f t="shared" ca="1" si="20"/>
        <v>1</v>
      </c>
      <c r="AG6" s="4" t="str">
        <f t="shared" ca="1" si="21"/>
        <v>Jesse</v>
      </c>
      <c r="AH6" s="5">
        <f ca="1">_xlfn.NUMBERVALUE(VLOOKUP(VLOOKUP(AG6,Key!$A$17:$B$28,2,FALSE),INDIRECT("'"&amp;AG$1&amp;"'!"&amp;"$A$2:$C$23"),2,FALSE))</f>
        <v>87.1</v>
      </c>
      <c r="AI6" s="4">
        <f t="shared" ca="1" si="22"/>
        <v>9</v>
      </c>
      <c r="AJ6" s="4" t="str">
        <f t="shared" ca="1" si="23"/>
        <v>Tres</v>
      </c>
      <c r="AK6" s="5">
        <f ca="1">_xlfn.NUMBERVALUE(VLOOKUP(VLOOKUP(AJ6,Key!$A$17:$B$28,2,FALSE),INDIRECT("'"&amp;AJ$1&amp;"'!"&amp;"$A$2:$C$23"),2,FALSE))</f>
        <v>62.4</v>
      </c>
      <c r="AL6" s="4">
        <f t="shared" ca="1" si="24"/>
        <v>12</v>
      </c>
      <c r="AM6" s="4" t="str">
        <f t="shared" ca="1" si="25"/>
        <v>Steve</v>
      </c>
      <c r="AN6" s="5">
        <f ca="1">_xlfn.NUMBERVALUE(VLOOKUP(VLOOKUP(AM6,Key!$A$17:$B$28,2,FALSE),INDIRECT("'"&amp;AM$1&amp;"'!"&amp;"$A$2:$C$23"),2,FALSE))</f>
        <v>110.8</v>
      </c>
      <c r="AO6" s="4">
        <f t="shared" ca="1" si="26"/>
        <v>3</v>
      </c>
      <c r="AP6" s="4" t="str">
        <f t="shared" ca="1" si="27"/>
        <v>Binder</v>
      </c>
      <c r="AQ6" s="5">
        <f ca="1">_xlfn.NUMBERVALUE(VLOOKUP(VLOOKUP(AP6,Key!$A$17:$B$28,2,FALSE),INDIRECT("'"&amp;AP$1&amp;"'!"&amp;"$A$2:$C$23"),2,FALSE))</f>
        <v>71.2</v>
      </c>
      <c r="AR6" s="4">
        <f t="shared" ca="1" si="28"/>
        <v>10</v>
      </c>
      <c r="AS6" s="4" t="str">
        <f t="shared" ca="1" si="29"/>
        <v>Sam</v>
      </c>
      <c r="AT6" s="5">
        <f ca="1">_xlfn.NUMBERVALUE(VLOOKUP(VLOOKUP(AS6,Key!$A$17:$B$28,2,FALSE),INDIRECT("'"&amp;AS$1&amp;"'!"&amp;"$A$2:$C$23"),2,FALSE))</f>
        <v>82.9</v>
      </c>
      <c r="AU6" s="4">
        <f t="shared" ca="1" si="30"/>
        <v>9</v>
      </c>
      <c r="AV6" s="4" t="str">
        <f t="shared" ca="1" si="31"/>
        <v>Tres</v>
      </c>
      <c r="AW6" s="5">
        <f ca="1">_xlfn.NUMBERVALUE(VLOOKUP(VLOOKUP(AV6,Key!$A$17:$B$28,2,FALSE),INDIRECT("'"&amp;AV$1&amp;"'!"&amp;"$A$2:$C$23"),2,FALSE))</f>
        <v>62.2</v>
      </c>
      <c r="AX6" s="4">
        <f t="shared" ca="1" si="32"/>
        <v>12</v>
      </c>
      <c r="AY6" s="4">
        <f t="shared" ca="1" si="33"/>
        <v>1252.3</v>
      </c>
      <c r="AZ6" s="5">
        <f t="shared" ca="1" si="34"/>
        <v>96.330769230769221</v>
      </c>
      <c r="BA6" s="4">
        <f t="shared" ca="1" si="35"/>
        <v>3</v>
      </c>
      <c r="BB6" s="5">
        <f t="shared" ca="1" si="36"/>
        <v>-3.8615384615384727</v>
      </c>
      <c r="BC6" s="5">
        <f t="shared" ca="1" si="37"/>
        <v>2.1725641025640954</v>
      </c>
      <c r="BD6" s="4">
        <f t="shared" ca="1" si="38"/>
        <v>6</v>
      </c>
      <c r="BE6" s="4">
        <f t="shared" ca="1" si="40"/>
        <v>7</v>
      </c>
      <c r="BF6" s="4">
        <f t="shared" ca="1" si="41"/>
        <v>5</v>
      </c>
      <c r="BG6" s="4">
        <f t="shared" ca="1" si="39"/>
        <v>6</v>
      </c>
      <c r="BH6" s="1">
        <f t="shared" ca="1" si="0"/>
        <v>0</v>
      </c>
      <c r="BI6" s="1"/>
    </row>
    <row r="7" spans="1:62" ht="16.25" thickTop="1" thickBot="1" x14ac:dyDescent="0.9">
      <c r="A7" s="4" t="s">
        <v>11</v>
      </c>
      <c r="B7" s="4" t="s">
        <v>166</v>
      </c>
      <c r="C7" s="4" t="str">
        <f t="shared" ca="1" si="1"/>
        <v>Jake</v>
      </c>
      <c r="D7" s="5">
        <f ca="1">_xlfn.NUMBERVALUE(VLOOKUP(VLOOKUP(C7,Key!$A$17:$B$28,2,FALSE),INDIRECT("'"&amp;C$1&amp;"'!"&amp;"$A$2:$C$23"),2,FALSE))</f>
        <v>87.8</v>
      </c>
      <c r="E7" s="4">
        <f t="shared" ca="1" si="2"/>
        <v>6</v>
      </c>
      <c r="F7" s="4" t="str">
        <f t="shared" ca="1" si="3"/>
        <v>Sara</v>
      </c>
      <c r="G7" s="5">
        <f ca="1">_xlfn.NUMBERVALUE(VLOOKUP(VLOOKUP(F7,Key!$A$17:$B$28,2,FALSE),INDIRECT("'"&amp;F$1&amp;"'!"&amp;"$A$2:$C$23"),2,FALSE))</f>
        <v>123.6</v>
      </c>
      <c r="H7" s="4">
        <f t="shared" ca="1" si="4"/>
        <v>1</v>
      </c>
      <c r="I7" s="4" t="str">
        <f t="shared" ca="1" si="5"/>
        <v>Ed</v>
      </c>
      <c r="J7" s="5">
        <f ca="1">_xlfn.NUMBERVALUE(VLOOKUP(VLOOKUP(I7,Key!$A$17:$B$28,2,FALSE),INDIRECT("'"&amp;I$1&amp;"'!"&amp;"$A$2:$C$23"),2,FALSE))</f>
        <v>100.4</v>
      </c>
      <c r="K7" s="4">
        <f t="shared" ca="1" si="6"/>
        <v>5</v>
      </c>
      <c r="L7" s="4" t="str">
        <f t="shared" ca="1" si="7"/>
        <v>Binder</v>
      </c>
      <c r="M7" s="5">
        <f ca="1">_xlfn.NUMBERVALUE(VLOOKUP(VLOOKUP(L7,Key!$A$17:$B$28,2,FALSE),INDIRECT("'"&amp;L$1&amp;"'!"&amp;"$A$2:$C$23"),2,FALSE))</f>
        <v>78.7</v>
      </c>
      <c r="N7" s="4">
        <f t="shared" ca="1" si="8"/>
        <v>8</v>
      </c>
      <c r="O7" s="4" t="str">
        <f t="shared" ca="1" si="9"/>
        <v>Steve</v>
      </c>
      <c r="P7" s="5">
        <f ca="1">_xlfn.NUMBERVALUE(VLOOKUP(VLOOKUP(O7,Key!$A$17:$B$28,2,FALSE),INDIRECT("'"&amp;O$1&amp;"'!"&amp;"$A$2:$C$23"),2,FALSE))</f>
        <v>112.9</v>
      </c>
      <c r="Q7" s="4">
        <f t="shared" ca="1" si="10"/>
        <v>1</v>
      </c>
      <c r="R7" s="4" t="str">
        <f t="shared" ca="1" si="11"/>
        <v>Catina</v>
      </c>
      <c r="S7" s="5">
        <f ca="1">_xlfn.NUMBERVALUE(VLOOKUP(VLOOKUP(R7,Key!$A$17:$B$28,2,FALSE),INDIRECT("'"&amp;R$1&amp;"'!"&amp;"$A$2:$C$23"),2,FALSE))</f>
        <v>85.8</v>
      </c>
      <c r="T7" s="4">
        <f t="shared" ca="1" si="12"/>
        <v>7</v>
      </c>
      <c r="U7" s="4" t="str">
        <f t="shared" ca="1" si="13"/>
        <v>Sam</v>
      </c>
      <c r="V7" s="5">
        <f ca="1">_xlfn.NUMBERVALUE(VLOOKUP(VLOOKUP(U7,Key!$A$17:$B$28,2,FALSE),INDIRECT("'"&amp;U$1&amp;"'!"&amp;"$A$2:$C$23"),2,FALSE))</f>
        <v>87.9</v>
      </c>
      <c r="W7" s="4">
        <f t="shared" ca="1" si="14"/>
        <v>9</v>
      </c>
      <c r="X7" s="4" t="str">
        <f t="shared" ca="1" si="15"/>
        <v>Cody</v>
      </c>
      <c r="Y7" s="5">
        <f ca="1">_xlfn.NUMBERVALUE(VLOOKUP(VLOOKUP(X7,Key!$A$17:$B$28,2,FALSE),INDIRECT("'"&amp;X$1&amp;"'!"&amp;"$A$2:$C$23"),2,FALSE))</f>
        <v>90.3</v>
      </c>
      <c r="Z7" s="4">
        <f t="shared" ca="1" si="16"/>
        <v>5</v>
      </c>
      <c r="AA7" s="4" t="str">
        <f t="shared" ca="1" si="17"/>
        <v>Jesse</v>
      </c>
      <c r="AB7" s="5">
        <f ca="1">_xlfn.NUMBERVALUE(VLOOKUP(VLOOKUP(AA7,Key!$A$17:$B$28,2,FALSE),INDIRECT("'"&amp;AA$1&amp;"'!"&amp;"$A$2:$C$23"),2,FALSE))</f>
        <v>108.1</v>
      </c>
      <c r="AC7" s="4">
        <f t="shared" ca="1" si="18"/>
        <v>2</v>
      </c>
      <c r="AD7" s="4" t="str">
        <f t="shared" ca="1" si="19"/>
        <v>Nicole</v>
      </c>
      <c r="AE7" s="5">
        <f ca="1">_xlfn.NUMBERVALUE(VLOOKUP(VLOOKUP(AD7,Key!$A$17:$B$28,2,FALSE),INDIRECT("'"&amp;AD$1&amp;"'!"&amp;"$A$2:$C$23"),2,FALSE))</f>
        <v>98.5</v>
      </c>
      <c r="AF7" s="4">
        <f t="shared" ca="1" si="20"/>
        <v>5</v>
      </c>
      <c r="AG7" s="4" t="str">
        <f t="shared" ca="1" si="21"/>
        <v>Tres</v>
      </c>
      <c r="AH7" s="5">
        <f ca="1">_xlfn.NUMBERVALUE(VLOOKUP(VLOOKUP(AG7,Key!$A$17:$B$28,2,FALSE),INDIRECT("'"&amp;AG$1&amp;"'!"&amp;"$A$2:$C$23"),2,FALSE))</f>
        <v>81.8</v>
      </c>
      <c r="AI7" s="4">
        <f t="shared" ca="1" si="22"/>
        <v>10</v>
      </c>
      <c r="AJ7" s="4" t="str">
        <f t="shared" ca="1" si="23"/>
        <v>Ed</v>
      </c>
      <c r="AK7" s="5">
        <f ca="1">_xlfn.NUMBERVALUE(VLOOKUP(VLOOKUP(AJ7,Key!$A$17:$B$28,2,FALSE),INDIRECT("'"&amp;AJ$1&amp;"'!"&amp;"$A$2:$C$23"),2,FALSE))</f>
        <v>103.9</v>
      </c>
      <c r="AL7" s="4">
        <f t="shared" ca="1" si="24"/>
        <v>3</v>
      </c>
      <c r="AM7" s="4" t="str">
        <f t="shared" ca="1" si="25"/>
        <v>Binder</v>
      </c>
      <c r="AN7" s="5">
        <f ca="1">_xlfn.NUMBERVALUE(VLOOKUP(VLOOKUP(AM7,Key!$A$17:$B$28,2,FALSE),INDIRECT("'"&amp;AM$1&amp;"'!"&amp;"$A$2:$C$23"),2,FALSE))</f>
        <v>94</v>
      </c>
      <c r="AO7" s="4">
        <f t="shared" ca="1" si="26"/>
        <v>7</v>
      </c>
      <c r="AP7" s="4" t="str">
        <f t="shared" ca="1" si="27"/>
        <v>Jesse</v>
      </c>
      <c r="AQ7" s="5">
        <f ca="1">_xlfn.NUMBERVALUE(VLOOKUP(VLOOKUP(AP7,Key!$A$17:$B$28,2,FALSE),INDIRECT("'"&amp;AP$1&amp;"'!"&amp;"$A$2:$C$23"),2,FALSE))</f>
        <v>108.1</v>
      </c>
      <c r="AR7" s="4">
        <f t="shared" ca="1" si="28"/>
        <v>3</v>
      </c>
      <c r="AS7" s="4" t="str">
        <f t="shared" ca="1" si="29"/>
        <v>Cody</v>
      </c>
      <c r="AT7" s="5">
        <f ca="1">_xlfn.NUMBERVALUE(VLOOKUP(VLOOKUP(AS7,Key!$A$17:$B$28,2,FALSE),INDIRECT("'"&amp;AS$1&amp;"'!"&amp;"$A$2:$C$23"),2,FALSE))</f>
        <v>85.2</v>
      </c>
      <c r="AU7" s="4">
        <f t="shared" ca="1" si="30"/>
        <v>8</v>
      </c>
      <c r="AV7" s="4" t="str">
        <f t="shared" ca="1" si="31"/>
        <v>Cody</v>
      </c>
      <c r="AW7" s="5">
        <f ca="1">_xlfn.NUMBERVALUE(VLOOKUP(VLOOKUP(AV7,Key!$A$17:$B$28,2,FALSE),INDIRECT("'"&amp;AV$1&amp;"'!"&amp;"$A$2:$C$23"),2,FALSE))</f>
        <v>108.5</v>
      </c>
      <c r="AX7" s="4">
        <f t="shared" ca="1" si="32"/>
        <v>2</v>
      </c>
      <c r="AY7" s="4">
        <f t="shared" ca="1" si="33"/>
        <v>1253.7</v>
      </c>
      <c r="AZ7" s="5">
        <f t="shared" ca="1" si="34"/>
        <v>96.438461538461539</v>
      </c>
      <c r="BA7" s="4">
        <f t="shared" ca="1" si="35"/>
        <v>2</v>
      </c>
      <c r="BB7" s="5">
        <f t="shared" ca="1" si="36"/>
        <v>-3.7538461538461547</v>
      </c>
      <c r="BC7" s="5">
        <f t="shared" ca="1" si="37"/>
        <v>2.5216524216524192</v>
      </c>
      <c r="BD7" s="4">
        <f t="shared" ca="1" si="38"/>
        <v>8</v>
      </c>
      <c r="BE7" s="4">
        <f t="shared" ca="1" si="40"/>
        <v>5</v>
      </c>
      <c r="BF7" s="4">
        <f t="shared" ca="1" si="41"/>
        <v>4</v>
      </c>
      <c r="BG7" s="4">
        <f t="shared" ca="1" si="39"/>
        <v>5</v>
      </c>
      <c r="BH7" s="1">
        <f t="shared" ca="1" si="0"/>
        <v>0</v>
      </c>
      <c r="BI7" s="1"/>
    </row>
    <row r="8" spans="1:62" ht="16.25" thickTop="1" thickBot="1" x14ac:dyDescent="0.9">
      <c r="A8" s="4" t="s">
        <v>13</v>
      </c>
      <c r="B8" s="4" t="s">
        <v>167</v>
      </c>
      <c r="C8" s="4" t="str">
        <f t="shared" ca="1" si="1"/>
        <v>Dave</v>
      </c>
      <c r="D8" s="5">
        <f ca="1">_xlfn.NUMBERVALUE(VLOOKUP(VLOOKUP(C8,Key!$A$17:$B$28,2,FALSE),INDIRECT("'"&amp;C$1&amp;"'!"&amp;"$A$2:$C$23"),2,FALSE))</f>
        <v>86.5</v>
      </c>
      <c r="E8" s="4">
        <f t="shared" ca="1" si="2"/>
        <v>7</v>
      </c>
      <c r="F8" s="4" t="str">
        <f t="shared" ca="1" si="3"/>
        <v>Steve</v>
      </c>
      <c r="G8" s="5">
        <f ca="1">_xlfn.NUMBERVALUE(VLOOKUP(VLOOKUP(F8,Key!$A$17:$B$28,2,FALSE),INDIRECT("'"&amp;F$1&amp;"'!"&amp;"$A$2:$C$23"),2,FALSE))</f>
        <v>82.9</v>
      </c>
      <c r="H8" s="4">
        <f t="shared" ca="1" si="4"/>
        <v>10</v>
      </c>
      <c r="I8" s="4" t="str">
        <f t="shared" ca="1" si="5"/>
        <v>Cody</v>
      </c>
      <c r="J8" s="5">
        <f ca="1">_xlfn.NUMBERVALUE(VLOOKUP(VLOOKUP(I8,Key!$A$17:$B$28,2,FALSE),INDIRECT("'"&amp;I$1&amp;"'!"&amp;"$A$2:$C$23"),2,FALSE))</f>
        <v>113.6</v>
      </c>
      <c r="K8" s="4">
        <f t="shared" ca="1" si="6"/>
        <v>3</v>
      </c>
      <c r="L8" s="4" t="str">
        <f t="shared" ca="1" si="7"/>
        <v>Nicole</v>
      </c>
      <c r="M8" s="5">
        <f ca="1">_xlfn.NUMBERVALUE(VLOOKUP(VLOOKUP(L8,Key!$A$17:$B$28,2,FALSE),INDIRECT("'"&amp;L$1&amp;"'!"&amp;"$A$2:$C$23"),2,FALSE))</f>
        <v>81</v>
      </c>
      <c r="N8" s="4">
        <f t="shared" ca="1" si="8"/>
        <v>7</v>
      </c>
      <c r="O8" s="4" t="str">
        <f t="shared" ca="1" si="9"/>
        <v>Jesse</v>
      </c>
      <c r="P8" s="5">
        <f ca="1">_xlfn.NUMBERVALUE(VLOOKUP(VLOOKUP(O8,Key!$A$17:$B$28,2,FALSE),INDIRECT("'"&amp;O$1&amp;"'!"&amp;"$A$2:$C$23"),2,FALSE))</f>
        <v>80.900000000000006</v>
      </c>
      <c r="Q8" s="4">
        <f t="shared" ca="1" si="10"/>
        <v>9</v>
      </c>
      <c r="R8" s="4" t="str">
        <f t="shared" ca="1" si="11"/>
        <v>Sam</v>
      </c>
      <c r="S8" s="5">
        <f ca="1">_xlfn.NUMBERVALUE(VLOOKUP(VLOOKUP(R8,Key!$A$17:$B$28,2,FALSE),INDIRECT("'"&amp;R$1&amp;"'!"&amp;"$A$2:$C$23"),2,FALSE))</f>
        <v>129.9</v>
      </c>
      <c r="T8" s="4">
        <f t="shared" ca="1" si="12"/>
        <v>1</v>
      </c>
      <c r="U8" s="4" t="str">
        <f t="shared" ca="1" si="13"/>
        <v>Ed</v>
      </c>
      <c r="V8" s="5">
        <f ca="1">_xlfn.NUMBERVALUE(VLOOKUP(VLOOKUP(U8,Key!$A$17:$B$28,2,FALSE),INDIRECT("'"&amp;U$1&amp;"'!"&amp;"$A$2:$C$23"),2,FALSE))</f>
        <v>105.8</v>
      </c>
      <c r="W8" s="4">
        <f t="shared" ca="1" si="14"/>
        <v>4</v>
      </c>
      <c r="X8" s="4" t="str">
        <f t="shared" ca="1" si="15"/>
        <v>Catina</v>
      </c>
      <c r="Y8" s="5">
        <f ca="1">_xlfn.NUMBERVALUE(VLOOKUP(VLOOKUP(X8,Key!$A$17:$B$28,2,FALSE),INDIRECT("'"&amp;X$1&amp;"'!"&amp;"$A$2:$C$23"),2,FALSE))</f>
        <v>82.8</v>
      </c>
      <c r="Z8" s="4">
        <f t="shared" ca="1" si="16"/>
        <v>9</v>
      </c>
      <c r="AA8" s="4" t="str">
        <f t="shared" ca="1" si="17"/>
        <v>Sara</v>
      </c>
      <c r="AB8" s="5">
        <f ca="1">_xlfn.NUMBERVALUE(VLOOKUP(VLOOKUP(AA8,Key!$A$17:$B$28,2,FALSE),INDIRECT("'"&amp;AA$1&amp;"'!"&amp;"$A$2:$C$23"),2,FALSE))</f>
        <v>70.3</v>
      </c>
      <c r="AC8" s="4">
        <f t="shared" ca="1" si="18"/>
        <v>11</v>
      </c>
      <c r="AD8" s="4" t="str">
        <f t="shared" ca="1" si="19"/>
        <v>Tres</v>
      </c>
      <c r="AE8" s="5">
        <f ca="1">_xlfn.NUMBERVALUE(VLOOKUP(VLOOKUP(AD8,Key!$A$17:$B$28,2,FALSE),INDIRECT("'"&amp;AD$1&amp;"'!"&amp;"$A$2:$C$23"),2,FALSE))</f>
        <v>73.900000000000006</v>
      </c>
      <c r="AF8" s="4">
        <f t="shared" ca="1" si="20"/>
        <v>9</v>
      </c>
      <c r="AG8" s="4" t="str">
        <f t="shared" ca="1" si="21"/>
        <v>Binder</v>
      </c>
      <c r="AH8" s="5">
        <f ca="1">_xlfn.NUMBERVALUE(VLOOKUP(VLOOKUP(AG8,Key!$A$17:$B$28,2,FALSE),INDIRECT("'"&amp;AG$1&amp;"'!"&amp;"$A$2:$C$23"),2,FALSE))</f>
        <v>74.8</v>
      </c>
      <c r="AI8" s="4">
        <f t="shared" ca="1" si="22"/>
        <v>12</v>
      </c>
      <c r="AJ8" s="4" t="str">
        <f t="shared" ca="1" si="23"/>
        <v>Cody</v>
      </c>
      <c r="AK8" s="5">
        <f ca="1">_xlfn.NUMBERVALUE(VLOOKUP(VLOOKUP(AJ8,Key!$A$17:$B$28,2,FALSE),INDIRECT("'"&amp;AJ$1&amp;"'!"&amp;"$A$2:$C$23"),2,FALSE))</f>
        <v>98.8</v>
      </c>
      <c r="AL8" s="4">
        <f t="shared" ca="1" si="24"/>
        <v>4</v>
      </c>
      <c r="AM8" s="4" t="str">
        <f t="shared" ca="1" si="25"/>
        <v>Nicole</v>
      </c>
      <c r="AN8" s="5">
        <f ca="1">_xlfn.NUMBERVALUE(VLOOKUP(VLOOKUP(AM8,Key!$A$17:$B$28,2,FALSE),INDIRECT("'"&amp;AM$1&amp;"'!"&amp;"$A$2:$C$23"),2,FALSE))</f>
        <v>139.1</v>
      </c>
      <c r="AO8" s="4">
        <f t="shared" ca="1" si="26"/>
        <v>1</v>
      </c>
      <c r="AP8" s="4" t="str">
        <f t="shared" ca="1" si="27"/>
        <v>Cody</v>
      </c>
      <c r="AQ8" s="5">
        <f ca="1">_xlfn.NUMBERVALUE(VLOOKUP(VLOOKUP(AP8,Key!$A$17:$B$28,2,FALSE),INDIRECT("'"&amp;AP$1&amp;"'!"&amp;"$A$2:$C$23"),2,FALSE))</f>
        <v>88.6</v>
      </c>
      <c r="AR8" s="4">
        <f t="shared" ca="1" si="28"/>
        <v>8</v>
      </c>
      <c r="AS8" s="4" t="str">
        <f t="shared" ca="1" si="29"/>
        <v>Nicole</v>
      </c>
      <c r="AT8" s="5">
        <f ca="1">_xlfn.NUMBERVALUE(VLOOKUP(VLOOKUP(AS8,Key!$A$17:$B$28,2,FALSE),INDIRECT("'"&amp;AS$1&amp;"'!"&amp;"$A$2:$C$23"),2,FALSE))</f>
        <v>93.8</v>
      </c>
      <c r="AU8" s="4">
        <f t="shared" ca="1" si="30"/>
        <v>6</v>
      </c>
      <c r="AV8" s="4" t="str">
        <f t="shared" ca="1" si="31"/>
        <v>Ed</v>
      </c>
      <c r="AW8" s="5">
        <f ca="1">_xlfn.NUMBERVALUE(VLOOKUP(VLOOKUP(AV8,Key!$A$17:$B$28,2,FALSE),INDIRECT("'"&amp;AV$1&amp;"'!"&amp;"$A$2:$C$23"),2,FALSE))</f>
        <v>102.8</v>
      </c>
      <c r="AX8" s="4">
        <f t="shared" ca="1" si="32"/>
        <v>4</v>
      </c>
      <c r="AY8" s="4">
        <f t="shared" ca="1" si="33"/>
        <v>1220.2999999999997</v>
      </c>
      <c r="AZ8" s="5">
        <f t="shared" ca="1" si="34"/>
        <v>93.869230769230754</v>
      </c>
      <c r="BA8" s="4">
        <f t="shared" ca="1" si="35"/>
        <v>6</v>
      </c>
      <c r="BB8" s="5">
        <f t="shared" ca="1" si="36"/>
        <v>-6.3230769230769397</v>
      </c>
      <c r="BC8" s="5">
        <f t="shared" ca="1" si="37"/>
        <v>0.26762820512819019</v>
      </c>
      <c r="BD8" s="4">
        <f t="shared" ca="1" si="38"/>
        <v>5</v>
      </c>
      <c r="BE8" s="4">
        <f t="shared" ca="1" si="40"/>
        <v>8</v>
      </c>
      <c r="BF8" s="4">
        <f t="shared" ca="1" si="41"/>
        <v>3</v>
      </c>
      <c r="BG8" s="4">
        <f t="shared" ca="1" si="39"/>
        <v>4</v>
      </c>
      <c r="BH8" s="1">
        <f t="shared" ca="1" si="0"/>
        <v>0</v>
      </c>
      <c r="BI8" s="1"/>
    </row>
    <row r="9" spans="1:62" ht="16.25" thickTop="1" thickBot="1" x14ac:dyDescent="0.9">
      <c r="A9" s="4" t="s">
        <v>16</v>
      </c>
      <c r="B9" s="4" t="s">
        <v>168</v>
      </c>
      <c r="C9" s="4" t="str">
        <f t="shared" ca="1" si="1"/>
        <v>Jesse</v>
      </c>
      <c r="D9" s="5">
        <f ca="1">_xlfn.NUMBERVALUE(VLOOKUP(VLOOKUP(C9,Key!$A$17:$B$28,2,FALSE),INDIRECT("'"&amp;C$1&amp;"'!"&amp;"$A$2:$C$23"),2,FALSE))</f>
        <v>61.1</v>
      </c>
      <c r="E9" s="4">
        <f t="shared" ca="1" si="2"/>
        <v>12</v>
      </c>
      <c r="F9" s="4" t="str">
        <f t="shared" ca="1" si="3"/>
        <v>Catina</v>
      </c>
      <c r="G9" s="5">
        <f ca="1">_xlfn.NUMBERVALUE(VLOOKUP(VLOOKUP(F9,Key!$A$17:$B$28,2,FALSE),INDIRECT("'"&amp;F$1&amp;"'!"&amp;"$A$2:$C$23"),2,FALSE))</f>
        <v>91.1</v>
      </c>
      <c r="H9" s="4">
        <f t="shared" ca="1" si="4"/>
        <v>6</v>
      </c>
      <c r="I9" s="4" t="str">
        <f t="shared" ca="1" si="5"/>
        <v>Jake</v>
      </c>
      <c r="J9" s="5">
        <f ca="1">_xlfn.NUMBERVALUE(VLOOKUP(VLOOKUP(I9,Key!$A$17:$B$28,2,FALSE),INDIRECT("'"&amp;I$1&amp;"'!"&amp;"$A$2:$C$23"),2,FALSE))</f>
        <v>109</v>
      </c>
      <c r="K9" s="4">
        <f t="shared" ca="1" si="6"/>
        <v>4</v>
      </c>
      <c r="L9" s="4" t="str">
        <f t="shared" ca="1" si="7"/>
        <v>Ed</v>
      </c>
      <c r="M9" s="5">
        <f ca="1">_xlfn.NUMBERVALUE(VLOOKUP(VLOOKUP(L9,Key!$A$17:$B$28,2,FALSE),INDIRECT("'"&amp;L$1&amp;"'!"&amp;"$A$2:$C$23"),2,FALSE))</f>
        <v>97.8</v>
      </c>
      <c r="N9" s="4">
        <f t="shared" ca="1" si="8"/>
        <v>3</v>
      </c>
      <c r="O9" s="4" t="str">
        <f t="shared" ca="1" si="9"/>
        <v>Tres</v>
      </c>
      <c r="P9" s="5">
        <f ca="1">_xlfn.NUMBERVALUE(VLOOKUP(VLOOKUP(O9,Key!$A$17:$B$28,2,FALSE),INDIRECT("'"&amp;O$1&amp;"'!"&amp;"$A$2:$C$23"),2,FALSE))</f>
        <v>100.6</v>
      </c>
      <c r="Q9" s="4">
        <f t="shared" ca="1" si="10"/>
        <v>6</v>
      </c>
      <c r="R9" s="4" t="str">
        <f t="shared" ca="1" si="11"/>
        <v>Sara</v>
      </c>
      <c r="S9" s="5">
        <f ca="1">_xlfn.NUMBERVALUE(VLOOKUP(VLOOKUP(R9,Key!$A$17:$B$28,2,FALSE),INDIRECT("'"&amp;R$1&amp;"'!"&amp;"$A$2:$C$23"),2,FALSE))</f>
        <v>108.2</v>
      </c>
      <c r="T9" s="4">
        <f t="shared" ca="1" si="12"/>
        <v>4</v>
      </c>
      <c r="U9" s="4" t="str">
        <f t="shared" ca="1" si="13"/>
        <v>Nicole</v>
      </c>
      <c r="V9" s="5">
        <f ca="1">_xlfn.NUMBERVALUE(VLOOKUP(VLOOKUP(U9,Key!$A$17:$B$28,2,FALSE),INDIRECT("'"&amp;U$1&amp;"'!"&amp;"$A$2:$C$23"),2,FALSE))</f>
        <v>105.8</v>
      </c>
      <c r="W9" s="4">
        <f t="shared" ca="1" si="14"/>
        <v>4</v>
      </c>
      <c r="X9" s="4" t="str">
        <f t="shared" ca="1" si="15"/>
        <v>Dave</v>
      </c>
      <c r="Y9" s="5">
        <f ca="1">_xlfn.NUMBERVALUE(VLOOKUP(VLOOKUP(X9,Key!$A$17:$B$28,2,FALSE),INDIRECT("'"&amp;X$1&amp;"'!"&amp;"$A$2:$C$23"),2,FALSE))</f>
        <v>96.4</v>
      </c>
      <c r="Z9" s="4">
        <f t="shared" ca="1" si="16"/>
        <v>4</v>
      </c>
      <c r="AA9" s="4" t="str">
        <f t="shared" ca="1" si="17"/>
        <v>Steve</v>
      </c>
      <c r="AB9" s="5">
        <f ca="1">_xlfn.NUMBERVALUE(VLOOKUP(VLOOKUP(AA9,Key!$A$17:$B$28,2,FALSE),INDIRECT("'"&amp;AA$1&amp;"'!"&amp;"$A$2:$C$23"),2,FALSE))</f>
        <v>69.8</v>
      </c>
      <c r="AC9" s="4">
        <f t="shared" ca="1" si="18"/>
        <v>12</v>
      </c>
      <c r="AD9" s="4" t="str">
        <f t="shared" ca="1" si="19"/>
        <v>Binder</v>
      </c>
      <c r="AE9" s="5">
        <f ca="1">_xlfn.NUMBERVALUE(VLOOKUP(VLOOKUP(AD9,Key!$A$17:$B$28,2,FALSE),INDIRECT("'"&amp;AD$1&amp;"'!"&amp;"$A$2:$C$23"),2,FALSE))</f>
        <v>104.9</v>
      </c>
      <c r="AF9" s="4">
        <f t="shared" ca="1" si="20"/>
        <v>3</v>
      </c>
      <c r="AG9" s="4" t="str">
        <f t="shared" ca="1" si="21"/>
        <v>Sam</v>
      </c>
      <c r="AH9" s="5">
        <f ca="1">_xlfn.NUMBERVALUE(VLOOKUP(VLOOKUP(AG9,Key!$A$17:$B$28,2,FALSE),INDIRECT("'"&amp;AG$1&amp;"'!"&amp;"$A$2:$C$23"),2,FALSE))</f>
        <v>117.4</v>
      </c>
      <c r="AI9" s="4">
        <f t="shared" ca="1" si="22"/>
        <v>3</v>
      </c>
      <c r="AJ9" s="4" t="str">
        <f t="shared" ca="1" si="23"/>
        <v>Jake</v>
      </c>
      <c r="AK9" s="5">
        <f ca="1">_xlfn.NUMBERVALUE(VLOOKUP(VLOOKUP(AJ9,Key!$A$17:$B$28,2,FALSE),INDIRECT("'"&amp;AJ$1&amp;"'!"&amp;"$A$2:$C$23"),2,FALSE))</f>
        <v>134.9</v>
      </c>
      <c r="AL9" s="4">
        <f t="shared" ca="1" si="24"/>
        <v>1</v>
      </c>
      <c r="AM9" s="4" t="str">
        <f t="shared" ca="1" si="25"/>
        <v>Ed</v>
      </c>
      <c r="AN9" s="5">
        <f ca="1">_xlfn.NUMBERVALUE(VLOOKUP(VLOOKUP(AM9,Key!$A$17:$B$28,2,FALSE),INDIRECT("'"&amp;AM$1&amp;"'!"&amp;"$A$2:$C$23"),2,FALSE))</f>
        <v>105.5</v>
      </c>
      <c r="AO9" s="4">
        <f t="shared" ca="1" si="26"/>
        <v>5</v>
      </c>
      <c r="AP9" s="4" t="str">
        <f t="shared" ca="1" si="27"/>
        <v>Jake</v>
      </c>
      <c r="AQ9" s="5">
        <f ca="1">_xlfn.NUMBERVALUE(VLOOKUP(VLOOKUP(AP9,Key!$A$17:$B$28,2,FALSE),INDIRECT("'"&amp;AP$1&amp;"'!"&amp;"$A$2:$C$23"),2,FALSE))</f>
        <v>104.3</v>
      </c>
      <c r="AR9" s="4">
        <f t="shared" ca="1" si="28"/>
        <v>4</v>
      </c>
      <c r="AS9" s="4" t="str">
        <f t="shared" ca="1" si="29"/>
        <v>Dave</v>
      </c>
      <c r="AT9" s="5">
        <f ca="1">_xlfn.NUMBERVALUE(VLOOKUP(VLOOKUP(AS9,Key!$A$17:$B$28,2,FALSE),INDIRECT("'"&amp;AS$1&amp;"'!"&amp;"$A$2:$C$23"),2,FALSE))</f>
        <v>75.599999999999994</v>
      </c>
      <c r="AU9" s="4">
        <f t="shared" ca="1" si="30"/>
        <v>10</v>
      </c>
      <c r="AV9" s="4" t="str">
        <f t="shared" ca="1" si="31"/>
        <v>Dave</v>
      </c>
      <c r="AW9" s="5">
        <f ca="1">_xlfn.NUMBERVALUE(VLOOKUP(VLOOKUP(AV9,Key!$A$17:$B$28,2,FALSE),INDIRECT("'"&amp;AV$1&amp;"'!"&amp;"$A$2:$C$23"),2,FALSE))</f>
        <v>70.3</v>
      </c>
      <c r="AX9" s="4">
        <f t="shared" ca="1" si="32"/>
        <v>10</v>
      </c>
      <c r="AY9" s="4">
        <f t="shared" ca="1" si="33"/>
        <v>1302.5</v>
      </c>
      <c r="AZ9" s="5">
        <f t="shared" ca="1" si="34"/>
        <v>100.19230769230769</v>
      </c>
      <c r="BA9" s="4">
        <f t="shared" ca="1" si="35"/>
        <v>1</v>
      </c>
      <c r="BB9" s="5">
        <f t="shared" ca="1" si="36"/>
        <v>0</v>
      </c>
      <c r="BC9" s="5">
        <f t="shared" ca="1" si="37"/>
        <v>6.6289377289377285</v>
      </c>
      <c r="BD9" s="4">
        <f t="shared" ca="1" si="38"/>
        <v>11</v>
      </c>
      <c r="BE9" s="4">
        <f t="shared" ca="1" si="40"/>
        <v>2</v>
      </c>
      <c r="BF9" s="4">
        <f t="shared" ca="1" si="41"/>
        <v>4</v>
      </c>
      <c r="BG9" s="4">
        <f t="shared" ca="1" si="39"/>
        <v>8</v>
      </c>
      <c r="BH9" s="1">
        <f t="shared" ca="1" si="0"/>
        <v>0</v>
      </c>
      <c r="BI9" s="1"/>
    </row>
    <row r="10" spans="1:62" ht="16.25" thickTop="1" thickBot="1" x14ac:dyDescent="0.9">
      <c r="A10" s="4" t="s">
        <v>18</v>
      </c>
      <c r="B10" s="4" t="s">
        <v>169</v>
      </c>
      <c r="C10" s="4" t="str">
        <f t="shared" ca="1" si="1"/>
        <v>Cody</v>
      </c>
      <c r="D10" s="5">
        <f ca="1">_xlfn.NUMBERVALUE(VLOOKUP(VLOOKUP(C10,Key!$A$17:$B$28,2,FALSE),INDIRECT("'"&amp;C$1&amp;"'!"&amp;"$A$2:$C$23"),2,FALSE))</f>
        <v>72.099999999999994</v>
      </c>
      <c r="E10" s="4">
        <f t="shared" ca="1" si="2"/>
        <v>10</v>
      </c>
      <c r="F10" s="4" t="str">
        <f t="shared" ca="1" si="3"/>
        <v>Ed</v>
      </c>
      <c r="G10" s="5">
        <f ca="1">_xlfn.NUMBERVALUE(VLOOKUP(VLOOKUP(F10,Key!$A$17:$B$28,2,FALSE),INDIRECT("'"&amp;F$1&amp;"'!"&amp;"$A$2:$C$23"),2,FALSE))</f>
        <v>85.3</v>
      </c>
      <c r="H10" s="4">
        <f t="shared" ca="1" si="4"/>
        <v>8</v>
      </c>
      <c r="I10" s="4" t="str">
        <f t="shared" ca="1" si="5"/>
        <v>Steve</v>
      </c>
      <c r="J10" s="5">
        <f ca="1">_xlfn.NUMBERVALUE(VLOOKUP(VLOOKUP(I10,Key!$A$17:$B$28,2,FALSE),INDIRECT("'"&amp;I$1&amp;"'!"&amp;"$A$2:$C$23"),2,FALSE))</f>
        <v>80.7</v>
      </c>
      <c r="K10" s="4">
        <f t="shared" ca="1" si="6"/>
        <v>9</v>
      </c>
      <c r="L10" s="4" t="str">
        <f t="shared" ca="1" si="7"/>
        <v>Tres</v>
      </c>
      <c r="M10" s="5">
        <f ca="1">_xlfn.NUMBERVALUE(VLOOKUP(VLOOKUP(L10,Key!$A$17:$B$28,2,FALSE),INDIRECT("'"&amp;L$1&amp;"'!"&amp;"$A$2:$C$23"),2,FALSE))</f>
        <v>95.3</v>
      </c>
      <c r="N10" s="4">
        <f t="shared" ca="1" si="8"/>
        <v>5</v>
      </c>
      <c r="O10" s="4" t="str">
        <f t="shared" ca="1" si="9"/>
        <v>Jake</v>
      </c>
      <c r="P10" s="5">
        <f ca="1">_xlfn.NUMBERVALUE(VLOOKUP(VLOOKUP(O10,Key!$A$17:$B$28,2,FALSE),INDIRECT("'"&amp;O$1&amp;"'!"&amp;"$A$2:$C$23"),2,FALSE))</f>
        <v>109.7</v>
      </c>
      <c r="Q10" s="4">
        <f t="shared" ca="1" si="10"/>
        <v>2</v>
      </c>
      <c r="R10" s="4" t="str">
        <f t="shared" ca="1" si="11"/>
        <v>Nicole</v>
      </c>
      <c r="S10" s="5">
        <f ca="1">_xlfn.NUMBERVALUE(VLOOKUP(VLOOKUP(R10,Key!$A$17:$B$28,2,FALSE),INDIRECT("'"&amp;R$1&amp;"'!"&amp;"$A$2:$C$23"),2,FALSE))</f>
        <v>79.7</v>
      </c>
      <c r="T10" s="4">
        <f t="shared" ca="1" si="12"/>
        <v>8</v>
      </c>
      <c r="U10" s="4" t="str">
        <f t="shared" ca="1" si="13"/>
        <v>Sara</v>
      </c>
      <c r="V10" s="5">
        <f ca="1">_xlfn.NUMBERVALUE(VLOOKUP(VLOOKUP(U10,Key!$A$17:$B$28,2,FALSE),INDIRECT("'"&amp;U$1&amp;"'!"&amp;"$A$2:$C$23"),2,FALSE))</f>
        <v>89.1</v>
      </c>
      <c r="W10" s="4">
        <f t="shared" ca="1" si="14"/>
        <v>7</v>
      </c>
      <c r="X10" s="4" t="str">
        <f t="shared" ca="1" si="15"/>
        <v>Binder</v>
      </c>
      <c r="Y10" s="5">
        <f ca="1">_xlfn.NUMBERVALUE(VLOOKUP(VLOOKUP(X10,Key!$A$17:$B$28,2,FALSE),INDIRECT("'"&amp;X$1&amp;"'!"&amp;"$A$2:$C$23"),2,FALSE))</f>
        <v>84.2</v>
      </c>
      <c r="Z10" s="4">
        <f t="shared" ca="1" si="16"/>
        <v>8</v>
      </c>
      <c r="AA10" s="4" t="str">
        <f t="shared" ca="1" si="17"/>
        <v>Dave</v>
      </c>
      <c r="AB10" s="5">
        <f ca="1">_xlfn.NUMBERVALUE(VLOOKUP(VLOOKUP(AA10,Key!$A$17:$B$28,2,FALSE),INDIRECT("'"&amp;AA$1&amp;"'!"&amp;"$A$2:$C$23"),2,FALSE))</f>
        <v>99.8</v>
      </c>
      <c r="AC10" s="4">
        <f t="shared" ca="1" si="18"/>
        <v>6</v>
      </c>
      <c r="AD10" s="4" t="str">
        <f t="shared" ca="1" si="19"/>
        <v>Sam</v>
      </c>
      <c r="AE10" s="5">
        <f ca="1">_xlfn.NUMBERVALUE(VLOOKUP(VLOOKUP(AD10,Key!$A$17:$B$28,2,FALSE),INDIRECT("'"&amp;AD$1&amp;"'!"&amp;"$A$2:$C$23"),2,FALSE))</f>
        <v>123.4</v>
      </c>
      <c r="AF10" s="4">
        <f t="shared" ca="1" si="20"/>
        <v>2</v>
      </c>
      <c r="AG10" s="4" t="str">
        <f t="shared" ca="1" si="21"/>
        <v>Catina</v>
      </c>
      <c r="AH10" s="5">
        <f ca="1">_xlfn.NUMBERVALUE(VLOOKUP(VLOOKUP(AG10,Key!$A$17:$B$28,2,FALSE),INDIRECT("'"&amp;AG$1&amp;"'!"&amp;"$A$2:$C$23"),2,FALSE))</f>
        <v>100.6</v>
      </c>
      <c r="AI10" s="4">
        <f t="shared" ca="1" si="22"/>
        <v>8</v>
      </c>
      <c r="AJ10" s="4" t="str">
        <f t="shared" ca="1" si="23"/>
        <v>Steve</v>
      </c>
      <c r="AK10" s="5">
        <f ca="1">_xlfn.NUMBERVALUE(VLOOKUP(VLOOKUP(AJ10,Key!$A$17:$B$28,2,FALSE),INDIRECT("'"&amp;AJ$1&amp;"'!"&amp;"$A$2:$C$23"),2,FALSE))</f>
        <v>75.8</v>
      </c>
      <c r="AL10" s="4">
        <f t="shared" ca="1" si="24"/>
        <v>10</v>
      </c>
      <c r="AM10" s="4" t="str">
        <f t="shared" ca="1" si="25"/>
        <v>Tres</v>
      </c>
      <c r="AN10" s="5">
        <f ca="1">_xlfn.NUMBERVALUE(VLOOKUP(VLOOKUP(AM10,Key!$A$17:$B$28,2,FALSE),INDIRECT("'"&amp;AM$1&amp;"'!"&amp;"$A$2:$C$23"),2,FALSE))</f>
        <v>72.7</v>
      </c>
      <c r="AO10" s="4">
        <f t="shared" ca="1" si="26"/>
        <v>12</v>
      </c>
      <c r="AP10" s="4" t="str">
        <f t="shared" ca="1" si="27"/>
        <v>Dave</v>
      </c>
      <c r="AQ10" s="5">
        <f ca="1">_xlfn.NUMBERVALUE(VLOOKUP(VLOOKUP(AP10,Key!$A$17:$B$28,2,FALSE),INDIRECT("'"&amp;AP$1&amp;"'!"&amp;"$A$2:$C$23"),2,FALSE))</f>
        <v>92.6</v>
      </c>
      <c r="AR10" s="4">
        <f t="shared" ca="1" si="28"/>
        <v>7</v>
      </c>
      <c r="AS10" s="4" t="str">
        <f t="shared" ca="1" si="29"/>
        <v>Ed</v>
      </c>
      <c r="AT10" s="5">
        <f ca="1">_xlfn.NUMBERVALUE(VLOOKUP(VLOOKUP(AS10,Key!$A$17:$B$28,2,FALSE),INDIRECT("'"&amp;AS$1&amp;"'!"&amp;"$A$2:$C$23"),2,FALSE))</f>
        <v>152.80000000000001</v>
      </c>
      <c r="AU10" s="4">
        <f t="shared" ca="1" si="30"/>
        <v>1</v>
      </c>
      <c r="AV10" s="4" t="str">
        <f t="shared" ca="1" si="31"/>
        <v>Nicole</v>
      </c>
      <c r="AW10" s="5">
        <f ca="1">_xlfn.NUMBERVALUE(VLOOKUP(VLOOKUP(AV10,Key!$A$17:$B$28,2,FALSE),INDIRECT("'"&amp;AV$1&amp;"'!"&amp;"$A$2:$C$23"),2,FALSE))</f>
        <v>98.5</v>
      </c>
      <c r="AX10" s="4">
        <f t="shared" ca="1" si="32"/>
        <v>6</v>
      </c>
      <c r="AY10" s="4">
        <f t="shared" ca="1" si="33"/>
        <v>1168.4000000000001</v>
      </c>
      <c r="AZ10" s="5">
        <f t="shared" ca="1" si="34"/>
        <v>89.876923076923077</v>
      </c>
      <c r="BA10" s="4">
        <f t="shared" ca="1" si="35"/>
        <v>9</v>
      </c>
      <c r="BB10" s="5">
        <f t="shared" ca="1" si="36"/>
        <v>-10.315384615384616</v>
      </c>
      <c r="BC10" s="5">
        <f t="shared" ca="1" si="37"/>
        <v>-2.5816239316239233</v>
      </c>
      <c r="BD10" s="4">
        <f t="shared" ca="1" si="38"/>
        <v>4</v>
      </c>
      <c r="BE10" s="4">
        <f t="shared" ca="1" si="40"/>
        <v>9</v>
      </c>
      <c r="BF10" s="4">
        <f t="shared" ca="1" si="41"/>
        <v>2</v>
      </c>
      <c r="BG10" s="4">
        <f t="shared" ca="1" si="39"/>
        <v>3</v>
      </c>
      <c r="BH10" s="1">
        <f t="shared" ca="1" si="0"/>
        <v>0</v>
      </c>
      <c r="BI10" s="1"/>
    </row>
    <row r="11" spans="1:62" ht="16.25" thickTop="1" thickBot="1" x14ac:dyDescent="0.9">
      <c r="A11" s="4" t="s">
        <v>21</v>
      </c>
      <c r="B11" s="4" t="s">
        <v>170</v>
      </c>
      <c r="C11" s="4" t="str">
        <f t="shared" ca="1" si="1"/>
        <v>Nicole</v>
      </c>
      <c r="D11" s="5">
        <f ca="1">_xlfn.NUMBERVALUE(VLOOKUP(VLOOKUP(C11,Key!$A$17:$B$28,2,FALSE),INDIRECT("'"&amp;C$1&amp;"'!"&amp;"$A$2:$C$23"),2,FALSE))</f>
        <v>93.6</v>
      </c>
      <c r="E11" s="4">
        <f t="shared" ca="1" si="2"/>
        <v>3</v>
      </c>
      <c r="F11" s="4" t="str">
        <f t="shared" ca="1" si="3"/>
        <v>Jake</v>
      </c>
      <c r="G11" s="5">
        <f ca="1">_xlfn.NUMBERVALUE(VLOOKUP(VLOOKUP(F11,Key!$A$17:$B$28,2,FALSE),INDIRECT("'"&amp;F$1&amp;"'!"&amp;"$A$2:$C$23"),2,FALSE))</f>
        <v>96</v>
      </c>
      <c r="H11" s="4">
        <f t="shared" ca="1" si="4"/>
        <v>4</v>
      </c>
      <c r="I11" s="4" t="str">
        <f t="shared" ca="1" si="5"/>
        <v>Jesse</v>
      </c>
      <c r="J11" s="5">
        <f ca="1">_xlfn.NUMBERVALUE(VLOOKUP(VLOOKUP(I11,Key!$A$17:$B$28,2,FALSE),INDIRECT("'"&amp;I$1&amp;"'!"&amp;"$A$2:$C$23"),2,FALSE))</f>
        <v>137.9</v>
      </c>
      <c r="K11" s="4">
        <f t="shared" ca="1" si="6"/>
        <v>1</v>
      </c>
      <c r="L11" s="4" t="str">
        <f t="shared" ca="1" si="7"/>
        <v>Catina</v>
      </c>
      <c r="M11" s="5">
        <f ca="1">_xlfn.NUMBERVALUE(VLOOKUP(VLOOKUP(L11,Key!$A$17:$B$28,2,FALSE),INDIRECT("'"&amp;L$1&amp;"'!"&amp;"$A$2:$C$23"),2,FALSE))</f>
        <v>86</v>
      </c>
      <c r="N11" s="4">
        <f t="shared" ca="1" si="8"/>
        <v>6</v>
      </c>
      <c r="O11" s="4" t="str">
        <f t="shared" ca="1" si="9"/>
        <v>Dave</v>
      </c>
      <c r="P11" s="5">
        <f ca="1">_xlfn.NUMBERVALUE(VLOOKUP(VLOOKUP(O11,Key!$A$17:$B$28,2,FALSE),INDIRECT("'"&amp;O$1&amp;"'!"&amp;"$A$2:$C$23"),2,FALSE))</f>
        <v>70.900000000000006</v>
      </c>
      <c r="Q11" s="4">
        <f t="shared" ca="1" si="10"/>
        <v>10</v>
      </c>
      <c r="R11" s="4" t="str">
        <f t="shared" ca="1" si="11"/>
        <v>Binder</v>
      </c>
      <c r="S11" s="5">
        <f ca="1">_xlfn.NUMBERVALUE(VLOOKUP(VLOOKUP(R11,Key!$A$17:$B$28,2,FALSE),INDIRECT("'"&amp;R$1&amp;"'!"&amp;"$A$2:$C$23"),2,FALSE))</f>
        <v>112.6</v>
      </c>
      <c r="T11" s="4">
        <f t="shared" ca="1" si="12"/>
        <v>3</v>
      </c>
      <c r="U11" s="4" t="str">
        <f t="shared" ca="1" si="13"/>
        <v>Tres</v>
      </c>
      <c r="V11" s="5">
        <f ca="1">_xlfn.NUMBERVALUE(VLOOKUP(VLOOKUP(U11,Key!$A$17:$B$28,2,FALSE),INDIRECT("'"&amp;U$1&amp;"'!"&amp;"$A$2:$C$23"),2,FALSE))</f>
        <v>108.9</v>
      </c>
      <c r="W11" s="4">
        <f t="shared" ca="1" si="14"/>
        <v>3</v>
      </c>
      <c r="X11" s="4" t="str">
        <f t="shared" ca="1" si="15"/>
        <v>Sam</v>
      </c>
      <c r="Y11" s="5">
        <f ca="1">_xlfn.NUMBERVALUE(VLOOKUP(VLOOKUP(X11,Key!$A$17:$B$28,2,FALSE),INDIRECT("'"&amp;X$1&amp;"'!"&amp;"$A$2:$C$23"),2,FALSE))</f>
        <v>89.3</v>
      </c>
      <c r="Z11" s="4">
        <f t="shared" ca="1" si="16"/>
        <v>6</v>
      </c>
      <c r="AA11" s="4" t="str">
        <f t="shared" ca="1" si="17"/>
        <v>Cody</v>
      </c>
      <c r="AB11" s="5">
        <f ca="1">_xlfn.NUMBERVALUE(VLOOKUP(VLOOKUP(AA11,Key!$A$17:$B$28,2,FALSE),INDIRECT("'"&amp;AA$1&amp;"'!"&amp;"$A$2:$C$23"),2,FALSE))</f>
        <v>84.7</v>
      </c>
      <c r="AC11" s="4">
        <f t="shared" ca="1" si="18"/>
        <v>9</v>
      </c>
      <c r="AD11" s="4" t="str">
        <f t="shared" ca="1" si="19"/>
        <v>Ed</v>
      </c>
      <c r="AE11" s="5">
        <f ca="1">_xlfn.NUMBERVALUE(VLOOKUP(VLOOKUP(AD11,Key!$A$17:$B$28,2,FALSE),INDIRECT("'"&amp;AD$1&amp;"'!"&amp;"$A$2:$C$23"),2,FALSE))</f>
        <v>79.8</v>
      </c>
      <c r="AF11" s="4">
        <f t="shared" ca="1" si="20"/>
        <v>7</v>
      </c>
      <c r="AG11" s="4" t="str">
        <f t="shared" ca="1" si="21"/>
        <v>Sara</v>
      </c>
      <c r="AH11" s="5">
        <f ca="1">_xlfn.NUMBERVALUE(VLOOKUP(VLOOKUP(AG11,Key!$A$17:$B$28,2,FALSE),INDIRECT("'"&amp;AG$1&amp;"'!"&amp;"$A$2:$C$23"),2,FALSE))</f>
        <v>105.2</v>
      </c>
      <c r="AI11" s="4">
        <f t="shared" ca="1" si="22"/>
        <v>5</v>
      </c>
      <c r="AJ11" s="4" t="str">
        <f t="shared" ca="1" si="23"/>
        <v>Jesse</v>
      </c>
      <c r="AK11" s="5">
        <f ca="1">_xlfn.NUMBERVALUE(VLOOKUP(VLOOKUP(AJ11,Key!$A$17:$B$28,2,FALSE),INDIRECT("'"&amp;AJ$1&amp;"'!"&amp;"$A$2:$C$23"),2,FALSE))</f>
        <v>96.6</v>
      </c>
      <c r="AL11" s="4">
        <f t="shared" ca="1" si="24"/>
        <v>6</v>
      </c>
      <c r="AM11" s="4" t="str">
        <f t="shared" ca="1" si="25"/>
        <v>Catina</v>
      </c>
      <c r="AN11" s="5">
        <f ca="1">_xlfn.NUMBERVALUE(VLOOKUP(VLOOKUP(AM11,Key!$A$17:$B$28,2,FALSE),INDIRECT("'"&amp;AM$1&amp;"'!"&amp;"$A$2:$C$23"),2,FALSE))</f>
        <v>79.400000000000006</v>
      </c>
      <c r="AO11" s="4">
        <f t="shared" ca="1" si="26"/>
        <v>9</v>
      </c>
      <c r="AP11" s="4" t="str">
        <f t="shared" ca="1" si="27"/>
        <v>Tres</v>
      </c>
      <c r="AQ11" s="5">
        <f ca="1">_xlfn.NUMBERVALUE(VLOOKUP(VLOOKUP(AP11,Key!$A$17:$B$28,2,FALSE),INDIRECT("'"&amp;AP$1&amp;"'!"&amp;"$A$2:$C$23"),2,FALSE))</f>
        <v>118.8</v>
      </c>
      <c r="AR11" s="4">
        <f t="shared" ca="1" si="28"/>
        <v>1</v>
      </c>
      <c r="AS11" s="4" t="str">
        <f t="shared" ca="1" si="29"/>
        <v>Binder</v>
      </c>
      <c r="AT11" s="5">
        <f ca="1">_xlfn.NUMBERVALUE(VLOOKUP(VLOOKUP(AS11,Key!$A$17:$B$28,2,FALSE),INDIRECT("'"&amp;AS$1&amp;"'!"&amp;"$A$2:$C$23"),2,FALSE))</f>
        <v>73.900000000000006</v>
      </c>
      <c r="AU11" s="4">
        <f t="shared" ca="1" si="30"/>
        <v>11</v>
      </c>
      <c r="AV11" s="4" t="str">
        <f t="shared" ca="1" si="31"/>
        <v>Sara</v>
      </c>
      <c r="AW11" s="5">
        <f ca="1">_xlfn.NUMBERVALUE(VLOOKUP(VLOOKUP(AV11,Key!$A$17:$B$28,2,FALSE),INDIRECT("'"&amp;AV$1&amp;"'!"&amp;"$A$2:$C$23"),2,FALSE))</f>
        <v>107.3</v>
      </c>
      <c r="AX11" s="4">
        <f t="shared" ca="1" si="32"/>
        <v>3</v>
      </c>
      <c r="AY11" s="4">
        <f t="shared" ca="1" si="33"/>
        <v>1240.8999999999999</v>
      </c>
      <c r="AZ11" s="5">
        <f t="shared" ca="1" si="34"/>
        <v>95.453846153846143</v>
      </c>
      <c r="BA11" s="4">
        <f t="shared" ca="1" si="35"/>
        <v>5</v>
      </c>
      <c r="BB11" s="5">
        <f t="shared" ca="1" si="36"/>
        <v>-4.73846153846155</v>
      </c>
      <c r="BC11" s="5">
        <f t="shared" ca="1" si="37"/>
        <v>2.4789743589743409</v>
      </c>
      <c r="BD11" s="4">
        <f t="shared" ca="1" si="38"/>
        <v>9</v>
      </c>
      <c r="BE11" s="4">
        <f t="shared" ca="1" si="40"/>
        <v>4</v>
      </c>
      <c r="BF11" s="4">
        <f t="shared" ca="1" si="41"/>
        <v>4</v>
      </c>
      <c r="BG11" s="4">
        <f t="shared" ca="1" si="39"/>
        <v>4</v>
      </c>
      <c r="BH11" s="1">
        <f ca="1">SUMPRODUCT(C11:AO11=$B$20,C11:AO11=$S$20)</f>
        <v>0</v>
      </c>
      <c r="BI11" s="1"/>
    </row>
    <row r="12" spans="1:62" ht="16.25" thickTop="1" thickBot="1" x14ac:dyDescent="0.9">
      <c r="A12" s="4" t="s">
        <v>23</v>
      </c>
      <c r="B12" s="4" t="s">
        <v>171</v>
      </c>
      <c r="C12" s="4" t="str">
        <f t="shared" ca="1" si="1"/>
        <v>Steve</v>
      </c>
      <c r="D12" s="5">
        <f ca="1">_xlfn.NUMBERVALUE(VLOOKUP(VLOOKUP(C12,Key!$A$17:$B$28,2,FALSE),INDIRECT("'"&amp;C$1&amp;"'!"&amp;"$A$2:$C$23"),2,FALSE))</f>
        <v>90.8</v>
      </c>
      <c r="E12" s="4">
        <f t="shared" ca="1" si="2"/>
        <v>4</v>
      </c>
      <c r="F12" s="4" t="str">
        <f t="shared" ca="1" si="3"/>
        <v>Binder</v>
      </c>
      <c r="G12" s="5">
        <f ca="1">_xlfn.NUMBERVALUE(VLOOKUP(VLOOKUP(F12,Key!$A$17:$B$28,2,FALSE),INDIRECT("'"&amp;F$1&amp;"'!"&amp;"$A$2:$C$23"),2,FALSE))</f>
        <v>112</v>
      </c>
      <c r="H12" s="4">
        <f t="shared" ca="1" si="4"/>
        <v>2</v>
      </c>
      <c r="I12" s="4" t="str">
        <f t="shared" ca="1" si="5"/>
        <v>Sara</v>
      </c>
      <c r="J12" s="5">
        <f ca="1">_xlfn.NUMBERVALUE(VLOOKUP(VLOOKUP(I12,Key!$A$17:$B$28,2,FALSE),INDIRECT("'"&amp;I$1&amp;"'!"&amp;"$A$2:$C$23"),2,FALSE))</f>
        <v>71.599999999999994</v>
      </c>
      <c r="K12" s="4">
        <f t="shared" ca="1" si="6"/>
        <v>11</v>
      </c>
      <c r="L12" s="4" t="str">
        <f t="shared" ca="1" si="7"/>
        <v>Jake</v>
      </c>
      <c r="M12" s="5">
        <f ca="1">_xlfn.NUMBERVALUE(VLOOKUP(VLOOKUP(L12,Key!$A$17:$B$28,2,FALSE),INDIRECT("'"&amp;L$1&amp;"'!"&amp;"$A$2:$C$23"),2,FALSE))</f>
        <v>59.9</v>
      </c>
      <c r="N12" s="4">
        <f t="shared" ca="1" si="8"/>
        <v>12</v>
      </c>
      <c r="O12" s="4" t="str">
        <f t="shared" ca="1" si="9"/>
        <v>Catina</v>
      </c>
      <c r="P12" s="5">
        <f ca="1">_xlfn.NUMBERVALUE(VLOOKUP(VLOOKUP(O12,Key!$A$17:$B$28,2,FALSE),INDIRECT("'"&amp;O$1&amp;"'!"&amp;"$A$2:$C$23"),2,FALSE))</f>
        <v>65.5</v>
      </c>
      <c r="Q12" s="4">
        <f t="shared" ca="1" si="10"/>
        <v>11</v>
      </c>
      <c r="R12" s="4" t="str">
        <f t="shared" ca="1" si="11"/>
        <v>Jesse</v>
      </c>
      <c r="S12" s="5">
        <f ca="1">_xlfn.NUMBERVALUE(VLOOKUP(VLOOKUP(R12,Key!$A$17:$B$28,2,FALSE),INDIRECT("'"&amp;R$1&amp;"'!"&amp;"$A$2:$C$23"),2,FALSE))</f>
        <v>101.6</v>
      </c>
      <c r="T12" s="4">
        <f t="shared" ca="1" si="12"/>
        <v>6</v>
      </c>
      <c r="U12" s="4" t="str">
        <f t="shared" ca="1" si="13"/>
        <v>Cody</v>
      </c>
      <c r="V12" s="5">
        <f ca="1">_xlfn.NUMBERVALUE(VLOOKUP(VLOOKUP(U12,Key!$A$17:$B$28,2,FALSE),INDIRECT("'"&amp;U$1&amp;"'!"&amp;"$A$2:$C$23"),2,FALSE))</f>
        <v>141.1</v>
      </c>
      <c r="W12" s="4">
        <f t="shared" ca="1" si="14"/>
        <v>1</v>
      </c>
      <c r="X12" s="4" t="str">
        <f t="shared" ca="1" si="15"/>
        <v>Tres</v>
      </c>
      <c r="Y12" s="5">
        <f ca="1">_xlfn.NUMBERVALUE(VLOOKUP(VLOOKUP(X12,Key!$A$17:$B$28,2,FALSE),INDIRECT("'"&amp;X$1&amp;"'!"&amp;"$A$2:$C$23"),2,FALSE))</f>
        <v>59.7</v>
      </c>
      <c r="Z12" s="4">
        <f t="shared" ca="1" si="16"/>
        <v>12</v>
      </c>
      <c r="AA12" s="4" t="str">
        <f t="shared" ca="1" si="17"/>
        <v>Sam</v>
      </c>
      <c r="AB12" s="5">
        <f ca="1">_xlfn.NUMBERVALUE(VLOOKUP(VLOOKUP(AA12,Key!$A$17:$B$28,2,FALSE),INDIRECT("'"&amp;AA$1&amp;"'!"&amp;"$A$2:$C$23"),2,FALSE))</f>
        <v>85.5</v>
      </c>
      <c r="AC12" s="4">
        <f t="shared" ca="1" si="18"/>
        <v>8</v>
      </c>
      <c r="AD12" s="4" t="str">
        <f t="shared" ca="1" si="19"/>
        <v>Dave</v>
      </c>
      <c r="AE12" s="5">
        <f ca="1">_xlfn.NUMBERVALUE(VLOOKUP(VLOOKUP(AD12,Key!$A$17:$B$28,2,FALSE),INDIRECT("'"&amp;AD$1&amp;"'!"&amp;"$A$2:$C$23"),2,FALSE))</f>
        <v>83.6</v>
      </c>
      <c r="AF12" s="4">
        <f t="shared" ca="1" si="20"/>
        <v>6</v>
      </c>
      <c r="AG12" s="4" t="str">
        <f t="shared" ca="1" si="21"/>
        <v>Ed</v>
      </c>
      <c r="AH12" s="5">
        <f ca="1">_xlfn.NUMBERVALUE(VLOOKUP(VLOOKUP(AG12,Key!$A$17:$B$28,2,FALSE),INDIRECT("'"&amp;AG$1&amp;"'!"&amp;"$A$2:$C$23"),2,FALSE))</f>
        <v>119.8</v>
      </c>
      <c r="AI12" s="4">
        <f t="shared" ca="1" si="22"/>
        <v>2</v>
      </c>
      <c r="AJ12" s="4" t="str">
        <f t="shared" ca="1" si="23"/>
        <v>Sara</v>
      </c>
      <c r="AK12" s="5">
        <f ca="1">_xlfn.NUMBERVALUE(VLOOKUP(VLOOKUP(AJ12,Key!$A$17:$B$28,2,FALSE),INDIRECT("'"&amp;AJ$1&amp;"'!"&amp;"$A$2:$C$23"),2,FALSE))</f>
        <v>64.400000000000006</v>
      </c>
      <c r="AL12" s="4">
        <f t="shared" ca="1" si="24"/>
        <v>11</v>
      </c>
      <c r="AM12" s="4" t="str">
        <f t="shared" ca="1" si="25"/>
        <v>Jake</v>
      </c>
      <c r="AN12" s="5">
        <f ca="1">_xlfn.NUMBERVALUE(VLOOKUP(VLOOKUP(AM12,Key!$A$17:$B$28,2,FALSE),INDIRECT("'"&amp;AM$1&amp;"'!"&amp;"$A$2:$C$23"),2,FALSE))</f>
        <v>96.4</v>
      </c>
      <c r="AO12" s="4">
        <f t="shared" ca="1" si="26"/>
        <v>6</v>
      </c>
      <c r="AP12" s="4" t="str">
        <f t="shared" ref="AP12" ca="1" si="42">IFERROR(VLOOKUP(VLOOKUP(#REF!,INDIRECT("'"&amp;AP$34&amp;"'!"&amp;"$A$2:$C$23"),3,FALSE),$A$3:$B$14,2,FALSE),"")</f>
        <v/>
      </c>
      <c r="AQ12" s="5" t="str">
        <f ca="1">IFERROR(_xlfn.NUMBERVALUE(VLOOKUP(VLOOKUP(AP12,Key!$A$17:$B$28,2,FALSE),INDIRECT("'"&amp;AP$34&amp;"'!"&amp;"$A$2:$C$23"),2,FALSE)),"")</f>
        <v/>
      </c>
      <c r="AR12" s="4" t="str">
        <f t="shared" ref="AR12:AR13" ca="1" si="43">IF(AQ12&lt;&gt;"",_xlfn.RANK.EQ(AQ12,AQ$36:AQ$47,0),"")</f>
        <v/>
      </c>
      <c r="AS12" s="4" t="str">
        <f t="shared" ca="1" si="29"/>
        <v>Jake</v>
      </c>
      <c r="AT12" s="5">
        <f ca="1">_xlfn.NUMBERVALUE(VLOOKUP(VLOOKUP(AS12,Key!$A$17:$B$28,2,FALSE),INDIRECT("'"&amp;AS$1&amp;"'!"&amp;"$A$2:$C$23"),2,FALSE))</f>
        <v>94</v>
      </c>
      <c r="AU12" s="4">
        <f t="shared" ca="1" si="30"/>
        <v>5</v>
      </c>
      <c r="AV12" s="4" t="str">
        <f t="shared" ca="1" si="31"/>
        <v>Jesse</v>
      </c>
      <c r="AW12" s="5">
        <f ca="1">_xlfn.NUMBERVALUE(VLOOKUP(VLOOKUP(AV12,Key!$A$17:$B$28,2,FALSE),INDIRECT("'"&amp;AV$1&amp;"'!"&amp;"$A$2:$C$23"),2,FALSE))</f>
        <v>86.9</v>
      </c>
      <c r="AX12" s="4">
        <f t="shared" ca="1" si="32"/>
        <v>7</v>
      </c>
      <c r="AY12" s="4">
        <f t="shared" ca="1" si="33"/>
        <v>1151.9000000000001</v>
      </c>
      <c r="AZ12" s="5">
        <f t="shared" ca="1" si="34"/>
        <v>88.607692307692318</v>
      </c>
      <c r="BA12" s="4">
        <f t="shared" ca="1" si="35"/>
        <v>11</v>
      </c>
      <c r="BB12" s="5">
        <f t="shared" ca="1" si="36"/>
        <v>-11.584615384615375</v>
      </c>
      <c r="BC12" s="5">
        <f t="shared" ca="1" si="37"/>
        <v>-3.7474358974358921</v>
      </c>
      <c r="BD12" s="4">
        <f t="shared" ca="1" si="38"/>
        <v>7</v>
      </c>
      <c r="BE12" s="4">
        <f t="shared" ca="1" si="40"/>
        <v>6</v>
      </c>
      <c r="BF12" s="4">
        <f t="shared" ca="1" si="41"/>
        <v>3</v>
      </c>
      <c r="BG12" s="4">
        <f t="shared" ca="1" si="39"/>
        <v>4</v>
      </c>
      <c r="BH12" s="1">
        <f ca="1">COUNTIFS(C12:AO12,$B$20,C12:AO12,$S$20)</f>
        <v>0</v>
      </c>
      <c r="BI12" s="1"/>
    </row>
    <row r="13" spans="1:62" ht="16.25" thickTop="1" thickBot="1" x14ac:dyDescent="0.9">
      <c r="A13" s="4" t="s">
        <v>26</v>
      </c>
      <c r="B13" s="4" t="s">
        <v>172</v>
      </c>
      <c r="C13" s="4" t="str">
        <f t="shared" ca="1" si="1"/>
        <v>Binder</v>
      </c>
      <c r="D13" s="5">
        <f ca="1">_xlfn.NUMBERVALUE(VLOOKUP(VLOOKUP(C13,Key!$A$17:$B$28,2,FALSE),INDIRECT("'"&amp;C$1&amp;"'!"&amp;"$A$2:$C$23"),2,FALSE))</f>
        <v>83.3</v>
      </c>
      <c r="E13" s="4">
        <f t="shared" ca="1" si="2"/>
        <v>8</v>
      </c>
      <c r="F13" s="4" t="str">
        <f t="shared" ca="1" si="3"/>
        <v>Jesse</v>
      </c>
      <c r="G13" s="5">
        <f ca="1">_xlfn.NUMBERVALUE(VLOOKUP(VLOOKUP(F13,Key!$A$17:$B$28,2,FALSE),INDIRECT("'"&amp;F$1&amp;"'!"&amp;"$A$2:$C$23"),2,FALSE))</f>
        <v>92.2</v>
      </c>
      <c r="H13" s="4">
        <f t="shared" ca="1" si="4"/>
        <v>5</v>
      </c>
      <c r="I13" s="4" t="str">
        <f t="shared" ca="1" si="5"/>
        <v>Dave</v>
      </c>
      <c r="J13" s="5">
        <f ca="1">_xlfn.NUMBERVALUE(VLOOKUP(VLOOKUP(I13,Key!$A$17:$B$28,2,FALSE),INDIRECT("'"&amp;I$1&amp;"'!"&amp;"$A$2:$C$23"),2,FALSE))</f>
        <v>129.80000000000001</v>
      </c>
      <c r="K13" s="4">
        <f t="shared" ca="1" si="6"/>
        <v>2</v>
      </c>
      <c r="L13" s="4" t="str">
        <f t="shared" ca="1" si="7"/>
        <v>Cody</v>
      </c>
      <c r="M13" s="5">
        <f ca="1">_xlfn.NUMBERVALUE(VLOOKUP(VLOOKUP(L13,Key!$A$17:$B$28,2,FALSE),INDIRECT("'"&amp;L$1&amp;"'!"&amp;"$A$2:$C$23"),2,FALSE))</f>
        <v>127</v>
      </c>
      <c r="N13" s="4">
        <f t="shared" ca="1" si="8"/>
        <v>2</v>
      </c>
      <c r="O13" s="4" t="str">
        <f t="shared" ca="1" si="9"/>
        <v>Sam</v>
      </c>
      <c r="P13" s="5">
        <f ca="1">_xlfn.NUMBERVALUE(VLOOKUP(VLOOKUP(O13,Key!$A$17:$B$28,2,FALSE),INDIRECT("'"&amp;O$1&amp;"'!"&amp;"$A$2:$C$23"),2,FALSE))</f>
        <v>63.7</v>
      </c>
      <c r="Q13" s="4">
        <f t="shared" ca="1" si="10"/>
        <v>12</v>
      </c>
      <c r="R13" s="4" t="str">
        <f t="shared" ca="1" si="11"/>
        <v>Tres</v>
      </c>
      <c r="S13" s="5">
        <f ca="1">_xlfn.NUMBERVALUE(VLOOKUP(VLOOKUP(R13,Key!$A$17:$B$28,2,FALSE),INDIRECT("'"&amp;R$1&amp;"'!"&amp;"$A$2:$C$23"),2,FALSE))</f>
        <v>57</v>
      </c>
      <c r="T13" s="4">
        <f t="shared" ca="1" si="12"/>
        <v>12</v>
      </c>
      <c r="U13" s="4" t="str">
        <f t="shared" ca="1" si="13"/>
        <v>Jake</v>
      </c>
      <c r="V13" s="5">
        <f ca="1">_xlfn.NUMBERVALUE(VLOOKUP(VLOOKUP(U13,Key!$A$17:$B$28,2,FALSE),INDIRECT("'"&amp;U$1&amp;"'!"&amp;"$A$2:$C$23"),2,FALSE))</f>
        <v>88.5</v>
      </c>
      <c r="W13" s="4">
        <f t="shared" ca="1" si="14"/>
        <v>8</v>
      </c>
      <c r="X13" s="4" t="str">
        <f t="shared" ca="1" si="15"/>
        <v>Sara</v>
      </c>
      <c r="Y13" s="5">
        <f ca="1">_xlfn.NUMBERVALUE(VLOOKUP(VLOOKUP(X13,Key!$A$17:$B$28,2,FALSE),INDIRECT("'"&amp;X$1&amp;"'!"&amp;"$A$2:$C$23"),2,FALSE))</f>
        <v>111.4</v>
      </c>
      <c r="Z13" s="4">
        <f t="shared" ca="1" si="16"/>
        <v>2</v>
      </c>
      <c r="AA13" s="4" t="str">
        <f t="shared" ca="1" si="17"/>
        <v>Catina</v>
      </c>
      <c r="AB13" s="5">
        <f ca="1">_xlfn.NUMBERVALUE(VLOOKUP(VLOOKUP(AA13,Key!$A$17:$B$28,2,FALSE),INDIRECT("'"&amp;AA$1&amp;"'!"&amp;"$A$2:$C$23"),2,FALSE))</f>
        <v>102.8</v>
      </c>
      <c r="AC13" s="4">
        <f t="shared" ca="1" si="18"/>
        <v>5</v>
      </c>
      <c r="AD13" s="4" t="str">
        <f t="shared" ca="1" si="19"/>
        <v>Steve</v>
      </c>
      <c r="AE13" s="5">
        <f ca="1">_xlfn.NUMBERVALUE(VLOOKUP(VLOOKUP(AD13,Key!$A$17:$B$28,2,FALSE),INDIRECT("'"&amp;AD$1&amp;"'!"&amp;"$A$2:$C$23"),2,FALSE))</f>
        <v>74.900000000000006</v>
      </c>
      <c r="AF13" s="4">
        <f t="shared" ca="1" si="20"/>
        <v>8</v>
      </c>
      <c r="AG13" s="4" t="str">
        <f t="shared" ca="1" si="21"/>
        <v>Nicole</v>
      </c>
      <c r="AH13" s="5">
        <f ca="1">_xlfn.NUMBERVALUE(VLOOKUP(VLOOKUP(AG13,Key!$A$17:$B$28,2,FALSE),INDIRECT("'"&amp;AG$1&amp;"'!"&amp;"$A$2:$C$23"),2,FALSE))</f>
        <v>103.8</v>
      </c>
      <c r="AI13" s="4">
        <f t="shared" ca="1" si="22"/>
        <v>6</v>
      </c>
      <c r="AJ13" s="4" t="str">
        <f t="shared" ca="1" si="23"/>
        <v>Dave</v>
      </c>
      <c r="AK13" s="5">
        <f ca="1">_xlfn.NUMBERVALUE(VLOOKUP(VLOOKUP(AJ13,Key!$A$17:$B$28,2,FALSE),INDIRECT("'"&amp;AJ$1&amp;"'!"&amp;"$A$2:$C$23"),2,FALSE))</f>
        <v>89</v>
      </c>
      <c r="AL13" s="4">
        <f t="shared" ca="1" si="24"/>
        <v>8</v>
      </c>
      <c r="AM13" s="4" t="str">
        <f t="shared" ca="1" si="25"/>
        <v>Cody</v>
      </c>
      <c r="AN13" s="5">
        <f ca="1">_xlfn.NUMBERVALUE(VLOOKUP(VLOOKUP(AM13,Key!$A$17:$B$28,2,FALSE),INDIRECT("'"&amp;AM$1&amp;"'!"&amp;"$A$2:$C$23"),2,FALSE))</f>
        <v>77.2</v>
      </c>
      <c r="AO13" s="4">
        <f t="shared" ca="1" si="26"/>
        <v>10</v>
      </c>
      <c r="AP13" s="4" t="str">
        <f t="shared" ref="AP13" ca="1" si="44">IFERROR(VLOOKUP(VLOOKUP(#REF!,INDIRECT("'"&amp;AP$34&amp;"'!"&amp;"$A$2:$C$23"),3,FALSE),$A$3:$B$14,2,FALSE),"")</f>
        <v/>
      </c>
      <c r="AQ13" s="5" t="str">
        <f ca="1">IFERROR(_xlfn.NUMBERVALUE(VLOOKUP(VLOOKUP(AP13,Key!$A$17:$B$28,2,FALSE),INDIRECT("'"&amp;AP$34&amp;"'!"&amp;"$A$2:$C$23"),2,FALSE)),"")</f>
        <v/>
      </c>
      <c r="AR13" s="4" t="str">
        <f t="shared" ca="1" si="43"/>
        <v/>
      </c>
      <c r="AS13" s="4" t="str">
        <f t="shared" ca="1" si="29"/>
        <v>Jesse</v>
      </c>
      <c r="AT13" s="5">
        <f ca="1">_xlfn.NUMBERVALUE(VLOOKUP(VLOOKUP(AS13,Key!$A$17:$B$28,2,FALSE),INDIRECT("'"&amp;AS$1&amp;"'!"&amp;"$A$2:$C$23"),2,FALSE))</f>
        <v>96.4</v>
      </c>
      <c r="AU13" s="4">
        <f t="shared" ca="1" si="30"/>
        <v>3</v>
      </c>
      <c r="AV13" s="4" t="str">
        <f t="shared" ca="1" si="31"/>
        <v>Jake</v>
      </c>
      <c r="AW13" s="5">
        <f ca="1">_xlfn.NUMBERVALUE(VLOOKUP(VLOOKUP(AV13,Key!$A$17:$B$28,2,FALSE),INDIRECT("'"&amp;AV$1&amp;"'!"&amp;"$A$2:$C$23"),2,FALSE))</f>
        <v>62.9</v>
      </c>
      <c r="AX13" s="4">
        <f t="shared" ca="1" si="32"/>
        <v>11</v>
      </c>
      <c r="AY13" s="4">
        <f t="shared" ca="1" si="33"/>
        <v>1200.5999999999999</v>
      </c>
      <c r="AZ13" s="5">
        <f t="shared" ca="1" si="34"/>
        <v>92.353846153846149</v>
      </c>
      <c r="BA13" s="4">
        <f t="shared" ca="1" si="35"/>
        <v>7</v>
      </c>
      <c r="BB13" s="5">
        <f t="shared" ca="1" si="36"/>
        <v>-7.8384615384615444</v>
      </c>
      <c r="BC13" s="5">
        <f t="shared" ca="1" si="37"/>
        <v>-1.2504273504273584</v>
      </c>
      <c r="BD13" s="4">
        <f t="shared" ca="1" si="38"/>
        <v>6</v>
      </c>
      <c r="BE13" s="4">
        <f t="shared" ca="1" si="40"/>
        <v>7</v>
      </c>
      <c r="BF13" s="4">
        <f t="shared" ca="1" si="41"/>
        <v>3</v>
      </c>
      <c r="BG13" s="4">
        <f t="shared" ca="1" si="39"/>
        <v>5</v>
      </c>
      <c r="BH13" s="1">
        <f ca="1">COUNTIFS(C13:AO13,$B$20,C13:AO13,$S$20)</f>
        <v>0</v>
      </c>
      <c r="BI13" s="1"/>
    </row>
    <row r="14" spans="1:62" ht="16.25" thickTop="1" thickBot="1" x14ac:dyDescent="0.9">
      <c r="A14" s="4" t="s">
        <v>28</v>
      </c>
      <c r="B14" s="4" t="s">
        <v>173</v>
      </c>
      <c r="C14" s="4" t="str">
        <f t="shared" ca="1" si="1"/>
        <v>Ed</v>
      </c>
      <c r="D14" s="5">
        <f ca="1">_xlfn.NUMBERVALUE(VLOOKUP(VLOOKUP(C14,Key!$A$17:$B$28,2,FALSE),INDIRECT("'"&amp;C$1&amp;"'!"&amp;"$A$2:$C$23"),2,FALSE))</f>
        <v>132.19999999999999</v>
      </c>
      <c r="E14" s="4">
        <f t="shared" ca="1" si="2"/>
        <v>1</v>
      </c>
      <c r="F14" s="4" t="str">
        <f t="shared" ca="1" si="3"/>
        <v>Nicole</v>
      </c>
      <c r="G14" s="5">
        <f ca="1">_xlfn.NUMBERVALUE(VLOOKUP(VLOOKUP(F14,Key!$A$17:$B$28,2,FALSE),INDIRECT("'"&amp;F$1&amp;"'!"&amp;"$A$2:$C$23"),2,FALSE))</f>
        <v>79.3</v>
      </c>
      <c r="H14" s="4">
        <f t="shared" ca="1" si="4"/>
        <v>11</v>
      </c>
      <c r="I14" s="4" t="str">
        <f t="shared" ca="1" si="5"/>
        <v>Sam</v>
      </c>
      <c r="J14" s="5">
        <f ca="1">_xlfn.NUMBERVALUE(VLOOKUP(VLOOKUP(I14,Key!$A$17:$B$28,2,FALSE),INDIRECT("'"&amp;I$1&amp;"'!"&amp;"$A$2:$C$23"),2,FALSE))</f>
        <v>58.6</v>
      </c>
      <c r="K14" s="4">
        <f t="shared" ca="1" si="6"/>
        <v>12</v>
      </c>
      <c r="L14" s="4" t="str">
        <f t="shared" ca="1" si="7"/>
        <v>Dave</v>
      </c>
      <c r="M14" s="5">
        <f ca="1">_xlfn.NUMBERVALUE(VLOOKUP(VLOOKUP(L14,Key!$A$17:$B$28,2,FALSE),INDIRECT("'"&amp;L$1&amp;"'!"&amp;"$A$2:$C$23"),2,FALSE))</f>
        <v>97.1</v>
      </c>
      <c r="N14" s="4">
        <f t="shared" ca="1" si="8"/>
        <v>4</v>
      </c>
      <c r="O14" s="4" t="str">
        <f t="shared" ca="1" si="9"/>
        <v>Sara</v>
      </c>
      <c r="P14" s="5">
        <f ca="1">_xlfn.NUMBERVALUE(VLOOKUP(VLOOKUP(O14,Key!$A$17:$B$28,2,FALSE),INDIRECT("'"&amp;O$1&amp;"'!"&amp;"$A$2:$C$23"),2,FALSE))</f>
        <v>93.9</v>
      </c>
      <c r="Q14" s="4">
        <f t="shared" ca="1" si="10"/>
        <v>8</v>
      </c>
      <c r="R14" s="4" t="str">
        <f t="shared" ca="1" si="11"/>
        <v>Steve</v>
      </c>
      <c r="S14" s="5">
        <f ca="1">_xlfn.NUMBERVALUE(VLOOKUP(VLOOKUP(R14,Key!$A$17:$B$28,2,FALSE),INDIRECT("'"&amp;R$1&amp;"'!"&amp;"$A$2:$C$23"),2,FALSE))</f>
        <v>79.099999999999994</v>
      </c>
      <c r="T14" s="4">
        <f t="shared" ca="1" si="12"/>
        <v>9</v>
      </c>
      <c r="U14" s="4" t="str">
        <f t="shared" ca="1" si="13"/>
        <v>Catina</v>
      </c>
      <c r="V14" s="5">
        <f ca="1">_xlfn.NUMBERVALUE(VLOOKUP(VLOOKUP(U14,Key!$A$17:$B$28,2,FALSE),INDIRECT("'"&amp;U$1&amp;"'!"&amp;"$A$2:$C$23"),2,FALSE))</f>
        <v>91.3</v>
      </c>
      <c r="W14" s="4">
        <f t="shared" ca="1" si="14"/>
        <v>6</v>
      </c>
      <c r="X14" s="4" t="str">
        <f t="shared" ca="1" si="15"/>
        <v>Jesse</v>
      </c>
      <c r="Y14" s="5">
        <f ca="1">_xlfn.NUMBERVALUE(VLOOKUP(VLOOKUP(X14,Key!$A$17:$B$28,2,FALSE),INDIRECT("'"&amp;X$1&amp;"'!"&amp;"$A$2:$C$23"),2,FALSE))</f>
        <v>101.1</v>
      </c>
      <c r="Z14" s="4">
        <f t="shared" ca="1" si="16"/>
        <v>3</v>
      </c>
      <c r="AA14" s="4" t="str">
        <f t="shared" ca="1" si="17"/>
        <v>Tres</v>
      </c>
      <c r="AB14" s="5">
        <f ca="1">_xlfn.NUMBERVALUE(VLOOKUP(VLOOKUP(AA14,Key!$A$17:$B$28,2,FALSE),INDIRECT("'"&amp;AA$1&amp;"'!"&amp;"$A$2:$C$23"),2,FALSE))</f>
        <v>108.1</v>
      </c>
      <c r="AC14" s="4">
        <f t="shared" ca="1" si="18"/>
        <v>2</v>
      </c>
      <c r="AD14" s="4" t="str">
        <f t="shared" ca="1" si="19"/>
        <v>Cody</v>
      </c>
      <c r="AE14" s="5">
        <f ca="1">_xlfn.NUMBERVALUE(VLOOKUP(VLOOKUP(AD14,Key!$A$17:$B$28,2,FALSE),INDIRECT("'"&amp;AD$1&amp;"'!"&amp;"$A$2:$C$23"),2,FALSE))</f>
        <v>64.3</v>
      </c>
      <c r="AF14" s="4">
        <f t="shared" ca="1" si="20"/>
        <v>12</v>
      </c>
      <c r="AG14" s="4" t="str">
        <f t="shared" ca="1" si="21"/>
        <v>Jake</v>
      </c>
      <c r="AH14" s="5">
        <f ca="1">_xlfn.NUMBERVALUE(VLOOKUP(VLOOKUP(AG14,Key!$A$17:$B$28,2,FALSE),INDIRECT("'"&amp;AG$1&amp;"'!"&amp;"$A$2:$C$23"),2,FALSE))</f>
        <v>130.1</v>
      </c>
      <c r="AI14" s="4">
        <f t="shared" ca="1" si="22"/>
        <v>1</v>
      </c>
      <c r="AJ14" s="4" t="str">
        <f t="shared" ca="1" si="23"/>
        <v>Sam</v>
      </c>
      <c r="AK14" s="5">
        <f ca="1">_xlfn.NUMBERVALUE(VLOOKUP(VLOOKUP(AJ14,Key!$A$17:$B$28,2,FALSE),INDIRECT("'"&amp;AJ$1&amp;"'!"&amp;"$A$2:$C$23"),2,FALSE))</f>
        <v>86.2</v>
      </c>
      <c r="AL14" s="4">
        <f t="shared" ca="1" si="24"/>
        <v>9</v>
      </c>
      <c r="AM14" s="4" t="str">
        <f t="shared" ca="1" si="25"/>
        <v>Dave</v>
      </c>
      <c r="AN14" s="5">
        <f ca="1">_xlfn.NUMBERVALUE(VLOOKUP(VLOOKUP(AM14,Key!$A$17:$B$28,2,FALSE),INDIRECT("'"&amp;AM$1&amp;"'!"&amp;"$A$2:$C$23"),2,FALSE))</f>
        <v>121</v>
      </c>
      <c r="AO14" s="4">
        <f t="shared" ca="1" si="26"/>
        <v>2</v>
      </c>
      <c r="AP14" s="4" t="str">
        <f t="shared" ca="1" si="27"/>
        <v>Catina</v>
      </c>
      <c r="AQ14" s="5">
        <f ca="1">_xlfn.NUMBERVALUE(VLOOKUP(VLOOKUP(AP14,Key!$A$17:$B$28,2,FALSE),INDIRECT("'"&amp;AP$1&amp;"'!"&amp;"$A$2:$C$23"),2,FALSE))</f>
        <v>102.6</v>
      </c>
      <c r="AR14" s="4">
        <f t="shared" ca="1" si="28"/>
        <v>5</v>
      </c>
      <c r="AS14" s="4" t="str">
        <f t="shared" ca="1" si="29"/>
        <v>Steve</v>
      </c>
      <c r="AT14" s="5">
        <f ca="1">_xlfn.NUMBERVALUE(VLOOKUP(VLOOKUP(AS14,Key!$A$17:$B$28,2,FALSE),INDIRECT("'"&amp;AS$1&amp;"'!"&amp;"$A$2:$C$23"),2,FALSE))</f>
        <v>69.5</v>
      </c>
      <c r="AU14" s="4">
        <f t="shared" ca="1" si="30"/>
        <v>12</v>
      </c>
      <c r="AV14" s="4" t="str">
        <f t="shared" ca="1" si="31"/>
        <v>Sam</v>
      </c>
      <c r="AW14" s="5">
        <f ca="1">_xlfn.NUMBERVALUE(VLOOKUP(VLOOKUP(AV14,Key!$A$17:$B$28,2,FALSE),INDIRECT("'"&amp;AV$1&amp;"'!"&amp;"$A$2:$C$23"),2,FALSE))</f>
        <v>77.099999999999994</v>
      </c>
      <c r="AX14" s="4">
        <f t="shared" ca="1" si="32"/>
        <v>9</v>
      </c>
      <c r="AY14" s="4">
        <f t="shared" ca="1" si="33"/>
        <v>1242.3</v>
      </c>
      <c r="AZ14" s="5">
        <f t="shared" ca="1" si="34"/>
        <v>95.561538461538461</v>
      </c>
      <c r="BA14" s="4">
        <f t="shared" ca="1" si="35"/>
        <v>4</v>
      </c>
      <c r="BB14" s="5">
        <f t="shared" ca="1" si="36"/>
        <v>-4.6307692307692321</v>
      </c>
      <c r="BC14" s="5">
        <f t="shared" ca="1" si="37"/>
        <v>1.3320512820512818</v>
      </c>
      <c r="BD14" s="4">
        <f t="shared" ca="1" si="38"/>
        <v>7</v>
      </c>
      <c r="BE14" s="4">
        <f t="shared" ca="1" si="40"/>
        <v>6</v>
      </c>
      <c r="BF14" s="4">
        <f t="shared" ca="1" si="41"/>
        <v>5</v>
      </c>
      <c r="BG14" s="4">
        <f t="shared" ca="1" si="39"/>
        <v>5</v>
      </c>
      <c r="BH14" s="1">
        <f ca="1">COUNTIFS(C14:AO14,$B$20,C14:AO14,$S$20)</f>
        <v>0</v>
      </c>
      <c r="BI14" s="1"/>
    </row>
    <row r="15" spans="1:62" ht="15.5" thickTop="1" x14ac:dyDescent="0.75">
      <c r="A15" s="1" t="s">
        <v>195</v>
      </c>
      <c r="D15" s="3">
        <f ca="1">AVERAGE(D3:D14)</f>
        <v>86.216666666666654</v>
      </c>
      <c r="G15" s="3">
        <f ca="1">AVERAGE(G3:G14)</f>
        <v>92.041666666666643</v>
      </c>
      <c r="J15" s="3">
        <f ca="1">AVERAGE(J3:J14)</f>
        <v>95.924999999999997</v>
      </c>
      <c r="M15" s="3">
        <f ca="1">AVERAGE(M3:M14)</f>
        <v>91.133333333333326</v>
      </c>
      <c r="P15" s="3">
        <f ca="1">AVERAGE(P3:P14)</f>
        <v>92.333333333333329</v>
      </c>
      <c r="S15" s="3">
        <f ca="1">AVERAGE(S3:S14)</f>
        <v>92.65000000000002</v>
      </c>
      <c r="V15" s="3">
        <f ca="1">AVERAGE(V3:V14)</f>
        <v>92.716666666666683</v>
      </c>
      <c r="Y15" s="3">
        <f ca="1">AVERAGE(Y3:Y14)</f>
        <v>88.541666666666671</v>
      </c>
      <c r="AB15" s="3">
        <f ca="1">AVERAGE(AB3:AB14)</f>
        <v>94.091666666666654</v>
      </c>
      <c r="AE15" s="3">
        <f ca="1">AVERAGE(AE3:AE14)</f>
        <v>89.566666666666663</v>
      </c>
      <c r="AH15" s="3">
        <f ca="1">AVERAGE(AH3:AH14)</f>
        <v>101.69166666666666</v>
      </c>
      <c r="AK15" s="3">
        <f ca="1">AVERAGE(AK3:AK14)</f>
        <v>93.674999999999997</v>
      </c>
      <c r="AN15" s="3">
        <f ca="1">AVERAGE(AN3:AN14)</f>
        <v>97.083333333333329</v>
      </c>
      <c r="AO15" s="11"/>
      <c r="AQ15" s="3">
        <f ca="1">AVERAGE(AQ3:AQ14)</f>
        <v>97.57</v>
      </c>
      <c r="AT15" s="3">
        <f ca="1">AVERAGE(AT3:AT14)</f>
        <v>95.458333333333329</v>
      </c>
      <c r="AW15" s="3">
        <f ca="1">AVERAGE(AW3:AW14)</f>
        <v>93.391666666666652</v>
      </c>
      <c r="AY15" s="3">
        <f ca="1">AVERAGE(AY3:AY14)</f>
        <v>1207.6666666666665</v>
      </c>
      <c r="AZ15" s="3">
        <f ca="1">AVERAGE(AZ3:AZ14)</f>
        <v>92.897435897435898</v>
      </c>
      <c r="BA15" s="1"/>
      <c r="BB15" s="1">
        <f t="shared" ca="1" si="36"/>
        <v>-7.2948717948717956</v>
      </c>
      <c r="BC15" s="3"/>
    </row>
    <row r="16" spans="1:62" x14ac:dyDescent="0.75">
      <c r="AY16" s="8"/>
      <c r="AZ16" s="8"/>
      <c r="BC16" s="3"/>
    </row>
    <row r="17" spans="1:26" ht="15.5" thickBot="1" x14ac:dyDescent="0.9"/>
    <row r="18" spans="1:26" ht="16.25" thickTop="1" thickBot="1" x14ac:dyDescent="0.9">
      <c r="C18" s="4" t="s">
        <v>175</v>
      </c>
      <c r="D18" s="4" t="s">
        <v>179</v>
      </c>
      <c r="E18" s="4" t="s">
        <v>180</v>
      </c>
      <c r="F18" s="4" t="s">
        <v>181</v>
      </c>
      <c r="G18" s="4" t="s">
        <v>182</v>
      </c>
      <c r="H18" s="4" t="s">
        <v>183</v>
      </c>
      <c r="I18" s="4" t="s">
        <v>184</v>
      </c>
      <c r="J18" s="4" t="s">
        <v>185</v>
      </c>
      <c r="K18" s="4" t="s">
        <v>186</v>
      </c>
      <c r="L18" s="4" t="s">
        <v>187</v>
      </c>
      <c r="M18" s="4" t="s">
        <v>188</v>
      </c>
      <c r="N18" s="4" t="s">
        <v>189</v>
      </c>
      <c r="O18" s="4" t="s">
        <v>190</v>
      </c>
      <c r="P18" s="4" t="s">
        <v>228</v>
      </c>
      <c r="Q18" s="4" t="s">
        <v>229</v>
      </c>
      <c r="R18" s="4" t="s">
        <v>230</v>
      </c>
    </row>
    <row r="19" spans="1:26" ht="16.25" thickTop="1" thickBot="1" x14ac:dyDescent="0.9">
      <c r="A19" s="4" t="s">
        <v>161</v>
      </c>
      <c r="B19" s="6" t="s">
        <v>174</v>
      </c>
      <c r="C19" s="4" t="s">
        <v>199</v>
      </c>
      <c r="D19" s="4" t="s">
        <v>199</v>
      </c>
      <c r="E19" s="4" t="s">
        <v>199</v>
      </c>
      <c r="F19" s="4" t="s">
        <v>199</v>
      </c>
      <c r="G19" s="4" t="s">
        <v>199</v>
      </c>
      <c r="H19" s="4" t="s">
        <v>199</v>
      </c>
      <c r="I19" s="4" t="s">
        <v>199</v>
      </c>
      <c r="J19" s="4" t="s">
        <v>199</v>
      </c>
      <c r="K19" s="4" t="s">
        <v>199</v>
      </c>
      <c r="L19" s="4" t="s">
        <v>199</v>
      </c>
      <c r="M19" s="4" t="s">
        <v>199</v>
      </c>
      <c r="N19" s="4" t="s">
        <v>199</v>
      </c>
      <c r="O19" s="4" t="s">
        <v>199</v>
      </c>
      <c r="P19" s="4" t="s">
        <v>199</v>
      </c>
      <c r="Q19" s="4" t="s">
        <v>199</v>
      </c>
      <c r="R19" s="4" t="s">
        <v>199</v>
      </c>
      <c r="S19" s="7" t="s">
        <v>200</v>
      </c>
      <c r="T19" s="7" t="s">
        <v>231</v>
      </c>
      <c r="U19" s="7" t="s">
        <v>178</v>
      </c>
      <c r="V19" s="7" t="s">
        <v>234</v>
      </c>
      <c r="W19" s="7" t="s">
        <v>232</v>
      </c>
      <c r="X19" s="7" t="s">
        <v>233</v>
      </c>
      <c r="Y19" s="7" t="s">
        <v>178</v>
      </c>
      <c r="Z19" s="7" t="s">
        <v>234</v>
      </c>
    </row>
    <row r="20" spans="1:26" ht="16.25" thickTop="1" thickBot="1" x14ac:dyDescent="0.9">
      <c r="A20" s="4" t="s">
        <v>1</v>
      </c>
      <c r="B20" s="6" t="s">
        <v>162</v>
      </c>
      <c r="C20" s="4">
        <f ca="1">_xlfn.NUMBERVALUE(VLOOKUP(VLOOKUP($B20,Key!$A$17:$B$28,2,FALSE),INDIRECT("'"&amp;C$18&amp;"'!"&amp;"$A$2:$C$23"),2,FALSE))</f>
        <v>88.4</v>
      </c>
      <c r="D20" s="4">
        <f ca="1">_xlfn.NUMBERVALUE(VLOOKUP(VLOOKUP($B20,Key!$A$17:$B$28,2,FALSE),INDIRECT("'"&amp;D$18&amp;"'!"&amp;"$A$2:$C$23"),2,FALSE))</f>
        <v>97</v>
      </c>
      <c r="E20" s="4">
        <f ca="1">_xlfn.NUMBERVALUE(VLOOKUP(VLOOKUP($B20,Key!$A$17:$B$28,2,FALSE),INDIRECT("'"&amp;E$18&amp;"'!"&amp;"$A$2:$C$23"),2,FALSE))</f>
        <v>81.400000000000006</v>
      </c>
      <c r="F20" s="4">
        <f ca="1">_xlfn.NUMBERVALUE(VLOOKUP(VLOOKUP($B20,Key!$A$17:$B$28,2,FALSE),INDIRECT("'"&amp;F$18&amp;"'!"&amp;"$A$2:$C$23"),2,FALSE))</f>
        <v>95.3</v>
      </c>
      <c r="G20" s="4">
        <f ca="1">_xlfn.NUMBERVALUE(VLOOKUP(VLOOKUP($B20,Key!$A$17:$B$28,2,FALSE),INDIRECT("'"&amp;G$18&amp;"'!"&amp;"$A$2:$C$23"),2,FALSE))</f>
        <v>100.6</v>
      </c>
      <c r="H20" s="4">
        <f ca="1">_xlfn.NUMBERVALUE(VLOOKUP(VLOOKUP($B20,Key!$A$17:$B$28,2,FALSE),INDIRECT("'"&amp;H$18&amp;"'!"&amp;"$A$2:$C$23"),2,FALSE))</f>
        <v>57</v>
      </c>
      <c r="I20" s="4">
        <f ca="1">_xlfn.NUMBERVALUE(VLOOKUP(VLOOKUP($B20,Key!$A$17:$B$28,2,FALSE),INDIRECT("'"&amp;I$18&amp;"'!"&amp;"$A$2:$C$23"),2,FALSE))</f>
        <v>108.9</v>
      </c>
      <c r="J20" s="4">
        <f ca="1">_xlfn.NUMBERVALUE(VLOOKUP(VLOOKUP($B20,Key!$A$17:$B$28,2,FALSE),INDIRECT("'"&amp;J$18&amp;"'!"&amp;"$A$2:$C$23"),2,FALSE))</f>
        <v>59.7</v>
      </c>
      <c r="K20" s="4">
        <f ca="1">_xlfn.NUMBERVALUE(VLOOKUP(VLOOKUP($B20,Key!$A$17:$B$28,2,FALSE),INDIRECT("'"&amp;K$18&amp;"'!"&amp;"$A$2:$C$23"),2,FALSE))</f>
        <v>108.1</v>
      </c>
      <c r="L20" s="4">
        <f ca="1">_xlfn.NUMBERVALUE(VLOOKUP(VLOOKUP($B20,Key!$A$17:$B$28,2,FALSE),INDIRECT("'"&amp;L$18&amp;"'!"&amp;"$A$2:$C$23"),2,FALSE))</f>
        <v>73.900000000000006</v>
      </c>
      <c r="M20" s="4">
        <f ca="1">_xlfn.NUMBERVALUE(VLOOKUP(VLOOKUP($B20,Key!$A$17:$B$28,2,FALSE),INDIRECT("'"&amp;M$18&amp;"'!"&amp;"$A$2:$C$23"),2,FALSE))</f>
        <v>81.8</v>
      </c>
      <c r="N20" s="4">
        <f ca="1">_xlfn.NUMBERVALUE(VLOOKUP(VLOOKUP($B20,Key!$A$17:$B$28,2,FALSE),INDIRECT("'"&amp;N$18&amp;"'!"&amp;"$A$2:$C$23"),2,FALSE))</f>
        <v>62.4</v>
      </c>
      <c r="O20" s="4">
        <f ca="1">_xlfn.NUMBERVALUE(VLOOKUP(VLOOKUP($B20,Key!$A$17:$B$28,2,FALSE),INDIRECT("'"&amp;O$18&amp;"'!"&amp;"$A$2:$C$23"),2,FALSE))</f>
        <v>72.7</v>
      </c>
      <c r="P20" s="4">
        <f ca="1">_xlfn.NUMBERVALUE(VLOOKUP(VLOOKUP($B20,Key!$A$17:$B$28,2,FALSE),INDIRECT("'"&amp;P$18&amp;"'!"&amp;"$A$2:$C$23"),2,FALSE))</f>
        <v>118.8</v>
      </c>
      <c r="Q20" s="4">
        <f ca="1">_xlfn.NUMBERVALUE(VLOOKUP(VLOOKUP($B20,Key!$A$17:$B$28,2,FALSE),INDIRECT("'"&amp;Q$18&amp;"'!"&amp;"$A$2:$C$23"),2,FALSE))</f>
        <v>94.5</v>
      </c>
      <c r="R20" s="4">
        <f ca="1">_xlfn.NUMBERVALUE(VLOOKUP(VLOOKUP($B20,Key!$A$17:$B$28,2,FALSE),INDIRECT("'"&amp;R$18&amp;"'!"&amp;"$A$2:$C$23"),2,FALSE))</f>
        <v>62.2</v>
      </c>
      <c r="S20" s="4">
        <f ca="1">MAX(C20:R20)</f>
        <v>118.8</v>
      </c>
      <c r="T20" s="4">
        <f ca="1">SUM(C20:O20)</f>
        <v>1087.2</v>
      </c>
      <c r="U20" s="4">
        <f ca="1">_xlfn.RANK.EQ(T20,$T$20:$T$31,0)</f>
        <v>12</v>
      </c>
      <c r="V20" s="17">
        <f ca="1">T20-MAX(T$20:T$31)</f>
        <v>-228.70000000000005</v>
      </c>
      <c r="W20" s="4">
        <f t="shared" ref="W20:W31" ca="1" si="45">SUM(P20:R20)</f>
        <v>275.5</v>
      </c>
      <c r="X20" s="5">
        <f t="shared" ref="X20:X31" ca="1" si="46">SUM(P20:R20)/(COUNT(P20:R20))</f>
        <v>91.833333333333329</v>
      </c>
      <c r="Y20" s="4">
        <f t="shared" ref="Y20:Y31" ca="1" si="47">_xlfn.RANK.EQ(X20,$X$20:$X$31,0)</f>
        <v>7</v>
      </c>
      <c r="Z20" s="17">
        <f ca="1">X20-MAX(X$20:X$31)</f>
        <v>-42.833333333333329</v>
      </c>
    </row>
    <row r="21" spans="1:26" ht="16.25" thickTop="1" thickBot="1" x14ac:dyDescent="0.9">
      <c r="A21" s="4" t="s">
        <v>3</v>
      </c>
      <c r="B21" s="6" t="s">
        <v>163</v>
      </c>
      <c r="C21" s="4">
        <f ca="1">_xlfn.NUMBERVALUE(VLOOKUP(VLOOKUP($B21,Key!$A$17:$B$28,2,FALSE),INDIRECT("'"&amp;C$18&amp;"'!"&amp;"$A$2:$C$23"),2,FALSE))</f>
        <v>93.9</v>
      </c>
      <c r="D21" s="4">
        <f ca="1">_xlfn.NUMBERVALUE(VLOOKUP(VLOOKUP($B21,Key!$A$17:$B$28,2,FALSE),INDIRECT("'"&amp;D$18&amp;"'!"&amp;"$A$2:$C$23"),2,FALSE))</f>
        <v>123.6</v>
      </c>
      <c r="E21" s="4">
        <f ca="1">_xlfn.NUMBERVALUE(VLOOKUP(VLOOKUP($B21,Key!$A$17:$B$28,2,FALSE),INDIRECT("'"&amp;E$18&amp;"'!"&amp;"$A$2:$C$23"),2,FALSE))</f>
        <v>71.599999999999994</v>
      </c>
      <c r="F21" s="4">
        <f ca="1">_xlfn.NUMBERVALUE(VLOOKUP(VLOOKUP($B21,Key!$A$17:$B$28,2,FALSE),INDIRECT("'"&amp;F$18&amp;"'!"&amp;"$A$2:$C$23"),2,FALSE))</f>
        <v>72.5</v>
      </c>
      <c r="G21" s="4">
        <f ca="1">_xlfn.NUMBERVALUE(VLOOKUP(VLOOKUP($B21,Key!$A$17:$B$28,2,FALSE),INDIRECT("'"&amp;G$18&amp;"'!"&amp;"$A$2:$C$23"),2,FALSE))</f>
        <v>93.9</v>
      </c>
      <c r="H21" s="4">
        <f ca="1">_xlfn.NUMBERVALUE(VLOOKUP(VLOOKUP($B21,Key!$A$17:$B$28,2,FALSE),INDIRECT("'"&amp;H$18&amp;"'!"&amp;"$A$2:$C$23"),2,FALSE))</f>
        <v>108.2</v>
      </c>
      <c r="I21" s="4">
        <f ca="1">_xlfn.NUMBERVALUE(VLOOKUP(VLOOKUP($B21,Key!$A$17:$B$28,2,FALSE),INDIRECT("'"&amp;I$18&amp;"'!"&amp;"$A$2:$C$23"),2,FALSE))</f>
        <v>89.1</v>
      </c>
      <c r="J21" s="4">
        <f ca="1">_xlfn.NUMBERVALUE(VLOOKUP(VLOOKUP($B21,Key!$A$17:$B$28,2,FALSE),INDIRECT("'"&amp;J$18&amp;"'!"&amp;"$A$2:$C$23"),2,FALSE))</f>
        <v>111.4</v>
      </c>
      <c r="K21" s="4">
        <f ca="1">_xlfn.NUMBERVALUE(VLOOKUP(VLOOKUP($B21,Key!$A$17:$B$28,2,FALSE),INDIRECT("'"&amp;K$18&amp;"'!"&amp;"$A$2:$C$23"),2,FALSE))</f>
        <v>70.3</v>
      </c>
      <c r="L21" s="4">
        <f ca="1">_xlfn.NUMBERVALUE(VLOOKUP(VLOOKUP($B21,Key!$A$17:$B$28,2,FALSE),INDIRECT("'"&amp;L$18&amp;"'!"&amp;"$A$2:$C$23"),2,FALSE))</f>
        <v>137.6</v>
      </c>
      <c r="M21" s="4">
        <f ca="1">_xlfn.NUMBERVALUE(VLOOKUP(VLOOKUP($B21,Key!$A$17:$B$28,2,FALSE),INDIRECT("'"&amp;M$18&amp;"'!"&amp;"$A$2:$C$23"),2,FALSE))</f>
        <v>105.2</v>
      </c>
      <c r="N21" s="4">
        <f ca="1">_xlfn.NUMBERVALUE(VLOOKUP(VLOOKUP($B21,Key!$A$17:$B$28,2,FALSE),INDIRECT("'"&amp;N$18&amp;"'!"&amp;"$A$2:$C$23"),2,FALSE))</f>
        <v>64.400000000000006</v>
      </c>
      <c r="O21" s="4">
        <f ca="1">_xlfn.NUMBERVALUE(VLOOKUP(VLOOKUP($B21,Key!$A$17:$B$28,2,FALSE),INDIRECT("'"&amp;O$18&amp;"'!"&amp;"$A$2:$C$23"),2,FALSE))</f>
        <v>73</v>
      </c>
      <c r="P21" s="4">
        <f ca="1">_xlfn.NUMBERVALUE(VLOOKUP(VLOOKUP($B21,Key!$A$17:$B$28,2,FALSE),INDIRECT("'"&amp;P$18&amp;"'!"&amp;"$A$2:$C$23"),2,FALSE))</f>
        <v>96</v>
      </c>
      <c r="Q21" s="4">
        <f ca="1">_xlfn.NUMBERVALUE(VLOOKUP(VLOOKUP($B21,Key!$A$17:$B$28,2,FALSE),INDIRECT("'"&amp;Q$18&amp;"'!"&amp;"$A$2:$C$23"),2,FALSE))</f>
        <v>88.6</v>
      </c>
      <c r="R21" s="4">
        <f ca="1">_xlfn.NUMBERVALUE(VLOOKUP(VLOOKUP($B21,Key!$A$17:$B$28,2,FALSE),INDIRECT("'"&amp;R$18&amp;"'!"&amp;"$A$2:$C$23"),2,FALSE))</f>
        <v>107.3</v>
      </c>
      <c r="S21" s="4">
        <f t="shared" ref="S21:S31" ca="1" si="48">MAX(C21:O21)</f>
        <v>137.6</v>
      </c>
      <c r="T21" s="4">
        <f t="shared" ref="T21:T31" ca="1" si="49">SUM(C21:O21)</f>
        <v>1214.7</v>
      </c>
      <c r="U21" s="4">
        <f t="shared" ref="U21:U31" ca="1" si="50">_xlfn.RANK.EQ(T21,$T$20:$T$31,0)</f>
        <v>6</v>
      </c>
      <c r="V21" s="17">
        <f t="shared" ref="V21:V31" ca="1" si="51">T21-MAX(T$20:T$31)</f>
        <v>-101.20000000000005</v>
      </c>
      <c r="W21" s="4">
        <f t="shared" ca="1" si="45"/>
        <v>291.89999999999998</v>
      </c>
      <c r="X21" s="5">
        <f t="shared" ca="1" si="46"/>
        <v>97.3</v>
      </c>
      <c r="Y21" s="4">
        <f t="shared" ca="1" si="47"/>
        <v>3</v>
      </c>
      <c r="Z21" s="17">
        <f t="shared" ref="Z21:Z31" ca="1" si="52">X21-MAX(X$20:X$31)</f>
        <v>-37.36666666666666</v>
      </c>
    </row>
    <row r="22" spans="1:26" ht="16.25" thickTop="1" thickBot="1" x14ac:dyDescent="0.9">
      <c r="A22" s="4" t="s">
        <v>6</v>
      </c>
      <c r="B22" s="6" t="s">
        <v>164</v>
      </c>
      <c r="C22" s="4">
        <f ca="1">_xlfn.NUMBERVALUE(VLOOKUP(VLOOKUP($B22,Key!$A$17:$B$28,2,FALSE),INDIRECT("'"&amp;C$18&amp;"'!"&amp;"$A$2:$C$23"),2,FALSE))</f>
        <v>63.9</v>
      </c>
      <c r="D22" s="4">
        <f ca="1">_xlfn.NUMBERVALUE(VLOOKUP(VLOOKUP($B22,Key!$A$17:$B$28,2,FALSE),INDIRECT("'"&amp;D$18&amp;"'!"&amp;"$A$2:$C$23"),2,FALSE))</f>
        <v>83.3</v>
      </c>
      <c r="E22" s="4">
        <f ca="1">_xlfn.NUMBERVALUE(VLOOKUP(VLOOKUP($B22,Key!$A$17:$B$28,2,FALSE),INDIRECT("'"&amp;E$18&amp;"'!"&amp;"$A$2:$C$23"),2,FALSE))</f>
        <v>58.6</v>
      </c>
      <c r="F22" s="4">
        <f ca="1">_xlfn.NUMBERVALUE(VLOOKUP(VLOOKUP($B22,Key!$A$17:$B$28,2,FALSE),INDIRECT("'"&amp;F$18&amp;"'!"&amp;"$A$2:$C$23"),2,FALSE))</f>
        <v>75.7</v>
      </c>
      <c r="G22" s="4">
        <f ca="1">_xlfn.NUMBERVALUE(VLOOKUP(VLOOKUP($B22,Key!$A$17:$B$28,2,FALSE),INDIRECT("'"&amp;G$18&amp;"'!"&amp;"$A$2:$C$23"),2,FALSE))</f>
        <v>63.7</v>
      </c>
      <c r="H22" s="4">
        <f ca="1">_xlfn.NUMBERVALUE(VLOOKUP(VLOOKUP($B22,Key!$A$17:$B$28,2,FALSE),INDIRECT("'"&amp;H$18&amp;"'!"&amp;"$A$2:$C$23"),2,FALSE))</f>
        <v>129.9</v>
      </c>
      <c r="I22" s="4">
        <f ca="1">_xlfn.NUMBERVALUE(VLOOKUP(VLOOKUP($B22,Key!$A$17:$B$28,2,FALSE),INDIRECT("'"&amp;I$18&amp;"'!"&amp;"$A$2:$C$23"),2,FALSE))</f>
        <v>87.9</v>
      </c>
      <c r="J22" s="4">
        <f ca="1">_xlfn.NUMBERVALUE(VLOOKUP(VLOOKUP($B22,Key!$A$17:$B$28,2,FALSE),INDIRECT("'"&amp;J$18&amp;"'!"&amp;"$A$2:$C$23"),2,FALSE))</f>
        <v>89.3</v>
      </c>
      <c r="K22" s="4">
        <f ca="1">_xlfn.NUMBERVALUE(VLOOKUP(VLOOKUP($B22,Key!$A$17:$B$28,2,FALSE),INDIRECT("'"&amp;K$18&amp;"'!"&amp;"$A$2:$C$23"),2,FALSE))</f>
        <v>85.5</v>
      </c>
      <c r="L22" s="4">
        <f ca="1">_xlfn.NUMBERVALUE(VLOOKUP(VLOOKUP($B22,Key!$A$17:$B$28,2,FALSE),INDIRECT("'"&amp;L$18&amp;"'!"&amp;"$A$2:$C$23"),2,FALSE))</f>
        <v>123.4</v>
      </c>
      <c r="M22" s="4">
        <f ca="1">_xlfn.NUMBERVALUE(VLOOKUP(VLOOKUP($B22,Key!$A$17:$B$28,2,FALSE),INDIRECT("'"&amp;M$18&amp;"'!"&amp;"$A$2:$C$23"),2,FALSE))</f>
        <v>117.4</v>
      </c>
      <c r="N22" s="4">
        <f ca="1">_xlfn.NUMBERVALUE(VLOOKUP(VLOOKUP($B22,Key!$A$17:$B$28,2,FALSE),INDIRECT("'"&amp;N$18&amp;"'!"&amp;"$A$2:$C$23"),2,FALSE))</f>
        <v>86.2</v>
      </c>
      <c r="O22" s="4">
        <f ca="1">_xlfn.NUMBERVALUE(VLOOKUP(VLOOKUP($B22,Key!$A$17:$B$28,2,FALSE),INDIRECT("'"&amp;O$18&amp;"'!"&amp;"$A$2:$C$23"),2,FALSE))</f>
        <v>109</v>
      </c>
      <c r="P22" s="4">
        <f ca="1">_xlfn.NUMBERVALUE(VLOOKUP(VLOOKUP($B22,Key!$A$17:$B$28,2,FALSE),INDIRECT("'"&amp;P$18&amp;"'!"&amp;"$A$2:$C$23"),2,FALSE))</f>
        <v>112.7</v>
      </c>
      <c r="Q22" s="4">
        <f ca="1">_xlfn.NUMBERVALUE(VLOOKUP(VLOOKUP($B22,Key!$A$17:$B$28,2,FALSE),INDIRECT("'"&amp;Q$18&amp;"'!"&amp;"$A$2:$C$23"),2,FALSE))</f>
        <v>82.9</v>
      </c>
      <c r="R22" s="4">
        <f ca="1">_xlfn.NUMBERVALUE(VLOOKUP(VLOOKUP($B22,Key!$A$17:$B$28,2,FALSE),INDIRECT("'"&amp;R$18&amp;"'!"&amp;"$A$2:$C$23"),2,FALSE))</f>
        <v>77.099999999999994</v>
      </c>
      <c r="S22" s="4">
        <f t="shared" ca="1" si="48"/>
        <v>129.9</v>
      </c>
      <c r="T22" s="4">
        <f t="shared" ca="1" si="49"/>
        <v>1173.8</v>
      </c>
      <c r="U22" s="4">
        <f t="shared" ca="1" si="50"/>
        <v>8</v>
      </c>
      <c r="V22" s="17">
        <f t="shared" ca="1" si="51"/>
        <v>-142.10000000000014</v>
      </c>
      <c r="W22" s="4">
        <f t="shared" ca="1" si="45"/>
        <v>272.70000000000005</v>
      </c>
      <c r="X22" s="5">
        <f t="shared" ca="1" si="46"/>
        <v>90.90000000000002</v>
      </c>
      <c r="Y22" s="4">
        <f t="shared" ca="1" si="47"/>
        <v>8</v>
      </c>
      <c r="Z22" s="17">
        <f t="shared" ca="1" si="52"/>
        <v>-43.766666666666637</v>
      </c>
    </row>
    <row r="23" spans="1:26" ht="16.25" thickTop="1" thickBot="1" x14ac:dyDescent="0.9">
      <c r="A23" s="4" t="s">
        <v>8</v>
      </c>
      <c r="B23" s="6" t="s">
        <v>165</v>
      </c>
      <c r="C23" s="4">
        <f ca="1">_xlfn.NUMBERVALUE(VLOOKUP(VLOOKUP($B23,Key!$A$17:$B$28,2,FALSE),INDIRECT("'"&amp;C$18&amp;"'!"&amp;"$A$2:$C$23"),2,FALSE))</f>
        <v>81</v>
      </c>
      <c r="D23" s="4">
        <f ca="1">_xlfn.NUMBERVALUE(VLOOKUP(VLOOKUP($B23,Key!$A$17:$B$28,2,FALSE),INDIRECT("'"&amp;D$18&amp;"'!"&amp;"$A$2:$C$23"),2,FALSE))</f>
        <v>91.1</v>
      </c>
      <c r="E23" s="4">
        <f ca="1">_xlfn.NUMBERVALUE(VLOOKUP(VLOOKUP($B23,Key!$A$17:$B$28,2,FALSE),INDIRECT("'"&amp;E$18&amp;"'!"&amp;"$A$2:$C$23"),2,FALSE))</f>
        <v>95.9</v>
      </c>
      <c r="F23" s="4">
        <f ca="1">_xlfn.NUMBERVALUE(VLOOKUP(VLOOKUP($B23,Key!$A$17:$B$28,2,FALSE),INDIRECT("'"&amp;F$18&amp;"'!"&amp;"$A$2:$C$23"),2,FALSE))</f>
        <v>86</v>
      </c>
      <c r="G23" s="4">
        <f ca="1">_xlfn.NUMBERVALUE(VLOOKUP(VLOOKUP($B23,Key!$A$17:$B$28,2,FALSE),INDIRECT("'"&amp;G$18&amp;"'!"&amp;"$A$2:$C$23"),2,FALSE))</f>
        <v>65.5</v>
      </c>
      <c r="H23" s="4">
        <f ca="1">_xlfn.NUMBERVALUE(VLOOKUP(VLOOKUP($B23,Key!$A$17:$B$28,2,FALSE),INDIRECT("'"&amp;H$18&amp;"'!"&amp;"$A$2:$C$23"),2,FALSE))</f>
        <v>85.8</v>
      </c>
      <c r="I23" s="4">
        <f ca="1">_xlfn.NUMBERVALUE(VLOOKUP(VLOOKUP($B23,Key!$A$17:$B$28,2,FALSE),INDIRECT("'"&amp;I$18&amp;"'!"&amp;"$A$2:$C$23"),2,FALSE))</f>
        <v>91.3</v>
      </c>
      <c r="J23" s="4">
        <f ca="1">_xlfn.NUMBERVALUE(VLOOKUP(VLOOKUP($B23,Key!$A$17:$B$28,2,FALSE),INDIRECT("'"&amp;J$18&amp;"'!"&amp;"$A$2:$C$23"),2,FALSE))</f>
        <v>82.8</v>
      </c>
      <c r="K23" s="4">
        <f ca="1">_xlfn.NUMBERVALUE(VLOOKUP(VLOOKUP($B23,Key!$A$17:$B$28,2,FALSE),INDIRECT("'"&amp;K$18&amp;"'!"&amp;"$A$2:$C$23"),2,FALSE))</f>
        <v>102.8</v>
      </c>
      <c r="L23" s="4">
        <f ca="1">_xlfn.NUMBERVALUE(VLOOKUP(VLOOKUP($B23,Key!$A$17:$B$28,2,FALSE),INDIRECT("'"&amp;L$18&amp;"'!"&amp;"$A$2:$C$23"),2,FALSE))</f>
        <v>65.599999999999994</v>
      </c>
      <c r="M23" s="4">
        <f ca="1">_xlfn.NUMBERVALUE(VLOOKUP(VLOOKUP($B23,Key!$A$17:$B$28,2,FALSE),INDIRECT("'"&amp;M$18&amp;"'!"&amp;"$A$2:$C$23"),2,FALSE))</f>
        <v>100.6</v>
      </c>
      <c r="N23" s="4">
        <f ca="1">_xlfn.NUMBERVALUE(VLOOKUP(VLOOKUP($B23,Key!$A$17:$B$28,2,FALSE),INDIRECT("'"&amp;N$18&amp;"'!"&amp;"$A$2:$C$23"),2,FALSE))</f>
        <v>121.6</v>
      </c>
      <c r="O23" s="4">
        <f ca="1">_xlfn.NUMBERVALUE(VLOOKUP(VLOOKUP($B23,Key!$A$17:$B$28,2,FALSE),INDIRECT("'"&amp;O$18&amp;"'!"&amp;"$A$2:$C$23"),2,FALSE))</f>
        <v>79.400000000000006</v>
      </c>
      <c r="P23" s="4">
        <f ca="1">_xlfn.NUMBERVALUE(VLOOKUP(VLOOKUP($B23,Key!$A$17:$B$28,2,FALSE),INDIRECT("'"&amp;P$18&amp;"'!"&amp;"$A$2:$C$23"),2,FALSE))</f>
        <v>102.6</v>
      </c>
      <c r="Q23" s="4">
        <f ca="1">_xlfn.NUMBERVALUE(VLOOKUP(VLOOKUP($B23,Key!$A$17:$B$28,2,FALSE),INDIRECT("'"&amp;Q$18&amp;"'!"&amp;"$A$2:$C$23"),2,FALSE))</f>
        <v>138.30000000000001</v>
      </c>
      <c r="R23" s="4">
        <f ca="1">_xlfn.NUMBERVALUE(VLOOKUP(VLOOKUP($B23,Key!$A$17:$B$28,2,FALSE),INDIRECT("'"&amp;R$18&amp;"'!"&amp;"$A$2:$C$23"),2,FALSE))</f>
        <v>163.1</v>
      </c>
      <c r="S23" s="4">
        <f t="shared" ca="1" si="48"/>
        <v>121.6</v>
      </c>
      <c r="T23" s="4">
        <f t="shared" ca="1" si="49"/>
        <v>1149.4000000000001</v>
      </c>
      <c r="U23" s="4">
        <f t="shared" ca="1" si="50"/>
        <v>11</v>
      </c>
      <c r="V23" s="17">
        <f t="shared" ca="1" si="51"/>
        <v>-166.5</v>
      </c>
      <c r="W23" s="4">
        <f t="shared" ca="1" si="45"/>
        <v>404</v>
      </c>
      <c r="X23" s="5">
        <f t="shared" ca="1" si="46"/>
        <v>134.66666666666666</v>
      </c>
      <c r="Y23" s="4">
        <f t="shared" ca="1" si="47"/>
        <v>1</v>
      </c>
      <c r="Z23" s="17">
        <f t="shared" ca="1" si="52"/>
        <v>0</v>
      </c>
    </row>
    <row r="24" spans="1:26" ht="16.25" thickTop="1" thickBot="1" x14ac:dyDescent="0.9">
      <c r="A24" s="4" t="s">
        <v>11</v>
      </c>
      <c r="B24" s="6" t="s">
        <v>166</v>
      </c>
      <c r="C24" s="4">
        <f ca="1">_xlfn.NUMBERVALUE(VLOOKUP(VLOOKUP($B24,Key!$A$17:$B$28,2,FALSE),INDIRECT("'"&amp;C$18&amp;"'!"&amp;"$A$2:$C$23"),2,FALSE))</f>
        <v>86.5</v>
      </c>
      <c r="D24" s="4">
        <f ca="1">_xlfn.NUMBERVALUE(VLOOKUP(VLOOKUP($B24,Key!$A$17:$B$28,2,FALSE),INDIRECT("'"&amp;D$18&amp;"'!"&amp;"$A$2:$C$23"),2,FALSE))</f>
        <v>75.099999999999994</v>
      </c>
      <c r="E24" s="4">
        <f ca="1">_xlfn.NUMBERVALUE(VLOOKUP(VLOOKUP($B24,Key!$A$17:$B$28,2,FALSE),INDIRECT("'"&amp;E$18&amp;"'!"&amp;"$A$2:$C$23"),2,FALSE))</f>
        <v>129.80000000000001</v>
      </c>
      <c r="F24" s="4">
        <f ca="1">_xlfn.NUMBERVALUE(VLOOKUP(VLOOKUP($B24,Key!$A$17:$B$28,2,FALSE),INDIRECT("'"&amp;F$18&amp;"'!"&amp;"$A$2:$C$23"),2,FALSE))</f>
        <v>97.1</v>
      </c>
      <c r="G24" s="4">
        <f ca="1">_xlfn.NUMBERVALUE(VLOOKUP(VLOOKUP($B24,Key!$A$17:$B$28,2,FALSE),INDIRECT("'"&amp;G$18&amp;"'!"&amp;"$A$2:$C$23"),2,FALSE))</f>
        <v>70.900000000000006</v>
      </c>
      <c r="H24" s="4">
        <f ca="1">_xlfn.NUMBERVALUE(VLOOKUP(VLOOKUP($B24,Key!$A$17:$B$28,2,FALSE),INDIRECT("'"&amp;H$18&amp;"'!"&amp;"$A$2:$C$23"),2,FALSE))</f>
        <v>117.4</v>
      </c>
      <c r="I24" s="4">
        <f ca="1">_xlfn.NUMBERVALUE(VLOOKUP(VLOOKUP($B24,Key!$A$17:$B$28,2,FALSE),INDIRECT("'"&amp;I$18&amp;"'!"&amp;"$A$2:$C$23"),2,FALSE))</f>
        <v>110</v>
      </c>
      <c r="J24" s="4">
        <f ca="1">_xlfn.NUMBERVALUE(VLOOKUP(VLOOKUP($B24,Key!$A$17:$B$28,2,FALSE),INDIRECT("'"&amp;J$18&amp;"'!"&amp;"$A$2:$C$23"),2,FALSE))</f>
        <v>96.4</v>
      </c>
      <c r="K24" s="4">
        <f ca="1">_xlfn.NUMBERVALUE(VLOOKUP(VLOOKUP($B24,Key!$A$17:$B$28,2,FALSE),INDIRECT("'"&amp;K$18&amp;"'!"&amp;"$A$2:$C$23"),2,FALSE))</f>
        <v>99.8</v>
      </c>
      <c r="L24" s="4">
        <f ca="1">_xlfn.NUMBERVALUE(VLOOKUP(VLOOKUP($B24,Key!$A$17:$B$28,2,FALSE),INDIRECT("'"&amp;L$18&amp;"'!"&amp;"$A$2:$C$23"),2,FALSE))</f>
        <v>83.6</v>
      </c>
      <c r="M24" s="4">
        <f ca="1">_xlfn.NUMBERVALUE(VLOOKUP(VLOOKUP($B24,Key!$A$17:$B$28,2,FALSE),INDIRECT("'"&amp;M$18&amp;"'!"&amp;"$A$2:$C$23"),2,FALSE))</f>
        <v>116.5</v>
      </c>
      <c r="N24" s="4">
        <f ca="1">_xlfn.NUMBERVALUE(VLOOKUP(VLOOKUP($B24,Key!$A$17:$B$28,2,FALSE),INDIRECT("'"&amp;N$18&amp;"'!"&amp;"$A$2:$C$23"),2,FALSE))</f>
        <v>89</v>
      </c>
      <c r="O24" s="4">
        <f ca="1">_xlfn.NUMBERVALUE(VLOOKUP(VLOOKUP($B24,Key!$A$17:$B$28,2,FALSE),INDIRECT("'"&amp;O$18&amp;"'!"&amp;"$A$2:$C$23"),2,FALSE))</f>
        <v>121</v>
      </c>
      <c r="P24" s="4">
        <f ca="1">_xlfn.NUMBERVALUE(VLOOKUP(VLOOKUP($B24,Key!$A$17:$B$28,2,FALSE),INDIRECT("'"&amp;P$18&amp;"'!"&amp;"$A$2:$C$23"),2,FALSE))</f>
        <v>92.6</v>
      </c>
      <c r="Q24" s="4">
        <f ca="1">_xlfn.NUMBERVALUE(VLOOKUP(VLOOKUP($B24,Key!$A$17:$B$28,2,FALSE),INDIRECT("'"&amp;Q$18&amp;"'!"&amp;"$A$2:$C$23"),2,FALSE))</f>
        <v>75.599999999999994</v>
      </c>
      <c r="R24" s="4">
        <f ca="1">_xlfn.NUMBERVALUE(VLOOKUP(VLOOKUP($B24,Key!$A$17:$B$28,2,FALSE),INDIRECT("'"&amp;R$18&amp;"'!"&amp;"$A$2:$C$23"),2,FALSE))</f>
        <v>70.3</v>
      </c>
      <c r="S24" s="4">
        <f t="shared" ca="1" si="48"/>
        <v>129.80000000000001</v>
      </c>
      <c r="T24" s="4">
        <f t="shared" ca="1" si="49"/>
        <v>1293.0999999999999</v>
      </c>
      <c r="U24" s="4">
        <f t="shared" ca="1" si="50"/>
        <v>3</v>
      </c>
      <c r="V24" s="17">
        <f t="shared" ca="1" si="51"/>
        <v>-22.800000000000182</v>
      </c>
      <c r="W24" s="4">
        <f t="shared" ca="1" si="45"/>
        <v>238.5</v>
      </c>
      <c r="X24" s="5">
        <f t="shared" ca="1" si="46"/>
        <v>79.5</v>
      </c>
      <c r="Y24" s="4">
        <f t="shared" ca="1" si="47"/>
        <v>11</v>
      </c>
      <c r="Z24" s="17">
        <f t="shared" ca="1" si="52"/>
        <v>-55.166666666666657</v>
      </c>
    </row>
    <row r="25" spans="1:26" ht="16.25" thickTop="1" thickBot="1" x14ac:dyDescent="0.9">
      <c r="A25" s="4" t="s">
        <v>13</v>
      </c>
      <c r="B25" s="6" t="s">
        <v>167</v>
      </c>
      <c r="C25" s="4">
        <f ca="1">_xlfn.NUMBERVALUE(VLOOKUP(VLOOKUP($B25,Key!$A$17:$B$28,2,FALSE),INDIRECT("'"&amp;C$18&amp;"'!"&amp;"$A$2:$C$23"),2,FALSE))</f>
        <v>87.8</v>
      </c>
      <c r="D25" s="4">
        <f ca="1">_xlfn.NUMBERVALUE(VLOOKUP(VLOOKUP($B25,Key!$A$17:$B$28,2,FALSE),INDIRECT("'"&amp;D$18&amp;"'!"&amp;"$A$2:$C$23"),2,FALSE))</f>
        <v>96</v>
      </c>
      <c r="E25" s="4">
        <f ca="1">_xlfn.NUMBERVALUE(VLOOKUP(VLOOKUP($B25,Key!$A$17:$B$28,2,FALSE),INDIRECT("'"&amp;E$18&amp;"'!"&amp;"$A$2:$C$23"),2,FALSE))</f>
        <v>109</v>
      </c>
      <c r="F25" s="4">
        <f ca="1">_xlfn.NUMBERVALUE(VLOOKUP(VLOOKUP($B25,Key!$A$17:$B$28,2,FALSE),INDIRECT("'"&amp;F$18&amp;"'!"&amp;"$A$2:$C$23"),2,FALSE))</f>
        <v>59.9</v>
      </c>
      <c r="G25" s="4">
        <f ca="1">_xlfn.NUMBERVALUE(VLOOKUP(VLOOKUP($B25,Key!$A$17:$B$28,2,FALSE),INDIRECT("'"&amp;G$18&amp;"'!"&amp;"$A$2:$C$23"),2,FALSE))</f>
        <v>109.7</v>
      </c>
      <c r="H25" s="4">
        <f ca="1">_xlfn.NUMBERVALUE(VLOOKUP(VLOOKUP($B25,Key!$A$17:$B$28,2,FALSE),INDIRECT("'"&amp;H$18&amp;"'!"&amp;"$A$2:$C$23"),2,FALSE))</f>
        <v>105.3</v>
      </c>
      <c r="I25" s="4">
        <f ca="1">_xlfn.NUMBERVALUE(VLOOKUP(VLOOKUP($B25,Key!$A$17:$B$28,2,FALSE),INDIRECT("'"&amp;I$18&amp;"'!"&amp;"$A$2:$C$23"),2,FALSE))</f>
        <v>88.5</v>
      </c>
      <c r="J25" s="4">
        <f ca="1">_xlfn.NUMBERVALUE(VLOOKUP(VLOOKUP($B25,Key!$A$17:$B$28,2,FALSE),INDIRECT("'"&amp;J$18&amp;"'!"&amp;"$A$2:$C$23"),2,FALSE))</f>
        <v>87</v>
      </c>
      <c r="K25" s="4">
        <f ca="1">_xlfn.NUMBERVALUE(VLOOKUP(VLOOKUP($B25,Key!$A$17:$B$28,2,FALSE),INDIRECT("'"&amp;K$18&amp;"'!"&amp;"$A$2:$C$23"),2,FALSE))</f>
        <v>106</v>
      </c>
      <c r="L25" s="4">
        <f ca="1">_xlfn.NUMBERVALUE(VLOOKUP(VLOOKUP($B25,Key!$A$17:$B$28,2,FALSE),INDIRECT("'"&amp;L$18&amp;"'!"&amp;"$A$2:$C$23"),2,FALSE))</f>
        <v>101.6</v>
      </c>
      <c r="M25" s="4">
        <f ca="1">_xlfn.NUMBERVALUE(VLOOKUP(VLOOKUP($B25,Key!$A$17:$B$28,2,FALSE),INDIRECT("'"&amp;M$18&amp;"'!"&amp;"$A$2:$C$23"),2,FALSE))</f>
        <v>130.1</v>
      </c>
      <c r="N25" s="4">
        <f ca="1">_xlfn.NUMBERVALUE(VLOOKUP(VLOOKUP($B25,Key!$A$17:$B$28,2,FALSE),INDIRECT("'"&amp;N$18&amp;"'!"&amp;"$A$2:$C$23"),2,FALSE))</f>
        <v>134.9</v>
      </c>
      <c r="O25" s="4">
        <f ca="1">_xlfn.NUMBERVALUE(VLOOKUP(VLOOKUP($B25,Key!$A$17:$B$28,2,FALSE),INDIRECT("'"&amp;O$18&amp;"'!"&amp;"$A$2:$C$23"),2,FALSE))</f>
        <v>96.4</v>
      </c>
      <c r="P25" s="4">
        <f ca="1">_xlfn.NUMBERVALUE(VLOOKUP(VLOOKUP($B25,Key!$A$17:$B$28,2,FALSE),INDIRECT("'"&amp;P$18&amp;"'!"&amp;"$A$2:$C$23"),2,FALSE))</f>
        <v>104.3</v>
      </c>
      <c r="Q25" s="4">
        <f ca="1">_xlfn.NUMBERVALUE(VLOOKUP(VLOOKUP($B25,Key!$A$17:$B$28,2,FALSE),INDIRECT("'"&amp;Q$18&amp;"'!"&amp;"$A$2:$C$23"),2,FALSE))</f>
        <v>94</v>
      </c>
      <c r="R25" s="4">
        <f ca="1">_xlfn.NUMBERVALUE(VLOOKUP(VLOOKUP($B25,Key!$A$17:$B$28,2,FALSE),INDIRECT("'"&amp;R$18&amp;"'!"&amp;"$A$2:$C$23"),2,FALSE))</f>
        <v>62.9</v>
      </c>
      <c r="S25" s="4">
        <f t="shared" ca="1" si="48"/>
        <v>134.9</v>
      </c>
      <c r="T25" s="4">
        <f t="shared" ca="1" si="49"/>
        <v>1312.2</v>
      </c>
      <c r="U25" s="4">
        <f t="shared" ca="1" si="50"/>
        <v>2</v>
      </c>
      <c r="V25" s="17">
        <f t="shared" ca="1" si="51"/>
        <v>-3.7000000000000455</v>
      </c>
      <c r="W25" s="4">
        <f t="shared" ca="1" si="45"/>
        <v>261.2</v>
      </c>
      <c r="X25" s="5">
        <f t="shared" ca="1" si="46"/>
        <v>87.066666666666663</v>
      </c>
      <c r="Y25" s="4">
        <f t="shared" ca="1" si="47"/>
        <v>9</v>
      </c>
      <c r="Z25" s="17">
        <f t="shared" ca="1" si="52"/>
        <v>-47.599999999999994</v>
      </c>
    </row>
    <row r="26" spans="1:26" ht="16.25" thickTop="1" thickBot="1" x14ac:dyDescent="0.9">
      <c r="A26" s="4" t="s">
        <v>16</v>
      </c>
      <c r="B26" s="6" t="s">
        <v>168</v>
      </c>
      <c r="C26" s="4">
        <f ca="1">_xlfn.NUMBERVALUE(VLOOKUP(VLOOKUP($B26,Key!$A$17:$B$28,2,FALSE),INDIRECT("'"&amp;C$18&amp;"'!"&amp;"$A$2:$C$23"),2,FALSE))</f>
        <v>72.099999999999994</v>
      </c>
      <c r="D26" s="4">
        <f ca="1">_xlfn.NUMBERVALUE(VLOOKUP(VLOOKUP($B26,Key!$A$17:$B$28,2,FALSE),INDIRECT("'"&amp;D$18&amp;"'!"&amp;"$A$2:$C$23"),2,FALSE))</f>
        <v>86.7</v>
      </c>
      <c r="E26" s="4">
        <f ca="1">_xlfn.NUMBERVALUE(VLOOKUP(VLOOKUP($B26,Key!$A$17:$B$28,2,FALSE),INDIRECT("'"&amp;E$18&amp;"'!"&amp;"$A$2:$C$23"),2,FALSE))</f>
        <v>113.6</v>
      </c>
      <c r="F26" s="4">
        <f ca="1">_xlfn.NUMBERVALUE(VLOOKUP(VLOOKUP($B26,Key!$A$17:$B$28,2,FALSE),INDIRECT("'"&amp;F$18&amp;"'!"&amp;"$A$2:$C$23"),2,FALSE))</f>
        <v>127</v>
      </c>
      <c r="G26" s="4">
        <f ca="1">_xlfn.NUMBERVALUE(VLOOKUP(VLOOKUP($B26,Key!$A$17:$B$28,2,FALSE),INDIRECT("'"&amp;G$18&amp;"'!"&amp;"$A$2:$C$23"),2,FALSE))</f>
        <v>106.4</v>
      </c>
      <c r="H26" s="4">
        <f ca="1">_xlfn.NUMBERVALUE(VLOOKUP(VLOOKUP($B26,Key!$A$17:$B$28,2,FALSE),INDIRECT("'"&amp;H$18&amp;"'!"&amp;"$A$2:$C$23"),2,FALSE))</f>
        <v>78.099999999999994</v>
      </c>
      <c r="I26" s="4">
        <f ca="1">_xlfn.NUMBERVALUE(VLOOKUP(VLOOKUP($B26,Key!$A$17:$B$28,2,FALSE),INDIRECT("'"&amp;I$18&amp;"'!"&amp;"$A$2:$C$23"),2,FALSE))</f>
        <v>141.1</v>
      </c>
      <c r="J26" s="4">
        <f ca="1">_xlfn.NUMBERVALUE(VLOOKUP(VLOOKUP($B26,Key!$A$17:$B$28,2,FALSE),INDIRECT("'"&amp;J$18&amp;"'!"&amp;"$A$2:$C$23"),2,FALSE))</f>
        <v>90.3</v>
      </c>
      <c r="K26" s="4">
        <f ca="1">_xlfn.NUMBERVALUE(VLOOKUP(VLOOKUP($B26,Key!$A$17:$B$28,2,FALSE),INDIRECT("'"&amp;K$18&amp;"'!"&amp;"$A$2:$C$23"),2,FALSE))</f>
        <v>84.7</v>
      </c>
      <c r="L26" s="4">
        <f ca="1">_xlfn.NUMBERVALUE(VLOOKUP(VLOOKUP($B26,Key!$A$17:$B$28,2,FALSE),INDIRECT("'"&amp;L$18&amp;"'!"&amp;"$A$2:$C$23"),2,FALSE))</f>
        <v>64.3</v>
      </c>
      <c r="M26" s="4">
        <f ca="1">_xlfn.NUMBERVALUE(VLOOKUP(VLOOKUP($B26,Key!$A$17:$B$28,2,FALSE),INDIRECT("'"&amp;M$18&amp;"'!"&amp;"$A$2:$C$23"),2,FALSE))</f>
        <v>79.900000000000006</v>
      </c>
      <c r="N26" s="4">
        <f ca="1">_xlfn.NUMBERVALUE(VLOOKUP(VLOOKUP($B26,Key!$A$17:$B$28,2,FALSE),INDIRECT("'"&amp;N$18&amp;"'!"&amp;"$A$2:$C$23"),2,FALSE))</f>
        <v>98.8</v>
      </c>
      <c r="O26" s="4">
        <f ca="1">_xlfn.NUMBERVALUE(VLOOKUP(VLOOKUP($B26,Key!$A$17:$B$28,2,FALSE),INDIRECT("'"&amp;O$18&amp;"'!"&amp;"$A$2:$C$23"),2,FALSE))</f>
        <v>77.2</v>
      </c>
      <c r="P26" s="4">
        <f ca="1">_xlfn.NUMBERVALUE(VLOOKUP(VLOOKUP($B26,Key!$A$17:$B$28,2,FALSE),INDIRECT("'"&amp;P$18&amp;"'!"&amp;"$A$2:$C$23"),2,FALSE))</f>
        <v>88.6</v>
      </c>
      <c r="Q26" s="4">
        <f ca="1">_xlfn.NUMBERVALUE(VLOOKUP(VLOOKUP($B26,Key!$A$17:$B$28,2,FALSE),INDIRECT("'"&amp;Q$18&amp;"'!"&amp;"$A$2:$C$23"),2,FALSE))</f>
        <v>85.2</v>
      </c>
      <c r="R26" s="4">
        <f ca="1">_xlfn.NUMBERVALUE(VLOOKUP(VLOOKUP($B26,Key!$A$17:$B$28,2,FALSE),INDIRECT("'"&amp;R$18&amp;"'!"&amp;"$A$2:$C$23"),2,FALSE))</f>
        <v>108.5</v>
      </c>
      <c r="S26" s="4">
        <f t="shared" ca="1" si="48"/>
        <v>141.1</v>
      </c>
      <c r="T26" s="4">
        <f t="shared" ca="1" si="49"/>
        <v>1220.2</v>
      </c>
      <c r="U26" s="4">
        <f t="shared" ca="1" si="50"/>
        <v>5</v>
      </c>
      <c r="V26" s="17">
        <f t="shared" ca="1" si="51"/>
        <v>-95.700000000000045</v>
      </c>
      <c r="W26" s="4">
        <f t="shared" ca="1" si="45"/>
        <v>282.3</v>
      </c>
      <c r="X26" s="5">
        <f t="shared" ca="1" si="46"/>
        <v>94.100000000000009</v>
      </c>
      <c r="Y26" s="4">
        <f t="shared" ca="1" si="47"/>
        <v>6</v>
      </c>
      <c r="Z26" s="17">
        <f t="shared" ca="1" si="52"/>
        <v>-40.566666666666649</v>
      </c>
    </row>
    <row r="27" spans="1:26" ht="16.25" thickTop="1" thickBot="1" x14ac:dyDescent="0.9">
      <c r="A27" s="4" t="s">
        <v>18</v>
      </c>
      <c r="B27" s="6" t="s">
        <v>169</v>
      </c>
      <c r="C27" s="4">
        <f ca="1">_xlfn.NUMBERVALUE(VLOOKUP(VLOOKUP($B27,Key!$A$17:$B$28,2,FALSE),INDIRECT("'"&amp;C$18&amp;"'!"&amp;"$A$2:$C$23"),2,FALSE))</f>
        <v>61.1</v>
      </c>
      <c r="D27" s="4">
        <f ca="1">_xlfn.NUMBERVALUE(VLOOKUP(VLOOKUP($B27,Key!$A$17:$B$28,2,FALSE),INDIRECT("'"&amp;D$18&amp;"'!"&amp;"$A$2:$C$23"),2,FALSE))</f>
        <v>92.2</v>
      </c>
      <c r="E27" s="4">
        <f ca="1">_xlfn.NUMBERVALUE(VLOOKUP(VLOOKUP($B27,Key!$A$17:$B$28,2,FALSE),INDIRECT("'"&amp;E$18&amp;"'!"&amp;"$A$2:$C$23"),2,FALSE))</f>
        <v>137.9</v>
      </c>
      <c r="F27" s="4">
        <f ca="1">_xlfn.NUMBERVALUE(VLOOKUP(VLOOKUP($B27,Key!$A$17:$B$28,2,FALSE),INDIRECT("'"&amp;F$18&amp;"'!"&amp;"$A$2:$C$23"),2,FALSE))</f>
        <v>76.099999999999994</v>
      </c>
      <c r="G27" s="4">
        <f ca="1">_xlfn.NUMBERVALUE(VLOOKUP(VLOOKUP($B27,Key!$A$17:$B$28,2,FALSE),INDIRECT("'"&amp;G$18&amp;"'!"&amp;"$A$2:$C$23"),2,FALSE))</f>
        <v>80.900000000000006</v>
      </c>
      <c r="H27" s="4">
        <f ca="1">_xlfn.NUMBERVALUE(VLOOKUP(VLOOKUP($B27,Key!$A$17:$B$28,2,FALSE),INDIRECT("'"&amp;H$18&amp;"'!"&amp;"$A$2:$C$23"),2,FALSE))</f>
        <v>101.6</v>
      </c>
      <c r="I27" s="4">
        <f ca="1">_xlfn.NUMBERVALUE(VLOOKUP(VLOOKUP($B27,Key!$A$17:$B$28,2,FALSE),INDIRECT("'"&amp;I$18&amp;"'!"&amp;"$A$2:$C$23"),2,FALSE))</f>
        <v>79.599999999999994</v>
      </c>
      <c r="J27" s="4">
        <f ca="1">_xlfn.NUMBERVALUE(VLOOKUP(VLOOKUP($B27,Key!$A$17:$B$28,2,FALSE),INDIRECT("'"&amp;J$18&amp;"'!"&amp;"$A$2:$C$23"),2,FALSE))</f>
        <v>101.1</v>
      </c>
      <c r="K27" s="4">
        <f ca="1">_xlfn.NUMBERVALUE(VLOOKUP(VLOOKUP($B27,Key!$A$17:$B$28,2,FALSE),INDIRECT("'"&amp;K$18&amp;"'!"&amp;"$A$2:$C$23"),2,FALSE))</f>
        <v>108.1</v>
      </c>
      <c r="L27" s="4">
        <f ca="1">_xlfn.NUMBERVALUE(VLOOKUP(VLOOKUP($B27,Key!$A$17:$B$28,2,FALSE),INDIRECT("'"&amp;L$18&amp;"'!"&amp;"$A$2:$C$23"),2,FALSE))</f>
        <v>66.7</v>
      </c>
      <c r="M27" s="4">
        <f ca="1">_xlfn.NUMBERVALUE(VLOOKUP(VLOOKUP($B27,Key!$A$17:$B$28,2,FALSE),INDIRECT("'"&amp;M$18&amp;"'!"&amp;"$A$2:$C$23"),2,FALSE))</f>
        <v>87.1</v>
      </c>
      <c r="N27" s="4">
        <f ca="1">_xlfn.NUMBERVALUE(VLOOKUP(VLOOKUP($B27,Key!$A$17:$B$28,2,FALSE),INDIRECT("'"&amp;N$18&amp;"'!"&amp;"$A$2:$C$23"),2,FALSE))</f>
        <v>96.6</v>
      </c>
      <c r="O27" s="4">
        <f ca="1">_xlfn.NUMBERVALUE(VLOOKUP(VLOOKUP($B27,Key!$A$17:$B$28,2,FALSE),INDIRECT("'"&amp;O$18&amp;"'!"&amp;"$A$2:$C$23"),2,FALSE))</f>
        <v>86.9</v>
      </c>
      <c r="P27" s="4">
        <f ca="1">_xlfn.NUMBERVALUE(VLOOKUP(VLOOKUP($B27,Key!$A$17:$B$28,2,FALSE),INDIRECT("'"&amp;P$18&amp;"'!"&amp;"$A$2:$C$23"),2,FALSE))</f>
        <v>108.1</v>
      </c>
      <c r="Q27" s="4">
        <f ca="1">_xlfn.NUMBERVALUE(VLOOKUP(VLOOKUP($B27,Key!$A$17:$B$28,2,FALSE),INDIRECT("'"&amp;Q$18&amp;"'!"&amp;"$A$2:$C$23"),2,FALSE))</f>
        <v>96.4</v>
      </c>
      <c r="R27" s="4">
        <f ca="1">_xlfn.NUMBERVALUE(VLOOKUP(VLOOKUP($B27,Key!$A$17:$B$28,2,FALSE),INDIRECT("'"&amp;R$18&amp;"'!"&amp;"$A$2:$C$23"),2,FALSE))</f>
        <v>86.9</v>
      </c>
      <c r="S27" s="4">
        <f t="shared" ca="1" si="48"/>
        <v>137.9</v>
      </c>
      <c r="T27" s="4">
        <f t="shared" ca="1" si="49"/>
        <v>1175.9000000000003</v>
      </c>
      <c r="U27" s="4">
        <f t="shared" ca="1" si="50"/>
        <v>7</v>
      </c>
      <c r="V27" s="17">
        <f t="shared" ca="1" si="51"/>
        <v>-139.99999999999977</v>
      </c>
      <c r="W27" s="4">
        <f t="shared" ca="1" si="45"/>
        <v>291.39999999999998</v>
      </c>
      <c r="X27" s="5">
        <f t="shared" ca="1" si="46"/>
        <v>97.133333333333326</v>
      </c>
      <c r="Y27" s="4">
        <f t="shared" ca="1" si="47"/>
        <v>4</v>
      </c>
      <c r="Z27" s="17">
        <f t="shared" ca="1" si="52"/>
        <v>-37.533333333333331</v>
      </c>
    </row>
    <row r="28" spans="1:26" ht="16.25" thickTop="1" thickBot="1" x14ac:dyDescent="0.9">
      <c r="A28" s="4" t="s">
        <v>21</v>
      </c>
      <c r="B28" s="6" t="s">
        <v>170</v>
      </c>
      <c r="C28" s="4">
        <f ca="1">_xlfn.NUMBERVALUE(VLOOKUP(VLOOKUP($B28,Key!$A$17:$B$28,2,FALSE),INDIRECT("'"&amp;C$18&amp;"'!"&amp;"$A$2:$C$23"),2,FALSE))</f>
        <v>90.8</v>
      </c>
      <c r="D28" s="4">
        <f ca="1">_xlfn.NUMBERVALUE(VLOOKUP(VLOOKUP($B28,Key!$A$17:$B$28,2,FALSE),INDIRECT("'"&amp;D$18&amp;"'!"&amp;"$A$2:$C$23"),2,FALSE))</f>
        <v>82.9</v>
      </c>
      <c r="E28" s="4">
        <f ca="1">_xlfn.NUMBERVALUE(VLOOKUP(VLOOKUP($B28,Key!$A$17:$B$28,2,FALSE),INDIRECT("'"&amp;E$18&amp;"'!"&amp;"$A$2:$C$23"),2,FALSE))</f>
        <v>80.7</v>
      </c>
      <c r="F28" s="4">
        <f ca="1">_xlfn.NUMBERVALUE(VLOOKUP(VLOOKUP($B28,Key!$A$17:$B$28,2,FALSE),INDIRECT("'"&amp;F$18&amp;"'!"&amp;"$A$2:$C$23"),2,FALSE))</f>
        <v>146.5</v>
      </c>
      <c r="G28" s="4">
        <f ca="1">_xlfn.NUMBERVALUE(VLOOKUP(VLOOKUP($B28,Key!$A$17:$B$28,2,FALSE),INDIRECT("'"&amp;G$18&amp;"'!"&amp;"$A$2:$C$23"),2,FALSE))</f>
        <v>112.9</v>
      </c>
      <c r="H28" s="4">
        <f ca="1">_xlfn.NUMBERVALUE(VLOOKUP(VLOOKUP($B28,Key!$A$17:$B$28,2,FALSE),INDIRECT("'"&amp;H$18&amp;"'!"&amp;"$A$2:$C$23"),2,FALSE))</f>
        <v>79.099999999999994</v>
      </c>
      <c r="I28" s="4">
        <f ca="1">_xlfn.NUMBERVALUE(VLOOKUP(VLOOKUP($B28,Key!$A$17:$B$28,2,FALSE),INDIRECT("'"&amp;I$18&amp;"'!"&amp;"$A$2:$C$23"),2,FALSE))</f>
        <v>57.2</v>
      </c>
      <c r="J28" s="4">
        <f ca="1">_xlfn.NUMBERVALUE(VLOOKUP(VLOOKUP($B28,Key!$A$17:$B$28,2,FALSE),INDIRECT("'"&amp;J$18&amp;"'!"&amp;"$A$2:$C$23"),2,FALSE))</f>
        <v>71.400000000000006</v>
      </c>
      <c r="K28" s="4">
        <f ca="1">_xlfn.NUMBERVALUE(VLOOKUP(VLOOKUP($B28,Key!$A$17:$B$28,2,FALSE),INDIRECT("'"&amp;K$18&amp;"'!"&amp;"$A$2:$C$23"),2,FALSE))</f>
        <v>69.8</v>
      </c>
      <c r="L28" s="4">
        <f ca="1">_xlfn.NUMBERVALUE(VLOOKUP(VLOOKUP($B28,Key!$A$17:$B$28,2,FALSE),INDIRECT("'"&amp;L$18&amp;"'!"&amp;"$A$2:$C$23"),2,FALSE))</f>
        <v>74.900000000000006</v>
      </c>
      <c r="M28" s="4">
        <f ca="1">_xlfn.NUMBERVALUE(VLOOKUP(VLOOKUP($B28,Key!$A$17:$B$28,2,FALSE),INDIRECT("'"&amp;M$18&amp;"'!"&amp;"$A$2:$C$23"),2,FALSE))</f>
        <v>103.3</v>
      </c>
      <c r="N28" s="4">
        <f ca="1">_xlfn.NUMBERVALUE(VLOOKUP(VLOOKUP($B28,Key!$A$17:$B$28,2,FALSE),INDIRECT("'"&amp;N$18&amp;"'!"&amp;"$A$2:$C$23"),2,FALSE))</f>
        <v>75.8</v>
      </c>
      <c r="O28" s="4">
        <f ca="1">_xlfn.NUMBERVALUE(VLOOKUP(VLOOKUP($B28,Key!$A$17:$B$28,2,FALSE),INDIRECT("'"&amp;O$18&amp;"'!"&amp;"$A$2:$C$23"),2,FALSE))</f>
        <v>110.8</v>
      </c>
      <c r="P28" s="4">
        <f ca="1">_xlfn.NUMBERVALUE(VLOOKUP(VLOOKUP($B28,Key!$A$17:$B$28,2,FALSE),INDIRECT("'"&amp;P$18&amp;"'!"&amp;"$A$2:$C$23"),2,FALSE))</f>
        <v>80.8</v>
      </c>
      <c r="Q28" s="4">
        <f ca="1">_xlfn.NUMBERVALUE(VLOOKUP(VLOOKUP($B28,Key!$A$17:$B$28,2,FALSE),INDIRECT("'"&amp;Q$18&amp;"'!"&amp;"$A$2:$C$23"),2,FALSE))</f>
        <v>69.5</v>
      </c>
      <c r="R28" s="4">
        <f ca="1">_xlfn.NUMBERVALUE(VLOOKUP(VLOOKUP($B28,Key!$A$17:$B$28,2,FALSE),INDIRECT("'"&amp;R$18&amp;"'!"&amp;"$A$2:$C$23"),2,FALSE))</f>
        <v>82.1</v>
      </c>
      <c r="S28" s="4">
        <f t="shared" ca="1" si="48"/>
        <v>146.5</v>
      </c>
      <c r="T28" s="4">
        <f t="shared" ca="1" si="49"/>
        <v>1156.0999999999999</v>
      </c>
      <c r="U28" s="4">
        <f t="shared" ca="1" si="50"/>
        <v>9</v>
      </c>
      <c r="V28" s="17">
        <f t="shared" ca="1" si="51"/>
        <v>-159.80000000000018</v>
      </c>
      <c r="W28" s="4">
        <f t="shared" ca="1" si="45"/>
        <v>232.4</v>
      </c>
      <c r="X28" s="5">
        <f t="shared" ca="1" si="46"/>
        <v>77.466666666666669</v>
      </c>
      <c r="Y28" s="4">
        <f t="shared" ca="1" si="47"/>
        <v>12</v>
      </c>
      <c r="Z28" s="17">
        <f t="shared" ca="1" si="52"/>
        <v>-57.199999999999989</v>
      </c>
    </row>
    <row r="29" spans="1:26" ht="16.25" thickTop="1" thickBot="1" x14ac:dyDescent="0.9">
      <c r="A29" s="4" t="s">
        <v>23</v>
      </c>
      <c r="B29" s="6" t="s">
        <v>171</v>
      </c>
      <c r="C29" s="4">
        <f ca="1">_xlfn.NUMBERVALUE(VLOOKUP(VLOOKUP($B29,Key!$A$17:$B$28,2,FALSE),INDIRECT("'"&amp;C$18&amp;"'!"&amp;"$A$2:$C$23"),2,FALSE))</f>
        <v>93.6</v>
      </c>
      <c r="D29" s="4">
        <f ca="1">_xlfn.NUMBERVALUE(VLOOKUP(VLOOKUP($B29,Key!$A$17:$B$28,2,FALSE),INDIRECT("'"&amp;D$18&amp;"'!"&amp;"$A$2:$C$23"),2,FALSE))</f>
        <v>79.3</v>
      </c>
      <c r="E29" s="4">
        <f ca="1">_xlfn.NUMBERVALUE(VLOOKUP(VLOOKUP($B29,Key!$A$17:$B$28,2,FALSE),INDIRECT("'"&amp;E$18&amp;"'!"&amp;"$A$2:$C$23"),2,FALSE))</f>
        <v>92</v>
      </c>
      <c r="F29" s="4">
        <f ca="1">_xlfn.NUMBERVALUE(VLOOKUP(VLOOKUP($B29,Key!$A$17:$B$28,2,FALSE),INDIRECT("'"&amp;F$18&amp;"'!"&amp;"$A$2:$C$23"),2,FALSE))</f>
        <v>81</v>
      </c>
      <c r="G29" s="4">
        <f ca="1">_xlfn.NUMBERVALUE(VLOOKUP(VLOOKUP($B29,Key!$A$17:$B$28,2,FALSE),INDIRECT("'"&amp;G$18&amp;"'!"&amp;"$A$2:$C$23"),2,FALSE))</f>
        <v>103.9</v>
      </c>
      <c r="H29" s="4">
        <f ca="1">_xlfn.NUMBERVALUE(VLOOKUP(VLOOKUP($B29,Key!$A$17:$B$28,2,FALSE),INDIRECT("'"&amp;H$18&amp;"'!"&amp;"$A$2:$C$23"),2,FALSE))</f>
        <v>79.7</v>
      </c>
      <c r="I29" s="4">
        <f ca="1">_xlfn.NUMBERVALUE(VLOOKUP(VLOOKUP($B29,Key!$A$17:$B$28,2,FALSE),INDIRECT("'"&amp;I$18&amp;"'!"&amp;"$A$2:$C$23"),2,FALSE))</f>
        <v>105.8</v>
      </c>
      <c r="J29" s="4">
        <f ca="1">_xlfn.NUMBERVALUE(VLOOKUP(VLOOKUP($B29,Key!$A$17:$B$28,2,FALSE),INDIRECT("'"&amp;J$18&amp;"'!"&amp;"$A$2:$C$23"),2,FALSE))</f>
        <v>74.900000000000006</v>
      </c>
      <c r="K29" s="4">
        <f ca="1">_xlfn.NUMBERVALUE(VLOOKUP(VLOOKUP($B29,Key!$A$17:$B$28,2,FALSE),INDIRECT("'"&amp;K$18&amp;"'!"&amp;"$A$2:$C$23"),2,FALSE))</f>
        <v>90</v>
      </c>
      <c r="L29" s="4">
        <f ca="1">_xlfn.NUMBERVALUE(VLOOKUP(VLOOKUP($B29,Key!$A$17:$B$28,2,FALSE),INDIRECT("'"&amp;L$18&amp;"'!"&amp;"$A$2:$C$23"),2,FALSE))</f>
        <v>98.5</v>
      </c>
      <c r="M29" s="4">
        <f ca="1">_xlfn.NUMBERVALUE(VLOOKUP(VLOOKUP($B29,Key!$A$17:$B$28,2,FALSE),INDIRECT("'"&amp;M$18&amp;"'!"&amp;"$A$2:$C$23"),2,FALSE))</f>
        <v>103.8</v>
      </c>
      <c r="N29" s="4">
        <f ca="1">_xlfn.NUMBERVALUE(VLOOKUP(VLOOKUP($B29,Key!$A$17:$B$28,2,FALSE),INDIRECT("'"&amp;N$18&amp;"'!"&amp;"$A$2:$C$23"),2,FALSE))</f>
        <v>98.2</v>
      </c>
      <c r="O29" s="4">
        <f ca="1">_xlfn.NUMBERVALUE(VLOOKUP(VLOOKUP($B29,Key!$A$17:$B$28,2,FALSE),INDIRECT("'"&amp;O$18&amp;"'!"&amp;"$A$2:$C$23"),2,FALSE))</f>
        <v>139.1</v>
      </c>
      <c r="P29" s="4" t="str">
        <f ca="1">IFERROR(_xlfn.NUMBERVALUE(VLOOKUP(VLOOKUP($B29,Key!$A$17:$B$28,2,FALSE),INDIRECT("'"&amp;P$18&amp;"'!"&amp;"$A$2:$C$23"),2,FALSE)),"")</f>
        <v/>
      </c>
      <c r="Q29" s="4">
        <f ca="1">_xlfn.NUMBERVALUE(VLOOKUP(VLOOKUP($B29,Key!$A$17:$B$28,2,FALSE),INDIRECT("'"&amp;Q$18&amp;"'!"&amp;"$A$2:$C$23"),2,FALSE))</f>
        <v>93.8</v>
      </c>
      <c r="R29" s="4">
        <f ca="1">_xlfn.NUMBERVALUE(VLOOKUP(VLOOKUP($B29,Key!$A$17:$B$28,2,FALSE),INDIRECT("'"&amp;R$18&amp;"'!"&amp;"$A$2:$C$23"),2,FALSE))</f>
        <v>98.5</v>
      </c>
      <c r="S29" s="4">
        <f t="shared" ca="1" si="48"/>
        <v>139.1</v>
      </c>
      <c r="T29" s="4">
        <f t="shared" ca="1" si="49"/>
        <v>1239.7999999999997</v>
      </c>
      <c r="U29" s="4">
        <f t="shared" ca="1" si="50"/>
        <v>4</v>
      </c>
      <c r="V29" s="17">
        <f t="shared" ca="1" si="51"/>
        <v>-76.100000000000364</v>
      </c>
      <c r="W29" s="4">
        <f t="shared" ca="1" si="45"/>
        <v>192.3</v>
      </c>
      <c r="X29" s="5">
        <f t="shared" ca="1" si="46"/>
        <v>96.15</v>
      </c>
      <c r="Y29" s="4">
        <f t="shared" ca="1" si="47"/>
        <v>5</v>
      </c>
      <c r="Z29" s="17">
        <f t="shared" ca="1" si="52"/>
        <v>-38.516666666666652</v>
      </c>
    </row>
    <row r="30" spans="1:26" ht="16.25" thickTop="1" thickBot="1" x14ac:dyDescent="0.9">
      <c r="A30" s="4" t="s">
        <v>26</v>
      </c>
      <c r="B30" s="6" t="s">
        <v>172</v>
      </c>
      <c r="C30" s="4">
        <f ca="1">_xlfn.NUMBERVALUE(VLOOKUP(VLOOKUP($B30,Key!$A$17:$B$28,2,FALSE),INDIRECT("'"&amp;C$18&amp;"'!"&amp;"$A$2:$C$23"),2,FALSE))</f>
        <v>132.19999999999999</v>
      </c>
      <c r="D30" s="4">
        <f ca="1">_xlfn.NUMBERVALUE(VLOOKUP(VLOOKUP($B30,Key!$A$17:$B$28,2,FALSE),INDIRECT("'"&amp;D$18&amp;"'!"&amp;"$A$2:$C$23"),2,FALSE))</f>
        <v>85.3</v>
      </c>
      <c r="E30" s="4">
        <f ca="1">_xlfn.NUMBERVALUE(VLOOKUP(VLOOKUP($B30,Key!$A$17:$B$28,2,FALSE),INDIRECT("'"&amp;E$18&amp;"'!"&amp;"$A$2:$C$23"),2,FALSE))</f>
        <v>100.4</v>
      </c>
      <c r="F30" s="4">
        <f ca="1">_xlfn.NUMBERVALUE(VLOOKUP(VLOOKUP($B30,Key!$A$17:$B$28,2,FALSE),INDIRECT("'"&amp;F$18&amp;"'!"&amp;"$A$2:$C$23"),2,FALSE))</f>
        <v>97.8</v>
      </c>
      <c r="G30" s="4">
        <f ca="1">_xlfn.NUMBERVALUE(VLOOKUP(VLOOKUP($B30,Key!$A$17:$B$28,2,FALSE),INDIRECT("'"&amp;G$18&amp;"'!"&amp;"$A$2:$C$23"),2,FALSE))</f>
        <v>94.1</v>
      </c>
      <c r="H30" s="4">
        <f ca="1">_xlfn.NUMBERVALUE(VLOOKUP(VLOOKUP($B30,Key!$A$17:$B$28,2,FALSE),INDIRECT("'"&amp;H$18&amp;"'!"&amp;"$A$2:$C$23"),2,FALSE))</f>
        <v>57.1</v>
      </c>
      <c r="I30" s="4">
        <f ca="1">_xlfn.NUMBERVALUE(VLOOKUP(VLOOKUP($B30,Key!$A$17:$B$28,2,FALSE),INDIRECT("'"&amp;I$18&amp;"'!"&amp;"$A$2:$C$23"),2,FALSE))</f>
        <v>105.8</v>
      </c>
      <c r="J30" s="4">
        <f ca="1">_xlfn.NUMBERVALUE(VLOOKUP(VLOOKUP($B30,Key!$A$17:$B$28,2,FALSE),INDIRECT("'"&amp;J$18&amp;"'!"&amp;"$A$2:$C$23"),2,FALSE))</f>
        <v>114</v>
      </c>
      <c r="K30" s="4">
        <f ca="1">_xlfn.NUMBERVALUE(VLOOKUP(VLOOKUP($B30,Key!$A$17:$B$28,2,FALSE),INDIRECT("'"&amp;K$18&amp;"'!"&amp;"$A$2:$C$23"),2,FALSE))</f>
        <v>120.2</v>
      </c>
      <c r="L30" s="4">
        <f ca="1">_xlfn.NUMBERVALUE(VLOOKUP(VLOOKUP($B30,Key!$A$17:$B$28,2,FALSE),INDIRECT("'"&amp;L$18&amp;"'!"&amp;"$A$2:$C$23"),2,FALSE))</f>
        <v>79.8</v>
      </c>
      <c r="M30" s="4">
        <f ca="1">_xlfn.NUMBERVALUE(VLOOKUP(VLOOKUP($B30,Key!$A$17:$B$28,2,FALSE),INDIRECT("'"&amp;M$18&amp;"'!"&amp;"$A$2:$C$23"),2,FALSE))</f>
        <v>119.8</v>
      </c>
      <c r="N30" s="4">
        <f ca="1">_xlfn.NUMBERVALUE(VLOOKUP(VLOOKUP($B30,Key!$A$17:$B$28,2,FALSE),INDIRECT("'"&amp;N$18&amp;"'!"&amp;"$A$2:$C$23"),2,FALSE))</f>
        <v>103.9</v>
      </c>
      <c r="O30" s="4">
        <f ca="1">_xlfn.NUMBERVALUE(VLOOKUP(VLOOKUP($B30,Key!$A$17:$B$28,2,FALSE),INDIRECT("'"&amp;O$18&amp;"'!"&amp;"$A$2:$C$23"),2,FALSE))</f>
        <v>105.5</v>
      </c>
      <c r="P30" s="4" t="str">
        <f ca="1">IFERROR(_xlfn.NUMBERVALUE(VLOOKUP(VLOOKUP($B30,Key!$A$17:$B$28,2,FALSE),INDIRECT("'"&amp;P$18&amp;"'!"&amp;"$A$2:$C$23"),2,FALSE)),"")</f>
        <v/>
      </c>
      <c r="Q30" s="4">
        <f ca="1">_xlfn.NUMBERVALUE(VLOOKUP(VLOOKUP($B30,Key!$A$17:$B$28,2,FALSE),INDIRECT("'"&amp;Q$18&amp;"'!"&amp;"$A$2:$C$23"),2,FALSE))</f>
        <v>152.80000000000001</v>
      </c>
      <c r="R30" s="4">
        <f ca="1">_xlfn.NUMBERVALUE(VLOOKUP(VLOOKUP($B30,Key!$A$17:$B$28,2,FALSE),INDIRECT("'"&amp;R$18&amp;"'!"&amp;"$A$2:$C$23"),2,FALSE))</f>
        <v>102.8</v>
      </c>
      <c r="S30" s="4">
        <f t="shared" ca="1" si="48"/>
        <v>132.19999999999999</v>
      </c>
      <c r="T30" s="4">
        <f t="shared" ca="1" si="49"/>
        <v>1315.9</v>
      </c>
      <c r="U30" s="4">
        <f t="shared" ca="1" si="50"/>
        <v>1</v>
      </c>
      <c r="V30" s="17">
        <f t="shared" ca="1" si="51"/>
        <v>0</v>
      </c>
      <c r="W30" s="4">
        <f t="shared" ca="1" si="45"/>
        <v>255.60000000000002</v>
      </c>
      <c r="X30" s="5">
        <f t="shared" ca="1" si="46"/>
        <v>127.80000000000001</v>
      </c>
      <c r="Y30" s="4">
        <f t="shared" ca="1" si="47"/>
        <v>2</v>
      </c>
      <c r="Z30" s="17">
        <f t="shared" ca="1" si="52"/>
        <v>-6.8666666666666458</v>
      </c>
    </row>
    <row r="31" spans="1:26" ht="16.25" thickTop="1" thickBot="1" x14ac:dyDescent="0.9">
      <c r="A31" s="4" t="s">
        <v>28</v>
      </c>
      <c r="B31" s="6" t="s">
        <v>173</v>
      </c>
      <c r="C31" s="4">
        <f ca="1">_xlfn.NUMBERVALUE(VLOOKUP(VLOOKUP($B31,Key!$A$17:$B$28,2,FALSE),INDIRECT("'"&amp;C$18&amp;"'!"&amp;"$A$2:$C$23"),2,FALSE))</f>
        <v>83.3</v>
      </c>
      <c r="D31" s="4">
        <f ca="1">_xlfn.NUMBERVALUE(VLOOKUP(VLOOKUP($B31,Key!$A$17:$B$28,2,FALSE),INDIRECT("'"&amp;D$18&amp;"'!"&amp;"$A$2:$C$23"),2,FALSE))</f>
        <v>112</v>
      </c>
      <c r="E31" s="4">
        <f ca="1">_xlfn.NUMBERVALUE(VLOOKUP(VLOOKUP($B31,Key!$A$17:$B$28,2,FALSE),INDIRECT("'"&amp;E$18&amp;"'!"&amp;"$A$2:$C$23"),2,FALSE))</f>
        <v>80.2</v>
      </c>
      <c r="F31" s="4">
        <f ca="1">_xlfn.NUMBERVALUE(VLOOKUP(VLOOKUP($B31,Key!$A$17:$B$28,2,FALSE),INDIRECT("'"&amp;F$18&amp;"'!"&amp;"$A$2:$C$23"),2,FALSE))</f>
        <v>78.7</v>
      </c>
      <c r="G31" s="4">
        <f ca="1">_xlfn.NUMBERVALUE(VLOOKUP(VLOOKUP($B31,Key!$A$17:$B$28,2,FALSE),INDIRECT("'"&amp;G$18&amp;"'!"&amp;"$A$2:$C$23"),2,FALSE))</f>
        <v>105.5</v>
      </c>
      <c r="H31" s="4">
        <f ca="1">_xlfn.NUMBERVALUE(VLOOKUP(VLOOKUP($B31,Key!$A$17:$B$28,2,FALSE),INDIRECT("'"&amp;H$18&amp;"'!"&amp;"$A$2:$C$23"),2,FALSE))</f>
        <v>112.6</v>
      </c>
      <c r="I31" s="4">
        <f ca="1">_xlfn.NUMBERVALUE(VLOOKUP(VLOOKUP($B31,Key!$A$17:$B$28,2,FALSE),INDIRECT("'"&amp;I$18&amp;"'!"&amp;"$A$2:$C$23"),2,FALSE))</f>
        <v>47.4</v>
      </c>
      <c r="J31" s="4">
        <f ca="1">_xlfn.NUMBERVALUE(VLOOKUP(VLOOKUP($B31,Key!$A$17:$B$28,2,FALSE),INDIRECT("'"&amp;J$18&amp;"'!"&amp;"$A$2:$C$23"),2,FALSE))</f>
        <v>84.2</v>
      </c>
      <c r="K31" s="4">
        <f ca="1">_xlfn.NUMBERVALUE(VLOOKUP(VLOOKUP($B31,Key!$A$17:$B$28,2,FALSE),INDIRECT("'"&amp;K$18&amp;"'!"&amp;"$A$2:$C$23"),2,FALSE))</f>
        <v>83.8</v>
      </c>
      <c r="L31" s="4">
        <f ca="1">_xlfn.NUMBERVALUE(VLOOKUP(VLOOKUP($B31,Key!$A$17:$B$28,2,FALSE),INDIRECT("'"&amp;L$18&amp;"'!"&amp;"$A$2:$C$23"),2,FALSE))</f>
        <v>104.9</v>
      </c>
      <c r="M31" s="4">
        <f ca="1">_xlfn.NUMBERVALUE(VLOOKUP(VLOOKUP($B31,Key!$A$17:$B$28,2,FALSE),INDIRECT("'"&amp;M$18&amp;"'!"&amp;"$A$2:$C$23"),2,FALSE))</f>
        <v>74.8</v>
      </c>
      <c r="N31" s="4">
        <f ca="1">_xlfn.NUMBERVALUE(VLOOKUP(VLOOKUP($B31,Key!$A$17:$B$28,2,FALSE),INDIRECT("'"&amp;N$18&amp;"'!"&amp;"$A$2:$C$23"),2,FALSE))</f>
        <v>92.3</v>
      </c>
      <c r="O31" s="4">
        <f ca="1">_xlfn.NUMBERVALUE(VLOOKUP(VLOOKUP($B31,Key!$A$17:$B$28,2,FALSE),INDIRECT("'"&amp;O$18&amp;"'!"&amp;"$A$2:$C$23"),2,FALSE))</f>
        <v>94</v>
      </c>
      <c r="P31" s="4">
        <f ca="1">_xlfn.NUMBERVALUE(VLOOKUP(VLOOKUP($B31,Key!$A$17:$B$28,2,FALSE),INDIRECT("'"&amp;P$18&amp;"'!"&amp;"$A$2:$C$23"),2,FALSE))</f>
        <v>71.2</v>
      </c>
      <c r="Q31" s="4">
        <f ca="1">_xlfn.NUMBERVALUE(VLOOKUP(VLOOKUP($B31,Key!$A$17:$B$28,2,FALSE),INDIRECT("'"&amp;Q$18&amp;"'!"&amp;"$A$2:$C$23"),2,FALSE))</f>
        <v>73.900000000000006</v>
      </c>
      <c r="R31" s="4">
        <f ca="1">_xlfn.NUMBERVALUE(VLOOKUP(VLOOKUP($B31,Key!$A$17:$B$28,2,FALSE),INDIRECT("'"&amp;R$18&amp;"'!"&amp;"$A$2:$C$23"),2,FALSE))</f>
        <v>99</v>
      </c>
      <c r="S31" s="4">
        <f t="shared" ca="1" si="48"/>
        <v>112.6</v>
      </c>
      <c r="T31" s="4">
        <f t="shared" ca="1" si="49"/>
        <v>1153.6999999999998</v>
      </c>
      <c r="U31" s="4">
        <f t="shared" ca="1" si="50"/>
        <v>10</v>
      </c>
      <c r="V31" s="17">
        <f t="shared" ca="1" si="51"/>
        <v>-162.20000000000027</v>
      </c>
      <c r="W31" s="4">
        <f t="shared" ca="1" si="45"/>
        <v>244.10000000000002</v>
      </c>
      <c r="X31" s="5">
        <f t="shared" ca="1" si="46"/>
        <v>81.366666666666674</v>
      </c>
      <c r="Y31" s="4">
        <f t="shared" ca="1" si="47"/>
        <v>10</v>
      </c>
      <c r="Z31" s="17">
        <f t="shared" ca="1" si="52"/>
        <v>-53.299999999999983</v>
      </c>
    </row>
    <row r="32" spans="1:26" ht="15.5" thickTop="1" x14ac:dyDescent="0.75">
      <c r="T32" s="12">
        <f ca="1">AVERAGE(T20:T31)/13</f>
        <v>92.897435897435898</v>
      </c>
    </row>
    <row r="33" spans="1:11" ht="15.5" thickBot="1" x14ac:dyDescent="0.9"/>
    <row r="34" spans="1:11" ht="16.25" thickTop="1" thickBot="1" x14ac:dyDescent="0.9">
      <c r="C34" s="18" t="s">
        <v>228</v>
      </c>
      <c r="D34" s="19"/>
      <c r="E34" s="20"/>
      <c r="F34" s="18" t="s">
        <v>229</v>
      </c>
      <c r="G34" s="19"/>
      <c r="H34" s="20"/>
      <c r="I34" s="18" t="s">
        <v>230</v>
      </c>
      <c r="J34" s="19"/>
      <c r="K34" s="20"/>
    </row>
    <row r="35" spans="1:11" ht="16.25" thickTop="1" thickBot="1" x14ac:dyDescent="0.9">
      <c r="A35" s="4" t="s">
        <v>161</v>
      </c>
      <c r="B35" s="4" t="s">
        <v>174</v>
      </c>
      <c r="C35" s="4" t="s">
        <v>176</v>
      </c>
      <c r="D35" s="4" t="s">
        <v>177</v>
      </c>
      <c r="E35" s="4" t="s">
        <v>178</v>
      </c>
      <c r="F35" s="4" t="s">
        <v>176</v>
      </c>
      <c r="G35" s="4" t="s">
        <v>177</v>
      </c>
      <c r="H35" s="4" t="s">
        <v>178</v>
      </c>
      <c r="I35" s="4" t="s">
        <v>176</v>
      </c>
      <c r="J35" s="4" t="s">
        <v>177</v>
      </c>
      <c r="K35" s="4" t="s">
        <v>178</v>
      </c>
    </row>
    <row r="36" spans="1:11" ht="16.25" thickTop="1" thickBot="1" x14ac:dyDescent="0.9">
      <c r="A36" s="4" t="s">
        <v>1</v>
      </c>
      <c r="B36" s="4" t="s">
        <v>162</v>
      </c>
      <c r="C36" s="4" t="str">
        <f t="shared" ref="C36:C47" ca="1" si="53">IFERROR(VLOOKUP(VLOOKUP($A3,INDIRECT("'"&amp;C$34&amp;"'!"&amp;"$A$2:$C$23"),3,FALSE),$A$3:$B$14,2,FALSE),"")</f>
        <v>Steve</v>
      </c>
      <c r="D36" s="5">
        <f ca="1">IFERROR(_xlfn.NUMBERVALUE(VLOOKUP(VLOOKUP(C36,Key!$A$17:$B$28,2,FALSE),INDIRECT("'"&amp;C$34&amp;"'!"&amp;"$A$2:$C$23"),2,FALSE)),"")</f>
        <v>80.8</v>
      </c>
      <c r="E36" s="4">
        <f t="shared" ref="E36:E47" ca="1" si="54">IF(D36&lt;&gt;"",_xlfn.RANK.EQ(D36,D$36:D$47,0),"")</f>
        <v>9</v>
      </c>
      <c r="F36" s="4" t="str">
        <f t="shared" ref="F36:F47" ca="1" si="55">VLOOKUP(VLOOKUP($A3,INDIRECT("'"&amp;F$34&amp;"'!"&amp;"$A$2:$C$23"),3,FALSE),$A$3:$B$14,2,FALSE)</f>
        <v>Sara</v>
      </c>
      <c r="G36" s="5">
        <f ca="1">_xlfn.NUMBERVALUE(VLOOKUP(VLOOKUP(F36,Key!$A$17:$B$28,2,FALSE),INDIRECT("'"&amp;F$34&amp;"'!"&amp;"$A$2:$C$23"),2,FALSE))</f>
        <v>88.6</v>
      </c>
      <c r="H36" s="4">
        <f t="shared" ref="H36:H47" ca="1" si="56">_xlfn.RANK.EQ(G36,G$36:G$47,0)</f>
        <v>7</v>
      </c>
      <c r="I36" s="4" t="str">
        <f t="shared" ref="I36:I47" ca="1" si="57">VLOOKUP(VLOOKUP($A3,INDIRECT("'"&amp;I$34&amp;"'!"&amp;"$A$2:$C$23"),3,FALSE),$A$3:$B$14,2,FALSE)</f>
        <v>Catina</v>
      </c>
      <c r="J36" s="5">
        <f ca="1">_xlfn.NUMBERVALUE(VLOOKUP(VLOOKUP(I36,Key!$A$17:$B$28,2,FALSE),INDIRECT("'"&amp;I$34&amp;"'!"&amp;"$A$2:$C$23"),2,FALSE))</f>
        <v>163.1</v>
      </c>
      <c r="K36" s="4">
        <f t="shared" ref="K36:K47" ca="1" si="58">_xlfn.RANK.EQ(J36,J$36:J$47,0)</f>
        <v>1</v>
      </c>
    </row>
    <row r="37" spans="1:11" ht="16.25" thickTop="1" thickBot="1" x14ac:dyDescent="0.9">
      <c r="A37" s="4" t="s">
        <v>3</v>
      </c>
      <c r="B37" s="4" t="s">
        <v>163</v>
      </c>
      <c r="C37" s="4" t="str">
        <f t="shared" ca="1" si="53"/>
        <v>Sam</v>
      </c>
      <c r="D37" s="5">
        <f ca="1">IFERROR(_xlfn.NUMBERVALUE(VLOOKUP(VLOOKUP(C37,Key!$A$17:$B$28,2,FALSE),INDIRECT("'"&amp;C$34&amp;"'!"&amp;"$A$2:$C$23"),2,FALSE)),"")</f>
        <v>112.7</v>
      </c>
      <c r="E37" s="4">
        <f t="shared" ca="1" si="54"/>
        <v>2</v>
      </c>
      <c r="F37" s="4" t="str">
        <f t="shared" ca="1" si="55"/>
        <v>Tres</v>
      </c>
      <c r="G37" s="5">
        <f ca="1">_xlfn.NUMBERVALUE(VLOOKUP(VLOOKUP(F37,Key!$A$17:$B$28,2,FALSE),INDIRECT("'"&amp;F$34&amp;"'!"&amp;"$A$2:$C$23"),2,FALSE))</f>
        <v>94.5</v>
      </c>
      <c r="H37" s="4">
        <f t="shared" ca="1" si="56"/>
        <v>4</v>
      </c>
      <c r="I37" s="4" t="str">
        <f t="shared" ca="1" si="57"/>
        <v>Steve</v>
      </c>
      <c r="J37" s="5">
        <f ca="1">_xlfn.NUMBERVALUE(VLOOKUP(VLOOKUP(I37,Key!$A$17:$B$28,2,FALSE),INDIRECT("'"&amp;I$34&amp;"'!"&amp;"$A$2:$C$23"),2,FALSE))</f>
        <v>82.1</v>
      </c>
      <c r="K37" s="4">
        <f t="shared" ca="1" si="58"/>
        <v>8</v>
      </c>
    </row>
    <row r="38" spans="1:11" ht="16.25" thickTop="1" thickBot="1" x14ac:dyDescent="0.9">
      <c r="A38" s="4" t="s">
        <v>6</v>
      </c>
      <c r="B38" s="4" t="s">
        <v>164</v>
      </c>
      <c r="C38" s="4" t="str">
        <f t="shared" ca="1" si="53"/>
        <v>Sara</v>
      </c>
      <c r="D38" s="5">
        <f ca="1">IFERROR(_xlfn.NUMBERVALUE(VLOOKUP(VLOOKUP(C38,Key!$A$17:$B$28,2,FALSE),INDIRECT("'"&amp;C$34&amp;"'!"&amp;"$A$2:$C$23"),2,FALSE)),"")</f>
        <v>96</v>
      </c>
      <c r="E38" s="4">
        <f t="shared" ca="1" si="54"/>
        <v>6</v>
      </c>
      <c r="F38" s="4" t="str">
        <f t="shared" ca="1" si="55"/>
        <v>Catina</v>
      </c>
      <c r="G38" s="5">
        <f ca="1">_xlfn.NUMBERVALUE(VLOOKUP(VLOOKUP(F38,Key!$A$17:$B$28,2,FALSE),INDIRECT("'"&amp;F$34&amp;"'!"&amp;"$A$2:$C$23"),2,FALSE))</f>
        <v>138.30000000000001</v>
      </c>
      <c r="H38" s="4">
        <f t="shared" ca="1" si="56"/>
        <v>2</v>
      </c>
      <c r="I38" s="4" t="str">
        <f t="shared" ca="1" si="57"/>
        <v>Binder</v>
      </c>
      <c r="J38" s="5">
        <f ca="1">_xlfn.NUMBERVALUE(VLOOKUP(VLOOKUP(I38,Key!$A$17:$B$28,2,FALSE),INDIRECT("'"&amp;I$34&amp;"'!"&amp;"$A$2:$C$23"),2,FALSE))</f>
        <v>99</v>
      </c>
      <c r="K38" s="4">
        <f t="shared" ca="1" si="58"/>
        <v>5</v>
      </c>
    </row>
    <row r="39" spans="1:11" ht="16.25" thickTop="1" thickBot="1" x14ac:dyDescent="0.9">
      <c r="A39" s="4" t="s">
        <v>8</v>
      </c>
      <c r="B39" s="4" t="s">
        <v>165</v>
      </c>
      <c r="C39" s="4" t="str">
        <f t="shared" ca="1" si="53"/>
        <v>Binder</v>
      </c>
      <c r="D39" s="5">
        <f ca="1">IFERROR(_xlfn.NUMBERVALUE(VLOOKUP(VLOOKUP(C39,Key!$A$17:$B$28,2,FALSE),INDIRECT("'"&amp;C$34&amp;"'!"&amp;"$A$2:$C$23"),2,FALSE)),"")</f>
        <v>71.2</v>
      </c>
      <c r="E39" s="4">
        <f t="shared" ca="1" si="54"/>
        <v>10</v>
      </c>
      <c r="F39" s="4" t="str">
        <f t="shared" ca="1" si="55"/>
        <v>Sam</v>
      </c>
      <c r="G39" s="5">
        <f ca="1">_xlfn.NUMBERVALUE(VLOOKUP(VLOOKUP(F39,Key!$A$17:$B$28,2,FALSE),INDIRECT("'"&amp;F$34&amp;"'!"&amp;"$A$2:$C$23"),2,FALSE))</f>
        <v>82.9</v>
      </c>
      <c r="H39" s="4">
        <f t="shared" ca="1" si="56"/>
        <v>9</v>
      </c>
      <c r="I39" s="4" t="str">
        <f t="shared" ca="1" si="57"/>
        <v>Tres</v>
      </c>
      <c r="J39" s="5">
        <f ca="1">_xlfn.NUMBERVALUE(VLOOKUP(VLOOKUP(I39,Key!$A$17:$B$28,2,FALSE),INDIRECT("'"&amp;I$34&amp;"'!"&amp;"$A$2:$C$23"),2,FALSE))</f>
        <v>62.2</v>
      </c>
      <c r="K39" s="4">
        <f t="shared" ca="1" si="58"/>
        <v>12</v>
      </c>
    </row>
    <row r="40" spans="1:11" ht="16.25" thickTop="1" thickBot="1" x14ac:dyDescent="0.9">
      <c r="A40" s="4" t="s">
        <v>11</v>
      </c>
      <c r="B40" s="4" t="s">
        <v>166</v>
      </c>
      <c r="C40" s="4" t="str">
        <f t="shared" ca="1" si="53"/>
        <v>Jesse</v>
      </c>
      <c r="D40" s="5">
        <f ca="1">IFERROR(_xlfn.NUMBERVALUE(VLOOKUP(VLOOKUP(C40,Key!$A$17:$B$28,2,FALSE),INDIRECT("'"&amp;C$34&amp;"'!"&amp;"$A$2:$C$23"),2,FALSE)),"")</f>
        <v>108.1</v>
      </c>
      <c r="E40" s="4">
        <f t="shared" ca="1" si="54"/>
        <v>3</v>
      </c>
      <c r="F40" s="4" t="str">
        <f t="shared" ca="1" si="55"/>
        <v>Cody</v>
      </c>
      <c r="G40" s="5">
        <f ca="1">_xlfn.NUMBERVALUE(VLOOKUP(VLOOKUP(F40,Key!$A$17:$B$28,2,FALSE),INDIRECT("'"&amp;F$34&amp;"'!"&amp;"$A$2:$C$23"),2,FALSE))</f>
        <v>85.2</v>
      </c>
      <c r="H40" s="4">
        <f t="shared" ca="1" si="56"/>
        <v>8</v>
      </c>
      <c r="I40" s="4" t="str">
        <f t="shared" ca="1" si="57"/>
        <v>Cody</v>
      </c>
      <c r="J40" s="5">
        <f ca="1">_xlfn.NUMBERVALUE(VLOOKUP(VLOOKUP(I40,Key!$A$17:$B$28,2,FALSE),INDIRECT("'"&amp;I$34&amp;"'!"&amp;"$A$2:$C$23"),2,FALSE))</f>
        <v>108.5</v>
      </c>
      <c r="K40" s="4">
        <f t="shared" ca="1" si="58"/>
        <v>2</v>
      </c>
    </row>
    <row r="41" spans="1:11" ht="16.25" thickTop="1" thickBot="1" x14ac:dyDescent="0.9">
      <c r="A41" s="4" t="s">
        <v>13</v>
      </c>
      <c r="B41" s="4" t="s">
        <v>167</v>
      </c>
      <c r="C41" s="4" t="str">
        <f t="shared" ca="1" si="53"/>
        <v>Cody</v>
      </c>
      <c r="D41" s="5">
        <f ca="1">IFERROR(_xlfn.NUMBERVALUE(VLOOKUP(VLOOKUP(C41,Key!$A$17:$B$28,2,FALSE),INDIRECT("'"&amp;C$34&amp;"'!"&amp;"$A$2:$C$23"),2,FALSE)),"")</f>
        <v>88.6</v>
      </c>
      <c r="E41" s="4">
        <f t="shared" ca="1" si="54"/>
        <v>8</v>
      </c>
      <c r="F41" s="4" t="str">
        <f t="shared" ca="1" si="55"/>
        <v>Nicole</v>
      </c>
      <c r="G41" s="5">
        <f ca="1">_xlfn.NUMBERVALUE(VLOOKUP(VLOOKUP(F41,Key!$A$17:$B$28,2,FALSE),INDIRECT("'"&amp;F$34&amp;"'!"&amp;"$A$2:$C$23"),2,FALSE))</f>
        <v>93.8</v>
      </c>
      <c r="H41" s="4">
        <f t="shared" ca="1" si="56"/>
        <v>6</v>
      </c>
      <c r="I41" s="4" t="str">
        <f t="shared" ca="1" si="57"/>
        <v>Ed</v>
      </c>
      <c r="J41" s="5">
        <f ca="1">_xlfn.NUMBERVALUE(VLOOKUP(VLOOKUP(I41,Key!$A$17:$B$28,2,FALSE),INDIRECT("'"&amp;I$34&amp;"'!"&amp;"$A$2:$C$23"),2,FALSE))</f>
        <v>102.8</v>
      </c>
      <c r="K41" s="4">
        <f t="shared" ca="1" si="58"/>
        <v>4</v>
      </c>
    </row>
    <row r="42" spans="1:11" ht="16.25" thickTop="1" thickBot="1" x14ac:dyDescent="0.9">
      <c r="A42" s="4" t="s">
        <v>16</v>
      </c>
      <c r="B42" s="4" t="s">
        <v>168</v>
      </c>
      <c r="C42" s="4" t="str">
        <f t="shared" ca="1" si="53"/>
        <v>Jake</v>
      </c>
      <c r="D42" s="5">
        <f ca="1">IFERROR(_xlfn.NUMBERVALUE(VLOOKUP(VLOOKUP(C42,Key!$A$17:$B$28,2,FALSE),INDIRECT("'"&amp;C$34&amp;"'!"&amp;"$A$2:$C$23"),2,FALSE)),"")</f>
        <v>104.3</v>
      </c>
      <c r="E42" s="4">
        <f t="shared" ca="1" si="54"/>
        <v>4</v>
      </c>
      <c r="F42" s="4" t="str">
        <f t="shared" ca="1" si="55"/>
        <v>Dave</v>
      </c>
      <c r="G42" s="5">
        <f ca="1">_xlfn.NUMBERVALUE(VLOOKUP(VLOOKUP(F42,Key!$A$17:$B$28,2,FALSE),INDIRECT("'"&amp;F$34&amp;"'!"&amp;"$A$2:$C$23"),2,FALSE))</f>
        <v>75.599999999999994</v>
      </c>
      <c r="H42" s="4">
        <f t="shared" ca="1" si="56"/>
        <v>10</v>
      </c>
      <c r="I42" s="4" t="str">
        <f t="shared" ca="1" si="57"/>
        <v>Dave</v>
      </c>
      <c r="J42" s="5">
        <f ca="1">_xlfn.NUMBERVALUE(VLOOKUP(VLOOKUP(I42,Key!$A$17:$B$28,2,FALSE),INDIRECT("'"&amp;I$34&amp;"'!"&amp;"$A$2:$C$23"),2,FALSE))</f>
        <v>70.3</v>
      </c>
      <c r="K42" s="4">
        <f t="shared" ca="1" si="58"/>
        <v>10</v>
      </c>
    </row>
    <row r="43" spans="1:11" ht="16.25" thickTop="1" thickBot="1" x14ac:dyDescent="0.9">
      <c r="A43" s="4" t="s">
        <v>18</v>
      </c>
      <c r="B43" s="4" t="s">
        <v>169</v>
      </c>
      <c r="C43" s="4" t="str">
        <f t="shared" ca="1" si="53"/>
        <v>Dave</v>
      </c>
      <c r="D43" s="5">
        <f ca="1">IFERROR(_xlfn.NUMBERVALUE(VLOOKUP(VLOOKUP(C43,Key!$A$17:$B$28,2,FALSE),INDIRECT("'"&amp;C$34&amp;"'!"&amp;"$A$2:$C$23"),2,FALSE)),"")</f>
        <v>92.6</v>
      </c>
      <c r="E43" s="4">
        <f t="shared" ca="1" si="54"/>
        <v>7</v>
      </c>
      <c r="F43" s="4" t="str">
        <f t="shared" ca="1" si="55"/>
        <v>Ed</v>
      </c>
      <c r="G43" s="5">
        <f ca="1">_xlfn.NUMBERVALUE(VLOOKUP(VLOOKUP(F43,Key!$A$17:$B$28,2,FALSE),INDIRECT("'"&amp;F$34&amp;"'!"&amp;"$A$2:$C$23"),2,FALSE))</f>
        <v>152.80000000000001</v>
      </c>
      <c r="H43" s="4">
        <f t="shared" ca="1" si="56"/>
        <v>1</v>
      </c>
      <c r="I43" s="4" t="str">
        <f t="shared" ca="1" si="57"/>
        <v>Nicole</v>
      </c>
      <c r="J43" s="5">
        <f ca="1">_xlfn.NUMBERVALUE(VLOOKUP(VLOOKUP(I43,Key!$A$17:$B$28,2,FALSE),INDIRECT("'"&amp;I$34&amp;"'!"&amp;"$A$2:$C$23"),2,FALSE))</f>
        <v>98.5</v>
      </c>
      <c r="K43" s="4">
        <f t="shared" ca="1" si="58"/>
        <v>6</v>
      </c>
    </row>
    <row r="44" spans="1:11" ht="16.25" thickTop="1" thickBot="1" x14ac:dyDescent="0.9">
      <c r="A44" s="4" t="s">
        <v>21</v>
      </c>
      <c r="B44" s="4" t="s">
        <v>170</v>
      </c>
      <c r="C44" s="4" t="str">
        <f t="shared" ca="1" si="53"/>
        <v>Tres</v>
      </c>
      <c r="D44" s="5">
        <f ca="1">IFERROR(_xlfn.NUMBERVALUE(VLOOKUP(VLOOKUP(C44,Key!$A$17:$B$28,2,FALSE),INDIRECT("'"&amp;C$34&amp;"'!"&amp;"$A$2:$C$23"),2,FALSE)),"")</f>
        <v>118.8</v>
      </c>
      <c r="E44" s="4">
        <f t="shared" ca="1" si="54"/>
        <v>1</v>
      </c>
      <c r="F44" s="4" t="str">
        <f t="shared" ca="1" si="55"/>
        <v>Binder</v>
      </c>
      <c r="G44" s="5">
        <f ca="1">_xlfn.NUMBERVALUE(VLOOKUP(VLOOKUP(F44,Key!$A$17:$B$28,2,FALSE),INDIRECT("'"&amp;F$34&amp;"'!"&amp;"$A$2:$C$23"),2,FALSE))</f>
        <v>73.900000000000006</v>
      </c>
      <c r="H44" s="4">
        <f t="shared" ca="1" si="56"/>
        <v>11</v>
      </c>
      <c r="I44" s="4" t="str">
        <f t="shared" ca="1" si="57"/>
        <v>Sara</v>
      </c>
      <c r="J44" s="5">
        <f ca="1">_xlfn.NUMBERVALUE(VLOOKUP(VLOOKUP(I44,Key!$A$17:$B$28,2,FALSE),INDIRECT("'"&amp;I$34&amp;"'!"&amp;"$A$2:$C$23"),2,FALSE))</f>
        <v>107.3</v>
      </c>
      <c r="K44" s="4">
        <f t="shared" ca="1" si="58"/>
        <v>3</v>
      </c>
    </row>
    <row r="45" spans="1:11" ht="16.25" thickTop="1" thickBot="1" x14ac:dyDescent="0.9">
      <c r="A45" s="4" t="s">
        <v>23</v>
      </c>
      <c r="B45" s="4" t="s">
        <v>171</v>
      </c>
      <c r="C45" s="4" t="str">
        <f t="shared" ca="1" si="53"/>
        <v/>
      </c>
      <c r="D45" s="5" t="str">
        <f ca="1">IFERROR(_xlfn.NUMBERVALUE(VLOOKUP(VLOOKUP(C45,Key!$A$17:$B$28,2,FALSE),INDIRECT("'"&amp;C$34&amp;"'!"&amp;"$A$2:$C$23"),2,FALSE)),"")</f>
        <v/>
      </c>
      <c r="E45" s="4" t="str">
        <f t="shared" ca="1" si="54"/>
        <v/>
      </c>
      <c r="F45" s="4" t="str">
        <f t="shared" ca="1" si="55"/>
        <v>Jake</v>
      </c>
      <c r="G45" s="5">
        <f ca="1">_xlfn.NUMBERVALUE(VLOOKUP(VLOOKUP(F45,Key!$A$17:$B$28,2,FALSE),INDIRECT("'"&amp;F$34&amp;"'!"&amp;"$A$2:$C$23"),2,FALSE))</f>
        <v>94</v>
      </c>
      <c r="H45" s="4">
        <f t="shared" ca="1" si="56"/>
        <v>5</v>
      </c>
      <c r="I45" s="4" t="str">
        <f t="shared" ca="1" si="57"/>
        <v>Jesse</v>
      </c>
      <c r="J45" s="5">
        <f ca="1">_xlfn.NUMBERVALUE(VLOOKUP(VLOOKUP(I45,Key!$A$17:$B$28,2,FALSE),INDIRECT("'"&amp;I$34&amp;"'!"&amp;"$A$2:$C$23"),2,FALSE))</f>
        <v>86.9</v>
      </c>
      <c r="K45" s="4">
        <f t="shared" ca="1" si="58"/>
        <v>7</v>
      </c>
    </row>
    <row r="46" spans="1:11" ht="16.25" thickTop="1" thickBot="1" x14ac:dyDescent="0.9">
      <c r="A46" s="4" t="s">
        <v>26</v>
      </c>
      <c r="B46" s="4" t="s">
        <v>172</v>
      </c>
      <c r="C46" s="4" t="str">
        <f t="shared" ca="1" si="53"/>
        <v/>
      </c>
      <c r="D46" s="5" t="str">
        <f ca="1">IFERROR(_xlfn.NUMBERVALUE(VLOOKUP(VLOOKUP(C46,Key!$A$17:$B$28,2,FALSE),INDIRECT("'"&amp;C$34&amp;"'!"&amp;"$A$2:$C$23"),2,FALSE)),"")</f>
        <v/>
      </c>
      <c r="E46" s="4" t="str">
        <f t="shared" ca="1" si="54"/>
        <v/>
      </c>
      <c r="F46" s="4" t="str">
        <f t="shared" ca="1" si="55"/>
        <v>Jesse</v>
      </c>
      <c r="G46" s="5">
        <f ca="1">_xlfn.NUMBERVALUE(VLOOKUP(VLOOKUP(F46,Key!$A$17:$B$28,2,FALSE),INDIRECT("'"&amp;F$34&amp;"'!"&amp;"$A$2:$C$23"),2,FALSE))</f>
        <v>96.4</v>
      </c>
      <c r="H46" s="4">
        <f t="shared" ca="1" si="56"/>
        <v>3</v>
      </c>
      <c r="I46" s="4" t="str">
        <f t="shared" ca="1" si="57"/>
        <v>Jake</v>
      </c>
      <c r="J46" s="5">
        <f ca="1">_xlfn.NUMBERVALUE(VLOOKUP(VLOOKUP(I46,Key!$A$17:$B$28,2,FALSE),INDIRECT("'"&amp;I$34&amp;"'!"&amp;"$A$2:$C$23"),2,FALSE))</f>
        <v>62.9</v>
      </c>
      <c r="K46" s="4">
        <f t="shared" ca="1" si="58"/>
        <v>11</v>
      </c>
    </row>
    <row r="47" spans="1:11" ht="16.25" thickTop="1" thickBot="1" x14ac:dyDescent="0.9">
      <c r="A47" s="4" t="s">
        <v>28</v>
      </c>
      <c r="B47" s="4" t="s">
        <v>173</v>
      </c>
      <c r="C47" s="4" t="str">
        <f t="shared" ca="1" si="53"/>
        <v>Catina</v>
      </c>
      <c r="D47" s="5">
        <f ca="1">IFERROR(_xlfn.NUMBERVALUE(VLOOKUP(VLOOKUP(C47,Key!$A$17:$B$28,2,FALSE),INDIRECT("'"&amp;C$34&amp;"'!"&amp;"$A$2:$C$23"),2,FALSE)),"")</f>
        <v>102.6</v>
      </c>
      <c r="E47" s="4">
        <f t="shared" ca="1" si="54"/>
        <v>5</v>
      </c>
      <c r="F47" s="4" t="str">
        <f t="shared" ca="1" si="55"/>
        <v>Steve</v>
      </c>
      <c r="G47" s="5">
        <f ca="1">_xlfn.NUMBERVALUE(VLOOKUP(VLOOKUP(F47,Key!$A$17:$B$28,2,FALSE),INDIRECT("'"&amp;F$34&amp;"'!"&amp;"$A$2:$C$23"),2,FALSE))</f>
        <v>69.5</v>
      </c>
      <c r="H47" s="4">
        <f t="shared" ca="1" si="56"/>
        <v>12</v>
      </c>
      <c r="I47" s="4" t="str">
        <f t="shared" ca="1" si="57"/>
        <v>Sam</v>
      </c>
      <c r="J47" s="5">
        <f ca="1">_xlfn.NUMBERVALUE(VLOOKUP(VLOOKUP(I47,Key!$A$17:$B$28,2,FALSE),INDIRECT("'"&amp;I$34&amp;"'!"&amp;"$A$2:$C$23"),2,FALSE))</f>
        <v>77.099999999999994</v>
      </c>
      <c r="K47" s="4">
        <f t="shared" ca="1" si="58"/>
        <v>9</v>
      </c>
    </row>
    <row r="48" spans="1:11" ht="15.5" thickTop="1" x14ac:dyDescent="0.75">
      <c r="C48"/>
      <c r="D48" s="3">
        <f ca="1">AVERAGE(D36:D47)</f>
        <v>97.57</v>
      </c>
      <c r="G48" s="3">
        <f ca="1">AVERAGE(G36:G47)</f>
        <v>95.458333333333329</v>
      </c>
      <c r="J48" s="3">
        <f ca="1">AVERAGE(J36:J47)</f>
        <v>93.391666666666652</v>
      </c>
    </row>
  </sheetData>
  <mergeCells count="20">
    <mergeCell ref="F34:H34"/>
    <mergeCell ref="I34:K34"/>
    <mergeCell ref="C1:E1"/>
    <mergeCell ref="C34:E34"/>
    <mergeCell ref="AY1:BC1"/>
    <mergeCell ref="AJ1:AL1"/>
    <mergeCell ref="AM1:AO1"/>
    <mergeCell ref="F1:H1"/>
    <mergeCell ref="I1:K1"/>
    <mergeCell ref="L1:N1"/>
    <mergeCell ref="O1:Q1"/>
    <mergeCell ref="R1:T1"/>
    <mergeCell ref="U1:W1"/>
    <mergeCell ref="X1:Z1"/>
    <mergeCell ref="AA1:AC1"/>
    <mergeCell ref="AD1:AF1"/>
    <mergeCell ref="AG1:AI1"/>
    <mergeCell ref="AP1:AR1"/>
    <mergeCell ref="AS1:AU1"/>
    <mergeCell ref="AV1:AX1"/>
  </mergeCells>
  <conditionalFormatting sqref="E3:E14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4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4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4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4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4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14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4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4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3:AF14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14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L3:AL14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4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3:AY14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A3:BA15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Z3:AZ14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3:BC3 BB4:BB15 BC4:BC16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D3:BD14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E3:BE14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F3:BF14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G3:BG14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0:C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D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0:E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0:F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0:G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0:H3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0:I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0:J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0:K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0:L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0:M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0:N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0:O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47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6:H47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6:K47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20:P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20:Q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0:R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0:T32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9:S31 Z19 T19:U19 W19:X19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20:U31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1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20:Y31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20:X3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3:AR14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U3:AU14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X3:AX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0:Z3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20:V3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B83E-2E11-469B-AE4F-4CCA4BF309B1}">
  <sheetPr codeName="Sheet16"/>
  <dimension ref="A1:AC16"/>
  <sheetViews>
    <sheetView zoomScale="53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D6" sqref="AD6"/>
    </sheetView>
  </sheetViews>
  <sheetFormatPr defaultRowHeight="14.75" x14ac:dyDescent="0.75"/>
  <cols>
    <col min="1" max="1" width="17.31640625" style="1" customWidth="1"/>
    <col min="2" max="2" width="13.90625" style="1" customWidth="1"/>
    <col min="3" max="4" width="8.40625" style="1" customWidth="1"/>
    <col min="5" max="18" width="8.40625" customWidth="1"/>
    <col min="19" max="19" width="7.453125" customWidth="1"/>
    <col min="20" max="20" width="15.953125" bestFit="1" customWidth="1"/>
    <col min="21" max="21" width="6.1328125" customWidth="1"/>
    <col min="22" max="22" width="11.1328125" customWidth="1"/>
    <col min="23" max="23" width="15.08984375" customWidth="1"/>
    <col min="24" max="24" width="4.90625" bestFit="1" customWidth="1"/>
    <col min="25" max="25" width="12.54296875" customWidth="1"/>
    <col min="26" max="26" width="5.453125" customWidth="1"/>
    <col min="27" max="27" width="13.26953125" bestFit="1" customWidth="1"/>
    <col min="28" max="28" width="12.54296875" customWidth="1"/>
    <col min="29" max="29" width="16.58984375" customWidth="1"/>
    <col min="30" max="65" width="12.54296875" customWidth="1"/>
  </cols>
  <sheetData>
    <row r="1" spans="1:29" ht="31" thickTop="1" thickBot="1" x14ac:dyDescent="0.9">
      <c r="C1" s="4" t="s">
        <v>175</v>
      </c>
      <c r="D1" s="4" t="s">
        <v>179</v>
      </c>
      <c r="E1" s="4" t="s">
        <v>180</v>
      </c>
      <c r="F1" s="4" t="s">
        <v>181</v>
      </c>
      <c r="G1" s="4" t="s">
        <v>182</v>
      </c>
      <c r="H1" s="4" t="s">
        <v>183</v>
      </c>
      <c r="I1" s="4" t="s">
        <v>184</v>
      </c>
      <c r="J1" s="4" t="s">
        <v>185</v>
      </c>
      <c r="K1" s="4" t="s">
        <v>186</v>
      </c>
      <c r="L1" s="4" t="s">
        <v>187</v>
      </c>
      <c r="M1" s="4" t="s">
        <v>188</v>
      </c>
      <c r="N1" s="4" t="s">
        <v>189</v>
      </c>
      <c r="O1" s="4" t="s">
        <v>190</v>
      </c>
      <c r="P1" s="4" t="s">
        <v>228</v>
      </c>
      <c r="Q1" s="4" t="s">
        <v>229</v>
      </c>
      <c r="R1" s="4" t="s">
        <v>230</v>
      </c>
      <c r="AA1" s="21" t="s">
        <v>242</v>
      </c>
      <c r="AB1" s="22"/>
      <c r="AC1" s="16" t="s">
        <v>245</v>
      </c>
    </row>
    <row r="2" spans="1:29" ht="16.25" thickTop="1" thickBot="1" x14ac:dyDescent="0.9">
      <c r="A2" s="4" t="s">
        <v>161</v>
      </c>
      <c r="B2" s="10" t="s">
        <v>174</v>
      </c>
      <c r="C2" s="4" t="s">
        <v>199</v>
      </c>
      <c r="D2" s="4" t="s">
        <v>199</v>
      </c>
      <c r="E2" s="4" t="s">
        <v>199</v>
      </c>
      <c r="F2" s="4" t="s">
        <v>199</v>
      </c>
      <c r="G2" s="4" t="s">
        <v>199</v>
      </c>
      <c r="H2" s="4" t="s">
        <v>199</v>
      </c>
      <c r="I2" s="4" t="s">
        <v>199</v>
      </c>
      <c r="J2" s="4" t="s">
        <v>199</v>
      </c>
      <c r="K2" s="4" t="s">
        <v>199</v>
      </c>
      <c r="L2" s="4" t="s">
        <v>199</v>
      </c>
      <c r="M2" s="4" t="s">
        <v>199</v>
      </c>
      <c r="N2" s="4" t="s">
        <v>199</v>
      </c>
      <c r="O2" s="4" t="s">
        <v>199</v>
      </c>
      <c r="P2" s="4" t="s">
        <v>199</v>
      </c>
      <c r="Q2" s="4" t="s">
        <v>199</v>
      </c>
      <c r="R2" s="4" t="s">
        <v>199</v>
      </c>
      <c r="S2" s="7" t="s">
        <v>200</v>
      </c>
      <c r="T2" s="7" t="s">
        <v>231</v>
      </c>
      <c r="U2" s="7" t="s">
        <v>178</v>
      </c>
      <c r="V2" s="7" t="s">
        <v>232</v>
      </c>
      <c r="W2" s="7" t="s">
        <v>233</v>
      </c>
      <c r="X2" s="7" t="s">
        <v>178</v>
      </c>
      <c r="Y2" s="7" t="s">
        <v>241</v>
      </c>
      <c r="Z2" s="7" t="s">
        <v>178</v>
      </c>
      <c r="AA2" s="7" t="s">
        <v>243</v>
      </c>
      <c r="AB2" s="7" t="s">
        <v>244</v>
      </c>
      <c r="AC2" s="7" t="s">
        <v>244</v>
      </c>
    </row>
    <row r="3" spans="1:29" ht="16.25" thickTop="1" thickBot="1" x14ac:dyDescent="0.9">
      <c r="A3" s="4" t="s">
        <v>1</v>
      </c>
      <c r="B3" s="10" t="s">
        <v>162</v>
      </c>
      <c r="C3" s="4">
        <f ca="1">_xlfn.NUMBERVALUE(VLOOKUP(VLOOKUP($B3,Key!$A$17:$B$28,2,FALSE),INDIRECT("'"&amp;C$1&amp;"'!"&amp;"$A$2:$C$23"),2,FALSE))</f>
        <v>88.4</v>
      </c>
      <c r="D3" s="4">
        <f ca="1">_xlfn.NUMBERVALUE(VLOOKUP(VLOOKUP($B3,Key!$A$17:$B$28,2,FALSE),INDIRECT("'"&amp;D$1&amp;"'!"&amp;"$A$2:$C$23"),2,FALSE))</f>
        <v>97</v>
      </c>
      <c r="E3" s="4">
        <f ca="1">_xlfn.NUMBERVALUE(VLOOKUP(VLOOKUP($B3,Key!$A$17:$B$28,2,FALSE),INDIRECT("'"&amp;E$1&amp;"'!"&amp;"$A$2:$C$23"),2,FALSE))</f>
        <v>81.400000000000006</v>
      </c>
      <c r="F3" s="4">
        <f ca="1">_xlfn.NUMBERVALUE(VLOOKUP(VLOOKUP($B3,Key!$A$17:$B$28,2,FALSE),INDIRECT("'"&amp;F$1&amp;"'!"&amp;"$A$2:$C$23"),2,FALSE))</f>
        <v>95.3</v>
      </c>
      <c r="G3" s="4">
        <f ca="1">_xlfn.NUMBERVALUE(VLOOKUP(VLOOKUP($B3,Key!$A$17:$B$28,2,FALSE),INDIRECT("'"&amp;G$1&amp;"'!"&amp;"$A$2:$C$23"),2,FALSE))</f>
        <v>100.6</v>
      </c>
      <c r="H3" s="4">
        <f ca="1">_xlfn.NUMBERVALUE(VLOOKUP(VLOOKUP($B3,Key!$A$17:$B$28,2,FALSE),INDIRECT("'"&amp;H$1&amp;"'!"&amp;"$A$2:$C$23"),2,FALSE))</f>
        <v>57</v>
      </c>
      <c r="I3" s="4">
        <f ca="1">_xlfn.NUMBERVALUE(VLOOKUP(VLOOKUP($B3,Key!$A$17:$B$28,2,FALSE),INDIRECT("'"&amp;I$1&amp;"'!"&amp;"$A$2:$C$23"),2,FALSE))</f>
        <v>108.9</v>
      </c>
      <c r="J3" s="4">
        <f ca="1">_xlfn.NUMBERVALUE(VLOOKUP(VLOOKUP($B3,Key!$A$17:$B$28,2,FALSE),INDIRECT("'"&amp;J$1&amp;"'!"&amp;"$A$2:$C$23"),2,FALSE))</f>
        <v>59.7</v>
      </c>
      <c r="K3" s="4">
        <f ca="1">_xlfn.NUMBERVALUE(VLOOKUP(VLOOKUP($B3,Key!$A$17:$B$28,2,FALSE),INDIRECT("'"&amp;K$1&amp;"'!"&amp;"$A$2:$C$23"),2,FALSE))</f>
        <v>108.1</v>
      </c>
      <c r="L3" s="4">
        <f ca="1">_xlfn.NUMBERVALUE(VLOOKUP(VLOOKUP($B3,Key!$A$17:$B$28,2,FALSE),INDIRECT("'"&amp;L$1&amp;"'!"&amp;"$A$2:$C$23"),2,FALSE))</f>
        <v>73.900000000000006</v>
      </c>
      <c r="M3" s="4">
        <f ca="1">_xlfn.NUMBERVALUE(VLOOKUP(VLOOKUP($B3,Key!$A$17:$B$28,2,FALSE),INDIRECT("'"&amp;M$1&amp;"'!"&amp;"$A$2:$C$23"),2,FALSE))</f>
        <v>81.8</v>
      </c>
      <c r="N3" s="4">
        <f ca="1">_xlfn.NUMBERVALUE(VLOOKUP(VLOOKUP($B3,Key!$A$17:$B$28,2,FALSE),INDIRECT("'"&amp;N$1&amp;"'!"&amp;"$A$2:$C$23"),2,FALSE))</f>
        <v>62.4</v>
      </c>
      <c r="O3" s="4">
        <f ca="1">_xlfn.NUMBERVALUE(VLOOKUP(VLOOKUP($B3,Key!$A$17:$B$28,2,FALSE),INDIRECT("'"&amp;O$1&amp;"'!"&amp;"$A$2:$C$23"),2,FALSE))</f>
        <v>72.7</v>
      </c>
      <c r="P3" s="4">
        <f ca="1">_xlfn.NUMBERVALUE(VLOOKUP(VLOOKUP($B3,Key!$A$17:$B$28,2,FALSE),INDIRECT("'"&amp;P$1&amp;"'!"&amp;"$A$2:$C$23"),2,FALSE))</f>
        <v>118.8</v>
      </c>
      <c r="Q3" s="4">
        <f ca="1">_xlfn.NUMBERVALUE(VLOOKUP(VLOOKUP($B3,Key!$A$17:$B$28,2,FALSE),INDIRECT("'"&amp;Q$1&amp;"'!"&amp;"$A$2:$C$23"),2,FALSE))</f>
        <v>94.5</v>
      </c>
      <c r="R3" s="4">
        <f ca="1">_xlfn.NUMBERVALUE(VLOOKUP(VLOOKUP($B3,Key!$A$17:$B$28,2,FALSE),INDIRECT("'"&amp;R$1&amp;"'!"&amp;"$A$2:$C$23"),2,FALSE))</f>
        <v>62.2</v>
      </c>
      <c r="S3" s="4">
        <f ca="1">MAX(C3:R3)</f>
        <v>118.8</v>
      </c>
      <c r="T3" s="4">
        <f ca="1">SUM(C3:O3)</f>
        <v>1087.2</v>
      </c>
      <c r="U3" s="4">
        <f ca="1">_xlfn.RANK.EQ(T3,$T$3:$T$14,0)</f>
        <v>12</v>
      </c>
      <c r="V3" s="4">
        <f t="shared" ref="V3:V14" ca="1" si="0">SUM(P3:R3)</f>
        <v>275.5</v>
      </c>
      <c r="W3" s="5">
        <f ca="1">SUM(P3:R3)/(COUNT(P3:R3))</f>
        <v>91.833333333333329</v>
      </c>
      <c r="X3" s="4">
        <f ca="1">_xlfn.RANK.EQ(W3,$W$3:$W$14,0)</f>
        <v>7</v>
      </c>
      <c r="Y3" s="7">
        <f ca="1">SUM(C3:R3)</f>
        <v>1362.7</v>
      </c>
      <c r="Z3" s="4">
        <f ca="1">_xlfn.RANK.EQ(Y3,$Y$3:$Y$14,0)</f>
        <v>12</v>
      </c>
      <c r="AA3" s="13">
        <f ca="1">T3-MAX($T$3:$T$14)</f>
        <v>-228.70000000000005</v>
      </c>
      <c r="AB3" s="13">
        <f ca="1">AA3/COUNTA(C3:R3)</f>
        <v>-14.293750000000003</v>
      </c>
      <c r="AC3" s="13">
        <f ca="1">W3-MAX($W$3:$W$14)</f>
        <v>-42.833333333333329</v>
      </c>
    </row>
    <row r="4" spans="1:29" ht="16.25" thickTop="1" thickBot="1" x14ac:dyDescent="0.9">
      <c r="A4" s="4" t="s">
        <v>3</v>
      </c>
      <c r="B4" s="10" t="s">
        <v>163</v>
      </c>
      <c r="C4" s="4">
        <f ca="1">_xlfn.NUMBERVALUE(VLOOKUP(VLOOKUP($B4,Key!$A$17:$B$28,2,FALSE),INDIRECT("'"&amp;C$1&amp;"'!"&amp;"$A$2:$C$23"),2,FALSE))</f>
        <v>93.9</v>
      </c>
      <c r="D4" s="4">
        <f ca="1">_xlfn.NUMBERVALUE(VLOOKUP(VLOOKUP($B4,Key!$A$17:$B$28,2,FALSE),INDIRECT("'"&amp;D$1&amp;"'!"&amp;"$A$2:$C$23"),2,FALSE))</f>
        <v>123.6</v>
      </c>
      <c r="E4" s="4">
        <f ca="1">_xlfn.NUMBERVALUE(VLOOKUP(VLOOKUP($B4,Key!$A$17:$B$28,2,FALSE),INDIRECT("'"&amp;E$1&amp;"'!"&amp;"$A$2:$C$23"),2,FALSE))</f>
        <v>71.599999999999994</v>
      </c>
      <c r="F4" s="4">
        <f ca="1">_xlfn.NUMBERVALUE(VLOOKUP(VLOOKUP($B4,Key!$A$17:$B$28,2,FALSE),INDIRECT("'"&amp;F$1&amp;"'!"&amp;"$A$2:$C$23"),2,FALSE))</f>
        <v>72.5</v>
      </c>
      <c r="G4" s="4">
        <f ca="1">_xlfn.NUMBERVALUE(VLOOKUP(VLOOKUP($B4,Key!$A$17:$B$28,2,FALSE),INDIRECT("'"&amp;G$1&amp;"'!"&amp;"$A$2:$C$23"),2,FALSE))</f>
        <v>93.9</v>
      </c>
      <c r="H4" s="4">
        <f ca="1">_xlfn.NUMBERVALUE(VLOOKUP(VLOOKUP($B4,Key!$A$17:$B$28,2,FALSE),INDIRECT("'"&amp;H$1&amp;"'!"&amp;"$A$2:$C$23"),2,FALSE))</f>
        <v>108.2</v>
      </c>
      <c r="I4" s="4">
        <f ca="1">_xlfn.NUMBERVALUE(VLOOKUP(VLOOKUP($B4,Key!$A$17:$B$28,2,FALSE),INDIRECT("'"&amp;I$1&amp;"'!"&amp;"$A$2:$C$23"),2,FALSE))</f>
        <v>89.1</v>
      </c>
      <c r="J4" s="4">
        <f ca="1">_xlfn.NUMBERVALUE(VLOOKUP(VLOOKUP($B4,Key!$A$17:$B$28,2,FALSE),INDIRECT("'"&amp;J$1&amp;"'!"&amp;"$A$2:$C$23"),2,FALSE))</f>
        <v>111.4</v>
      </c>
      <c r="K4" s="4">
        <f ca="1">_xlfn.NUMBERVALUE(VLOOKUP(VLOOKUP($B4,Key!$A$17:$B$28,2,FALSE),INDIRECT("'"&amp;K$1&amp;"'!"&amp;"$A$2:$C$23"),2,FALSE))</f>
        <v>70.3</v>
      </c>
      <c r="L4" s="4">
        <f ca="1">_xlfn.NUMBERVALUE(VLOOKUP(VLOOKUP($B4,Key!$A$17:$B$28,2,FALSE),INDIRECT("'"&amp;L$1&amp;"'!"&amp;"$A$2:$C$23"),2,FALSE))</f>
        <v>137.6</v>
      </c>
      <c r="M4" s="4">
        <f ca="1">_xlfn.NUMBERVALUE(VLOOKUP(VLOOKUP($B4,Key!$A$17:$B$28,2,FALSE),INDIRECT("'"&amp;M$1&amp;"'!"&amp;"$A$2:$C$23"),2,FALSE))</f>
        <v>105.2</v>
      </c>
      <c r="N4" s="4">
        <f ca="1">_xlfn.NUMBERVALUE(VLOOKUP(VLOOKUP($B4,Key!$A$17:$B$28,2,FALSE),INDIRECT("'"&amp;N$1&amp;"'!"&amp;"$A$2:$C$23"),2,FALSE))</f>
        <v>64.400000000000006</v>
      </c>
      <c r="O4" s="4">
        <f ca="1">_xlfn.NUMBERVALUE(VLOOKUP(VLOOKUP($B4,Key!$A$17:$B$28,2,FALSE),INDIRECT("'"&amp;O$1&amp;"'!"&amp;"$A$2:$C$23"),2,FALSE))</f>
        <v>73</v>
      </c>
      <c r="P4" s="4">
        <f ca="1">_xlfn.NUMBERVALUE(VLOOKUP(VLOOKUP($B4,Key!$A$17:$B$28,2,FALSE),INDIRECT("'"&amp;P$1&amp;"'!"&amp;"$A$2:$C$23"),2,FALSE))</f>
        <v>96</v>
      </c>
      <c r="Q4" s="4">
        <f ca="1">_xlfn.NUMBERVALUE(VLOOKUP(VLOOKUP($B4,Key!$A$17:$B$28,2,FALSE),INDIRECT("'"&amp;Q$1&amp;"'!"&amp;"$A$2:$C$23"),2,FALSE))</f>
        <v>88.6</v>
      </c>
      <c r="R4" s="4">
        <f ca="1">_xlfn.NUMBERVALUE(VLOOKUP(VLOOKUP($B4,Key!$A$17:$B$28,2,FALSE),INDIRECT("'"&amp;R$1&amp;"'!"&amp;"$A$2:$C$23"),2,FALSE))</f>
        <v>107.3</v>
      </c>
      <c r="S4" s="4">
        <f t="shared" ref="S4:S14" ca="1" si="1">MAX(C4:O4)</f>
        <v>137.6</v>
      </c>
      <c r="T4" s="4">
        <f t="shared" ref="T4:T14" ca="1" si="2">SUM(C4:O4)</f>
        <v>1214.7</v>
      </c>
      <c r="U4" s="4">
        <f t="shared" ref="U4:U14" ca="1" si="3">_xlfn.RANK.EQ(T4,$T$3:$T$14,0)</f>
        <v>6</v>
      </c>
      <c r="V4" s="4">
        <f t="shared" ca="1" si="0"/>
        <v>291.89999999999998</v>
      </c>
      <c r="W4" s="5">
        <f t="shared" ref="W4:W12" ca="1" si="4">SUM(P4:R4)/(COUNT(P4:R4))</f>
        <v>97.3</v>
      </c>
      <c r="X4" s="4">
        <f t="shared" ref="X4:X14" ca="1" si="5">_xlfn.RANK.EQ(W4,$W$3:$W$14,0)</f>
        <v>3</v>
      </c>
      <c r="Y4" s="7">
        <f t="shared" ref="Y4:Y14" ca="1" si="6">SUM(C4:R4)</f>
        <v>1506.6</v>
      </c>
      <c r="Z4" s="4">
        <f t="shared" ref="Z4:Z14" ca="1" si="7">_xlfn.RANK.EQ(Y4,$Y$3:$Y$14,0)</f>
        <v>5</v>
      </c>
      <c r="AA4" s="13">
        <f t="shared" ref="AA4:AA14" ca="1" si="8">T4-MAX($T$3:$T$14)</f>
        <v>-101.20000000000005</v>
      </c>
      <c r="AB4" s="13">
        <f t="shared" ref="AB4:AB14" ca="1" si="9">AA4/COUNTA(C4:R4)</f>
        <v>-6.3250000000000028</v>
      </c>
      <c r="AC4" s="13">
        <f t="shared" ref="AC4:AC14" ca="1" si="10">W4-MAX($W$3:$W$14)</f>
        <v>-37.36666666666666</v>
      </c>
    </row>
    <row r="5" spans="1:29" ht="16.25" thickTop="1" thickBot="1" x14ac:dyDescent="0.9">
      <c r="A5" s="4" t="s">
        <v>6</v>
      </c>
      <c r="B5" s="10" t="s">
        <v>164</v>
      </c>
      <c r="C5" s="4">
        <f ca="1">_xlfn.NUMBERVALUE(VLOOKUP(VLOOKUP($B5,Key!$A$17:$B$28,2,FALSE),INDIRECT("'"&amp;C$1&amp;"'!"&amp;"$A$2:$C$23"),2,FALSE))</f>
        <v>63.9</v>
      </c>
      <c r="D5" s="4">
        <f ca="1">_xlfn.NUMBERVALUE(VLOOKUP(VLOOKUP($B5,Key!$A$17:$B$28,2,FALSE),INDIRECT("'"&amp;D$1&amp;"'!"&amp;"$A$2:$C$23"),2,FALSE))</f>
        <v>83.3</v>
      </c>
      <c r="E5" s="4">
        <f ca="1">_xlfn.NUMBERVALUE(VLOOKUP(VLOOKUP($B5,Key!$A$17:$B$28,2,FALSE),INDIRECT("'"&amp;E$1&amp;"'!"&amp;"$A$2:$C$23"),2,FALSE))</f>
        <v>58.6</v>
      </c>
      <c r="F5" s="4">
        <f ca="1">_xlfn.NUMBERVALUE(VLOOKUP(VLOOKUP($B5,Key!$A$17:$B$28,2,FALSE),INDIRECT("'"&amp;F$1&amp;"'!"&amp;"$A$2:$C$23"),2,FALSE))</f>
        <v>75.7</v>
      </c>
      <c r="G5" s="4">
        <f ca="1">_xlfn.NUMBERVALUE(VLOOKUP(VLOOKUP($B5,Key!$A$17:$B$28,2,FALSE),INDIRECT("'"&amp;G$1&amp;"'!"&amp;"$A$2:$C$23"),2,FALSE))</f>
        <v>63.7</v>
      </c>
      <c r="H5" s="4">
        <f ca="1">_xlfn.NUMBERVALUE(VLOOKUP(VLOOKUP($B5,Key!$A$17:$B$28,2,FALSE),INDIRECT("'"&amp;H$1&amp;"'!"&amp;"$A$2:$C$23"),2,FALSE))</f>
        <v>129.9</v>
      </c>
      <c r="I5" s="4">
        <f ca="1">_xlfn.NUMBERVALUE(VLOOKUP(VLOOKUP($B5,Key!$A$17:$B$28,2,FALSE),INDIRECT("'"&amp;I$1&amp;"'!"&amp;"$A$2:$C$23"),2,FALSE))</f>
        <v>87.9</v>
      </c>
      <c r="J5" s="4">
        <f ca="1">_xlfn.NUMBERVALUE(VLOOKUP(VLOOKUP($B5,Key!$A$17:$B$28,2,FALSE),INDIRECT("'"&amp;J$1&amp;"'!"&amp;"$A$2:$C$23"),2,FALSE))</f>
        <v>89.3</v>
      </c>
      <c r="K5" s="4">
        <f ca="1">_xlfn.NUMBERVALUE(VLOOKUP(VLOOKUP($B5,Key!$A$17:$B$28,2,FALSE),INDIRECT("'"&amp;K$1&amp;"'!"&amp;"$A$2:$C$23"),2,FALSE))</f>
        <v>85.5</v>
      </c>
      <c r="L5" s="4">
        <f ca="1">_xlfn.NUMBERVALUE(VLOOKUP(VLOOKUP($B5,Key!$A$17:$B$28,2,FALSE),INDIRECT("'"&amp;L$1&amp;"'!"&amp;"$A$2:$C$23"),2,FALSE))</f>
        <v>123.4</v>
      </c>
      <c r="M5" s="4">
        <f ca="1">_xlfn.NUMBERVALUE(VLOOKUP(VLOOKUP($B5,Key!$A$17:$B$28,2,FALSE),INDIRECT("'"&amp;M$1&amp;"'!"&amp;"$A$2:$C$23"),2,FALSE))</f>
        <v>117.4</v>
      </c>
      <c r="N5" s="4">
        <f ca="1">_xlfn.NUMBERVALUE(VLOOKUP(VLOOKUP($B5,Key!$A$17:$B$28,2,FALSE),INDIRECT("'"&amp;N$1&amp;"'!"&amp;"$A$2:$C$23"),2,FALSE))</f>
        <v>86.2</v>
      </c>
      <c r="O5" s="4">
        <f ca="1">_xlfn.NUMBERVALUE(VLOOKUP(VLOOKUP($B5,Key!$A$17:$B$28,2,FALSE),INDIRECT("'"&amp;O$1&amp;"'!"&amp;"$A$2:$C$23"),2,FALSE))</f>
        <v>109</v>
      </c>
      <c r="P5" s="4">
        <f ca="1">_xlfn.NUMBERVALUE(VLOOKUP(VLOOKUP($B5,Key!$A$17:$B$28,2,FALSE),INDIRECT("'"&amp;P$1&amp;"'!"&amp;"$A$2:$C$23"),2,FALSE))</f>
        <v>112.7</v>
      </c>
      <c r="Q5" s="4">
        <f ca="1">_xlfn.NUMBERVALUE(VLOOKUP(VLOOKUP($B5,Key!$A$17:$B$28,2,FALSE),INDIRECT("'"&amp;Q$1&amp;"'!"&amp;"$A$2:$C$23"),2,FALSE))</f>
        <v>82.9</v>
      </c>
      <c r="R5" s="4">
        <f ca="1">_xlfn.NUMBERVALUE(VLOOKUP(VLOOKUP($B5,Key!$A$17:$B$28,2,FALSE),INDIRECT("'"&amp;R$1&amp;"'!"&amp;"$A$2:$C$23"),2,FALSE))</f>
        <v>77.099999999999994</v>
      </c>
      <c r="S5" s="4">
        <f t="shared" ca="1" si="1"/>
        <v>129.9</v>
      </c>
      <c r="T5" s="4">
        <f t="shared" ca="1" si="2"/>
        <v>1173.8</v>
      </c>
      <c r="U5" s="4">
        <f t="shared" ca="1" si="3"/>
        <v>8</v>
      </c>
      <c r="V5" s="4">
        <f t="shared" ca="1" si="0"/>
        <v>272.70000000000005</v>
      </c>
      <c r="W5" s="5">
        <f t="shared" ca="1" si="4"/>
        <v>90.90000000000002</v>
      </c>
      <c r="X5" s="4">
        <f t="shared" ca="1" si="5"/>
        <v>8</v>
      </c>
      <c r="Y5" s="7">
        <f t="shared" ca="1" si="6"/>
        <v>1446.5</v>
      </c>
      <c r="Z5" s="4">
        <f t="shared" ca="1" si="7"/>
        <v>8</v>
      </c>
      <c r="AA5" s="13">
        <f t="shared" ca="1" si="8"/>
        <v>-142.10000000000014</v>
      </c>
      <c r="AB5" s="13">
        <f t="shared" ca="1" si="9"/>
        <v>-8.8812500000000085</v>
      </c>
      <c r="AC5" s="13">
        <f t="shared" ca="1" si="10"/>
        <v>-43.766666666666637</v>
      </c>
    </row>
    <row r="6" spans="1:29" ht="16.25" thickTop="1" thickBot="1" x14ac:dyDescent="0.9">
      <c r="A6" s="4" t="s">
        <v>8</v>
      </c>
      <c r="B6" s="10" t="s">
        <v>165</v>
      </c>
      <c r="C6" s="4">
        <f ca="1">_xlfn.NUMBERVALUE(VLOOKUP(VLOOKUP($B6,Key!$A$17:$B$28,2,FALSE),INDIRECT("'"&amp;C$1&amp;"'!"&amp;"$A$2:$C$23"),2,FALSE))</f>
        <v>81</v>
      </c>
      <c r="D6" s="4">
        <f ca="1">_xlfn.NUMBERVALUE(VLOOKUP(VLOOKUP($B6,Key!$A$17:$B$28,2,FALSE),INDIRECT("'"&amp;D$1&amp;"'!"&amp;"$A$2:$C$23"),2,FALSE))</f>
        <v>91.1</v>
      </c>
      <c r="E6" s="4">
        <f ca="1">_xlfn.NUMBERVALUE(VLOOKUP(VLOOKUP($B6,Key!$A$17:$B$28,2,FALSE),INDIRECT("'"&amp;E$1&amp;"'!"&amp;"$A$2:$C$23"),2,FALSE))</f>
        <v>95.9</v>
      </c>
      <c r="F6" s="4">
        <f ca="1">_xlfn.NUMBERVALUE(VLOOKUP(VLOOKUP($B6,Key!$A$17:$B$28,2,FALSE),INDIRECT("'"&amp;F$1&amp;"'!"&amp;"$A$2:$C$23"),2,FALSE))</f>
        <v>86</v>
      </c>
      <c r="G6" s="4">
        <f ca="1">_xlfn.NUMBERVALUE(VLOOKUP(VLOOKUP($B6,Key!$A$17:$B$28,2,FALSE),INDIRECT("'"&amp;G$1&amp;"'!"&amp;"$A$2:$C$23"),2,FALSE))</f>
        <v>65.5</v>
      </c>
      <c r="H6" s="4">
        <f ca="1">_xlfn.NUMBERVALUE(VLOOKUP(VLOOKUP($B6,Key!$A$17:$B$28,2,FALSE),INDIRECT("'"&amp;H$1&amp;"'!"&amp;"$A$2:$C$23"),2,FALSE))</f>
        <v>85.8</v>
      </c>
      <c r="I6" s="4">
        <f ca="1">_xlfn.NUMBERVALUE(VLOOKUP(VLOOKUP($B6,Key!$A$17:$B$28,2,FALSE),INDIRECT("'"&amp;I$1&amp;"'!"&amp;"$A$2:$C$23"),2,FALSE))</f>
        <v>91.3</v>
      </c>
      <c r="J6" s="4">
        <f ca="1">_xlfn.NUMBERVALUE(VLOOKUP(VLOOKUP($B6,Key!$A$17:$B$28,2,FALSE),INDIRECT("'"&amp;J$1&amp;"'!"&amp;"$A$2:$C$23"),2,FALSE))</f>
        <v>82.8</v>
      </c>
      <c r="K6" s="4">
        <f ca="1">_xlfn.NUMBERVALUE(VLOOKUP(VLOOKUP($B6,Key!$A$17:$B$28,2,FALSE),INDIRECT("'"&amp;K$1&amp;"'!"&amp;"$A$2:$C$23"),2,FALSE))</f>
        <v>102.8</v>
      </c>
      <c r="L6" s="4">
        <f ca="1">_xlfn.NUMBERVALUE(VLOOKUP(VLOOKUP($B6,Key!$A$17:$B$28,2,FALSE),INDIRECT("'"&amp;L$1&amp;"'!"&amp;"$A$2:$C$23"),2,FALSE))</f>
        <v>65.599999999999994</v>
      </c>
      <c r="M6" s="4">
        <f ca="1">_xlfn.NUMBERVALUE(VLOOKUP(VLOOKUP($B6,Key!$A$17:$B$28,2,FALSE),INDIRECT("'"&amp;M$1&amp;"'!"&amp;"$A$2:$C$23"),2,FALSE))</f>
        <v>100.6</v>
      </c>
      <c r="N6" s="4">
        <f ca="1">_xlfn.NUMBERVALUE(VLOOKUP(VLOOKUP($B6,Key!$A$17:$B$28,2,FALSE),INDIRECT("'"&amp;N$1&amp;"'!"&amp;"$A$2:$C$23"),2,FALSE))</f>
        <v>121.6</v>
      </c>
      <c r="O6" s="4">
        <f ca="1">_xlfn.NUMBERVALUE(VLOOKUP(VLOOKUP($B6,Key!$A$17:$B$28,2,FALSE),INDIRECT("'"&amp;O$1&amp;"'!"&amp;"$A$2:$C$23"),2,FALSE))</f>
        <v>79.400000000000006</v>
      </c>
      <c r="P6" s="4">
        <f ca="1">_xlfn.NUMBERVALUE(VLOOKUP(VLOOKUP($B6,Key!$A$17:$B$28,2,FALSE),INDIRECT("'"&amp;P$1&amp;"'!"&amp;"$A$2:$C$23"),2,FALSE))</f>
        <v>102.6</v>
      </c>
      <c r="Q6" s="4">
        <f ca="1">_xlfn.NUMBERVALUE(VLOOKUP(VLOOKUP($B6,Key!$A$17:$B$28,2,FALSE),INDIRECT("'"&amp;Q$1&amp;"'!"&amp;"$A$2:$C$23"),2,FALSE))</f>
        <v>138.30000000000001</v>
      </c>
      <c r="R6" s="4">
        <f ca="1">_xlfn.NUMBERVALUE(VLOOKUP(VLOOKUP($B6,Key!$A$17:$B$28,2,FALSE),INDIRECT("'"&amp;R$1&amp;"'!"&amp;"$A$2:$C$23"),2,FALSE))</f>
        <v>163.1</v>
      </c>
      <c r="S6" s="4">
        <f t="shared" ca="1" si="1"/>
        <v>121.6</v>
      </c>
      <c r="T6" s="4">
        <f t="shared" ca="1" si="2"/>
        <v>1149.4000000000001</v>
      </c>
      <c r="U6" s="4">
        <f t="shared" ca="1" si="3"/>
        <v>11</v>
      </c>
      <c r="V6" s="4">
        <f t="shared" ca="1" si="0"/>
        <v>404</v>
      </c>
      <c r="W6" s="5">
        <f t="shared" ca="1" si="4"/>
        <v>134.66666666666666</v>
      </c>
      <c r="X6" s="4">
        <f t="shared" ca="1" si="5"/>
        <v>1</v>
      </c>
      <c r="Y6" s="7">
        <f t="shared" ca="1" si="6"/>
        <v>1553.3999999999999</v>
      </c>
      <c r="Z6" s="4">
        <f t="shared" ca="1" si="7"/>
        <v>3</v>
      </c>
      <c r="AA6" s="13">
        <f t="shared" ca="1" si="8"/>
        <v>-166.5</v>
      </c>
      <c r="AB6" s="13">
        <f t="shared" ca="1" si="9"/>
        <v>-10.40625</v>
      </c>
      <c r="AC6" s="13">
        <f t="shared" ca="1" si="10"/>
        <v>0</v>
      </c>
    </row>
    <row r="7" spans="1:29" ht="16.25" thickTop="1" thickBot="1" x14ac:dyDescent="0.9">
      <c r="A7" s="4" t="s">
        <v>11</v>
      </c>
      <c r="B7" s="10" t="s">
        <v>166</v>
      </c>
      <c r="C7" s="4">
        <f ca="1">_xlfn.NUMBERVALUE(VLOOKUP(VLOOKUP($B7,Key!$A$17:$B$28,2,FALSE),INDIRECT("'"&amp;C$1&amp;"'!"&amp;"$A$2:$C$23"),2,FALSE))</f>
        <v>86.5</v>
      </c>
      <c r="D7" s="4">
        <f ca="1">_xlfn.NUMBERVALUE(VLOOKUP(VLOOKUP($B7,Key!$A$17:$B$28,2,FALSE),INDIRECT("'"&amp;D$1&amp;"'!"&amp;"$A$2:$C$23"),2,FALSE))</f>
        <v>75.099999999999994</v>
      </c>
      <c r="E7" s="4">
        <f ca="1">_xlfn.NUMBERVALUE(VLOOKUP(VLOOKUP($B7,Key!$A$17:$B$28,2,FALSE),INDIRECT("'"&amp;E$1&amp;"'!"&amp;"$A$2:$C$23"),2,FALSE))</f>
        <v>129.80000000000001</v>
      </c>
      <c r="F7" s="4">
        <f ca="1">_xlfn.NUMBERVALUE(VLOOKUP(VLOOKUP($B7,Key!$A$17:$B$28,2,FALSE),INDIRECT("'"&amp;F$1&amp;"'!"&amp;"$A$2:$C$23"),2,FALSE))</f>
        <v>97.1</v>
      </c>
      <c r="G7" s="4">
        <f ca="1">_xlfn.NUMBERVALUE(VLOOKUP(VLOOKUP($B7,Key!$A$17:$B$28,2,FALSE),INDIRECT("'"&amp;G$1&amp;"'!"&amp;"$A$2:$C$23"),2,FALSE))</f>
        <v>70.900000000000006</v>
      </c>
      <c r="H7" s="4">
        <f ca="1">_xlfn.NUMBERVALUE(VLOOKUP(VLOOKUP($B7,Key!$A$17:$B$28,2,FALSE),INDIRECT("'"&amp;H$1&amp;"'!"&amp;"$A$2:$C$23"),2,FALSE))</f>
        <v>117.4</v>
      </c>
      <c r="I7" s="4">
        <f ca="1">_xlfn.NUMBERVALUE(VLOOKUP(VLOOKUP($B7,Key!$A$17:$B$28,2,FALSE),INDIRECT("'"&amp;I$1&amp;"'!"&amp;"$A$2:$C$23"),2,FALSE))</f>
        <v>110</v>
      </c>
      <c r="J7" s="4">
        <f ca="1">_xlfn.NUMBERVALUE(VLOOKUP(VLOOKUP($B7,Key!$A$17:$B$28,2,FALSE),INDIRECT("'"&amp;J$1&amp;"'!"&amp;"$A$2:$C$23"),2,FALSE))</f>
        <v>96.4</v>
      </c>
      <c r="K7" s="4">
        <f ca="1">_xlfn.NUMBERVALUE(VLOOKUP(VLOOKUP($B7,Key!$A$17:$B$28,2,FALSE),INDIRECT("'"&amp;K$1&amp;"'!"&amp;"$A$2:$C$23"),2,FALSE))</f>
        <v>99.8</v>
      </c>
      <c r="L7" s="4">
        <f ca="1">_xlfn.NUMBERVALUE(VLOOKUP(VLOOKUP($B7,Key!$A$17:$B$28,2,FALSE),INDIRECT("'"&amp;L$1&amp;"'!"&amp;"$A$2:$C$23"),2,FALSE))</f>
        <v>83.6</v>
      </c>
      <c r="M7" s="4">
        <f ca="1">_xlfn.NUMBERVALUE(VLOOKUP(VLOOKUP($B7,Key!$A$17:$B$28,2,FALSE),INDIRECT("'"&amp;M$1&amp;"'!"&amp;"$A$2:$C$23"),2,FALSE))</f>
        <v>116.5</v>
      </c>
      <c r="N7" s="4">
        <f ca="1">_xlfn.NUMBERVALUE(VLOOKUP(VLOOKUP($B7,Key!$A$17:$B$28,2,FALSE),INDIRECT("'"&amp;N$1&amp;"'!"&amp;"$A$2:$C$23"),2,FALSE))</f>
        <v>89</v>
      </c>
      <c r="O7" s="4">
        <f ca="1">_xlfn.NUMBERVALUE(VLOOKUP(VLOOKUP($B7,Key!$A$17:$B$28,2,FALSE),INDIRECT("'"&amp;O$1&amp;"'!"&amp;"$A$2:$C$23"),2,FALSE))</f>
        <v>121</v>
      </c>
      <c r="P7" s="4">
        <f ca="1">_xlfn.NUMBERVALUE(VLOOKUP(VLOOKUP($B7,Key!$A$17:$B$28,2,FALSE),INDIRECT("'"&amp;P$1&amp;"'!"&amp;"$A$2:$C$23"),2,FALSE))</f>
        <v>92.6</v>
      </c>
      <c r="Q7" s="4">
        <f ca="1">_xlfn.NUMBERVALUE(VLOOKUP(VLOOKUP($B7,Key!$A$17:$B$28,2,FALSE),INDIRECT("'"&amp;Q$1&amp;"'!"&amp;"$A$2:$C$23"),2,FALSE))</f>
        <v>75.599999999999994</v>
      </c>
      <c r="R7" s="4">
        <f ca="1">_xlfn.NUMBERVALUE(VLOOKUP(VLOOKUP($B7,Key!$A$17:$B$28,2,FALSE),INDIRECT("'"&amp;R$1&amp;"'!"&amp;"$A$2:$C$23"),2,FALSE))</f>
        <v>70.3</v>
      </c>
      <c r="S7" s="4">
        <f t="shared" ca="1" si="1"/>
        <v>129.80000000000001</v>
      </c>
      <c r="T7" s="4">
        <f t="shared" ca="1" si="2"/>
        <v>1293.0999999999999</v>
      </c>
      <c r="U7" s="4">
        <f t="shared" ca="1" si="3"/>
        <v>3</v>
      </c>
      <c r="V7" s="4">
        <f t="shared" ca="1" si="0"/>
        <v>238.5</v>
      </c>
      <c r="W7" s="5">
        <f t="shared" ca="1" si="4"/>
        <v>79.5</v>
      </c>
      <c r="X7" s="4">
        <f t="shared" ca="1" si="5"/>
        <v>11</v>
      </c>
      <c r="Y7" s="7">
        <f t="shared" ca="1" si="6"/>
        <v>1531.5999999999997</v>
      </c>
      <c r="Z7" s="4">
        <f t="shared" ca="1" si="7"/>
        <v>4</v>
      </c>
      <c r="AA7" s="13">
        <f t="shared" ca="1" si="8"/>
        <v>-22.800000000000182</v>
      </c>
      <c r="AB7" s="13">
        <f t="shared" ca="1" si="9"/>
        <v>-1.4250000000000114</v>
      </c>
      <c r="AC7" s="13">
        <f t="shared" ca="1" si="10"/>
        <v>-55.166666666666657</v>
      </c>
    </row>
    <row r="8" spans="1:29" ht="16.25" thickTop="1" thickBot="1" x14ac:dyDescent="0.9">
      <c r="A8" s="4" t="s">
        <v>13</v>
      </c>
      <c r="B8" s="10" t="s">
        <v>167</v>
      </c>
      <c r="C8" s="4">
        <f ca="1">_xlfn.NUMBERVALUE(VLOOKUP(VLOOKUP($B8,Key!$A$17:$B$28,2,FALSE),INDIRECT("'"&amp;C$1&amp;"'!"&amp;"$A$2:$C$23"),2,FALSE))</f>
        <v>87.8</v>
      </c>
      <c r="D8" s="4">
        <f ca="1">_xlfn.NUMBERVALUE(VLOOKUP(VLOOKUP($B8,Key!$A$17:$B$28,2,FALSE),INDIRECT("'"&amp;D$1&amp;"'!"&amp;"$A$2:$C$23"),2,FALSE))</f>
        <v>96</v>
      </c>
      <c r="E8" s="4">
        <f ca="1">_xlfn.NUMBERVALUE(VLOOKUP(VLOOKUP($B8,Key!$A$17:$B$28,2,FALSE),INDIRECT("'"&amp;E$1&amp;"'!"&amp;"$A$2:$C$23"),2,FALSE))</f>
        <v>109</v>
      </c>
      <c r="F8" s="4">
        <f ca="1">_xlfn.NUMBERVALUE(VLOOKUP(VLOOKUP($B8,Key!$A$17:$B$28,2,FALSE),INDIRECT("'"&amp;F$1&amp;"'!"&amp;"$A$2:$C$23"),2,FALSE))</f>
        <v>59.9</v>
      </c>
      <c r="G8" s="4">
        <f ca="1">_xlfn.NUMBERVALUE(VLOOKUP(VLOOKUP($B8,Key!$A$17:$B$28,2,FALSE),INDIRECT("'"&amp;G$1&amp;"'!"&amp;"$A$2:$C$23"),2,FALSE))</f>
        <v>109.7</v>
      </c>
      <c r="H8" s="4">
        <f ca="1">_xlfn.NUMBERVALUE(VLOOKUP(VLOOKUP($B8,Key!$A$17:$B$28,2,FALSE),INDIRECT("'"&amp;H$1&amp;"'!"&amp;"$A$2:$C$23"),2,FALSE))</f>
        <v>105.3</v>
      </c>
      <c r="I8" s="4">
        <f ca="1">_xlfn.NUMBERVALUE(VLOOKUP(VLOOKUP($B8,Key!$A$17:$B$28,2,FALSE),INDIRECT("'"&amp;I$1&amp;"'!"&amp;"$A$2:$C$23"),2,FALSE))</f>
        <v>88.5</v>
      </c>
      <c r="J8" s="4">
        <f ca="1">_xlfn.NUMBERVALUE(VLOOKUP(VLOOKUP($B8,Key!$A$17:$B$28,2,FALSE),INDIRECT("'"&amp;J$1&amp;"'!"&amp;"$A$2:$C$23"),2,FALSE))</f>
        <v>87</v>
      </c>
      <c r="K8" s="4">
        <f ca="1">_xlfn.NUMBERVALUE(VLOOKUP(VLOOKUP($B8,Key!$A$17:$B$28,2,FALSE),INDIRECT("'"&amp;K$1&amp;"'!"&amp;"$A$2:$C$23"),2,FALSE))</f>
        <v>106</v>
      </c>
      <c r="L8" s="4">
        <f ca="1">_xlfn.NUMBERVALUE(VLOOKUP(VLOOKUP($B8,Key!$A$17:$B$28,2,FALSE),INDIRECT("'"&amp;L$1&amp;"'!"&amp;"$A$2:$C$23"),2,FALSE))</f>
        <v>101.6</v>
      </c>
      <c r="M8" s="4">
        <f ca="1">_xlfn.NUMBERVALUE(VLOOKUP(VLOOKUP($B8,Key!$A$17:$B$28,2,FALSE),INDIRECT("'"&amp;M$1&amp;"'!"&amp;"$A$2:$C$23"),2,FALSE))</f>
        <v>130.1</v>
      </c>
      <c r="N8" s="4">
        <f ca="1">_xlfn.NUMBERVALUE(VLOOKUP(VLOOKUP($B8,Key!$A$17:$B$28,2,FALSE),INDIRECT("'"&amp;N$1&amp;"'!"&amp;"$A$2:$C$23"),2,FALSE))</f>
        <v>134.9</v>
      </c>
      <c r="O8" s="4">
        <f ca="1">_xlfn.NUMBERVALUE(VLOOKUP(VLOOKUP($B8,Key!$A$17:$B$28,2,FALSE),INDIRECT("'"&amp;O$1&amp;"'!"&amp;"$A$2:$C$23"),2,FALSE))</f>
        <v>96.4</v>
      </c>
      <c r="P8" s="4">
        <f ca="1">_xlfn.NUMBERVALUE(VLOOKUP(VLOOKUP($B8,Key!$A$17:$B$28,2,FALSE),INDIRECT("'"&amp;P$1&amp;"'!"&amp;"$A$2:$C$23"),2,FALSE))</f>
        <v>104.3</v>
      </c>
      <c r="Q8" s="4">
        <f ca="1">_xlfn.NUMBERVALUE(VLOOKUP(VLOOKUP($B8,Key!$A$17:$B$28,2,FALSE),INDIRECT("'"&amp;Q$1&amp;"'!"&amp;"$A$2:$C$23"),2,FALSE))</f>
        <v>94</v>
      </c>
      <c r="R8" s="4">
        <f ca="1">_xlfn.NUMBERVALUE(VLOOKUP(VLOOKUP($B8,Key!$A$17:$B$28,2,FALSE),INDIRECT("'"&amp;R$1&amp;"'!"&amp;"$A$2:$C$23"),2,FALSE))</f>
        <v>62.9</v>
      </c>
      <c r="S8" s="4">
        <f t="shared" ca="1" si="1"/>
        <v>134.9</v>
      </c>
      <c r="T8" s="4">
        <f t="shared" ca="1" si="2"/>
        <v>1312.2</v>
      </c>
      <c r="U8" s="4">
        <f t="shared" ca="1" si="3"/>
        <v>2</v>
      </c>
      <c r="V8" s="4">
        <f t="shared" ca="1" si="0"/>
        <v>261.2</v>
      </c>
      <c r="W8" s="5">
        <f t="shared" ca="1" si="4"/>
        <v>87.066666666666663</v>
      </c>
      <c r="X8" s="4">
        <f t="shared" ca="1" si="5"/>
        <v>9</v>
      </c>
      <c r="Y8" s="7">
        <f t="shared" ca="1" si="6"/>
        <v>1573.4</v>
      </c>
      <c r="Z8" s="4">
        <f t="shared" ca="1" si="7"/>
        <v>1</v>
      </c>
      <c r="AA8" s="13">
        <f t="shared" ca="1" si="8"/>
        <v>-3.7000000000000455</v>
      </c>
      <c r="AB8" s="13">
        <f t="shared" ca="1" si="9"/>
        <v>-0.23125000000000284</v>
      </c>
      <c r="AC8" s="13">
        <f t="shared" ca="1" si="10"/>
        <v>-47.599999999999994</v>
      </c>
    </row>
    <row r="9" spans="1:29" ht="16.25" thickTop="1" thickBot="1" x14ac:dyDescent="0.9">
      <c r="A9" s="4" t="s">
        <v>16</v>
      </c>
      <c r="B9" s="10" t="s">
        <v>168</v>
      </c>
      <c r="C9" s="4">
        <f ca="1">_xlfn.NUMBERVALUE(VLOOKUP(VLOOKUP($B9,Key!$A$17:$B$28,2,FALSE),INDIRECT("'"&amp;C$1&amp;"'!"&amp;"$A$2:$C$23"),2,FALSE))</f>
        <v>72.099999999999994</v>
      </c>
      <c r="D9" s="4">
        <f ca="1">_xlfn.NUMBERVALUE(VLOOKUP(VLOOKUP($B9,Key!$A$17:$B$28,2,FALSE),INDIRECT("'"&amp;D$1&amp;"'!"&amp;"$A$2:$C$23"),2,FALSE))</f>
        <v>86.7</v>
      </c>
      <c r="E9" s="4">
        <f ca="1">_xlfn.NUMBERVALUE(VLOOKUP(VLOOKUP($B9,Key!$A$17:$B$28,2,FALSE),INDIRECT("'"&amp;E$1&amp;"'!"&amp;"$A$2:$C$23"),2,FALSE))</f>
        <v>113.6</v>
      </c>
      <c r="F9" s="4">
        <f ca="1">_xlfn.NUMBERVALUE(VLOOKUP(VLOOKUP($B9,Key!$A$17:$B$28,2,FALSE),INDIRECT("'"&amp;F$1&amp;"'!"&amp;"$A$2:$C$23"),2,FALSE))</f>
        <v>127</v>
      </c>
      <c r="G9" s="4">
        <f ca="1">_xlfn.NUMBERVALUE(VLOOKUP(VLOOKUP($B9,Key!$A$17:$B$28,2,FALSE),INDIRECT("'"&amp;G$1&amp;"'!"&amp;"$A$2:$C$23"),2,FALSE))</f>
        <v>106.4</v>
      </c>
      <c r="H9" s="4">
        <f ca="1">_xlfn.NUMBERVALUE(VLOOKUP(VLOOKUP($B9,Key!$A$17:$B$28,2,FALSE),INDIRECT("'"&amp;H$1&amp;"'!"&amp;"$A$2:$C$23"),2,FALSE))</f>
        <v>78.099999999999994</v>
      </c>
      <c r="I9" s="4">
        <f ca="1">_xlfn.NUMBERVALUE(VLOOKUP(VLOOKUP($B9,Key!$A$17:$B$28,2,FALSE),INDIRECT("'"&amp;I$1&amp;"'!"&amp;"$A$2:$C$23"),2,FALSE))</f>
        <v>141.1</v>
      </c>
      <c r="J9" s="4">
        <f ca="1">_xlfn.NUMBERVALUE(VLOOKUP(VLOOKUP($B9,Key!$A$17:$B$28,2,FALSE),INDIRECT("'"&amp;J$1&amp;"'!"&amp;"$A$2:$C$23"),2,FALSE))</f>
        <v>90.3</v>
      </c>
      <c r="K9" s="4">
        <f ca="1">_xlfn.NUMBERVALUE(VLOOKUP(VLOOKUP($B9,Key!$A$17:$B$28,2,FALSE),INDIRECT("'"&amp;K$1&amp;"'!"&amp;"$A$2:$C$23"),2,FALSE))</f>
        <v>84.7</v>
      </c>
      <c r="L9" s="4">
        <f ca="1">_xlfn.NUMBERVALUE(VLOOKUP(VLOOKUP($B9,Key!$A$17:$B$28,2,FALSE),INDIRECT("'"&amp;L$1&amp;"'!"&amp;"$A$2:$C$23"),2,FALSE))</f>
        <v>64.3</v>
      </c>
      <c r="M9" s="4">
        <f ca="1">_xlfn.NUMBERVALUE(VLOOKUP(VLOOKUP($B9,Key!$A$17:$B$28,2,FALSE),INDIRECT("'"&amp;M$1&amp;"'!"&amp;"$A$2:$C$23"),2,FALSE))</f>
        <v>79.900000000000006</v>
      </c>
      <c r="N9" s="4">
        <f ca="1">_xlfn.NUMBERVALUE(VLOOKUP(VLOOKUP($B9,Key!$A$17:$B$28,2,FALSE),INDIRECT("'"&amp;N$1&amp;"'!"&amp;"$A$2:$C$23"),2,FALSE))</f>
        <v>98.8</v>
      </c>
      <c r="O9" s="4">
        <f ca="1">_xlfn.NUMBERVALUE(VLOOKUP(VLOOKUP($B9,Key!$A$17:$B$28,2,FALSE),INDIRECT("'"&amp;O$1&amp;"'!"&amp;"$A$2:$C$23"),2,FALSE))</f>
        <v>77.2</v>
      </c>
      <c r="P9" s="4">
        <f ca="1">_xlfn.NUMBERVALUE(VLOOKUP(VLOOKUP($B9,Key!$A$17:$B$28,2,FALSE),INDIRECT("'"&amp;P$1&amp;"'!"&amp;"$A$2:$C$23"),2,FALSE))</f>
        <v>88.6</v>
      </c>
      <c r="Q9" s="4">
        <f ca="1">_xlfn.NUMBERVALUE(VLOOKUP(VLOOKUP($B9,Key!$A$17:$B$28,2,FALSE),INDIRECT("'"&amp;Q$1&amp;"'!"&amp;"$A$2:$C$23"),2,FALSE))</f>
        <v>85.2</v>
      </c>
      <c r="R9" s="4">
        <f ca="1">_xlfn.NUMBERVALUE(VLOOKUP(VLOOKUP($B9,Key!$A$17:$B$28,2,FALSE),INDIRECT("'"&amp;R$1&amp;"'!"&amp;"$A$2:$C$23"),2,FALSE))</f>
        <v>108.5</v>
      </c>
      <c r="S9" s="4">
        <f t="shared" ca="1" si="1"/>
        <v>141.1</v>
      </c>
      <c r="T9" s="4">
        <f t="shared" ca="1" si="2"/>
        <v>1220.2</v>
      </c>
      <c r="U9" s="4">
        <f t="shared" ca="1" si="3"/>
        <v>5</v>
      </c>
      <c r="V9" s="4">
        <f t="shared" ca="1" si="0"/>
        <v>282.3</v>
      </c>
      <c r="W9" s="5">
        <f t="shared" ca="1" si="4"/>
        <v>94.100000000000009</v>
      </c>
      <c r="X9" s="4">
        <f t="shared" ca="1" si="5"/>
        <v>6</v>
      </c>
      <c r="Y9" s="7">
        <f t="shared" ca="1" si="6"/>
        <v>1502.5</v>
      </c>
      <c r="Z9" s="4">
        <f t="shared" ca="1" si="7"/>
        <v>6</v>
      </c>
      <c r="AA9" s="13">
        <f t="shared" ca="1" si="8"/>
        <v>-95.700000000000045</v>
      </c>
      <c r="AB9" s="13">
        <f t="shared" ca="1" si="9"/>
        <v>-5.9812500000000028</v>
      </c>
      <c r="AC9" s="13">
        <f t="shared" ca="1" si="10"/>
        <v>-40.566666666666649</v>
      </c>
    </row>
    <row r="10" spans="1:29" ht="16.25" thickTop="1" thickBot="1" x14ac:dyDescent="0.9">
      <c r="A10" s="4" t="s">
        <v>18</v>
      </c>
      <c r="B10" s="10" t="s">
        <v>169</v>
      </c>
      <c r="C10" s="4">
        <f ca="1">_xlfn.NUMBERVALUE(VLOOKUP(VLOOKUP($B10,Key!$A$17:$B$28,2,FALSE),INDIRECT("'"&amp;C$1&amp;"'!"&amp;"$A$2:$C$23"),2,FALSE))</f>
        <v>61.1</v>
      </c>
      <c r="D10" s="4">
        <f ca="1">_xlfn.NUMBERVALUE(VLOOKUP(VLOOKUP($B10,Key!$A$17:$B$28,2,FALSE),INDIRECT("'"&amp;D$1&amp;"'!"&amp;"$A$2:$C$23"),2,FALSE))</f>
        <v>92.2</v>
      </c>
      <c r="E10" s="4">
        <f ca="1">_xlfn.NUMBERVALUE(VLOOKUP(VLOOKUP($B10,Key!$A$17:$B$28,2,FALSE),INDIRECT("'"&amp;E$1&amp;"'!"&amp;"$A$2:$C$23"),2,FALSE))</f>
        <v>137.9</v>
      </c>
      <c r="F10" s="4">
        <f ca="1">_xlfn.NUMBERVALUE(VLOOKUP(VLOOKUP($B10,Key!$A$17:$B$28,2,FALSE),INDIRECT("'"&amp;F$1&amp;"'!"&amp;"$A$2:$C$23"),2,FALSE))</f>
        <v>76.099999999999994</v>
      </c>
      <c r="G10" s="4">
        <f ca="1">_xlfn.NUMBERVALUE(VLOOKUP(VLOOKUP($B10,Key!$A$17:$B$28,2,FALSE),INDIRECT("'"&amp;G$1&amp;"'!"&amp;"$A$2:$C$23"),2,FALSE))</f>
        <v>80.900000000000006</v>
      </c>
      <c r="H10" s="4">
        <f ca="1">_xlfn.NUMBERVALUE(VLOOKUP(VLOOKUP($B10,Key!$A$17:$B$28,2,FALSE),INDIRECT("'"&amp;H$1&amp;"'!"&amp;"$A$2:$C$23"),2,FALSE))</f>
        <v>101.6</v>
      </c>
      <c r="I10" s="4">
        <f ca="1">_xlfn.NUMBERVALUE(VLOOKUP(VLOOKUP($B10,Key!$A$17:$B$28,2,FALSE),INDIRECT("'"&amp;I$1&amp;"'!"&amp;"$A$2:$C$23"),2,FALSE))</f>
        <v>79.599999999999994</v>
      </c>
      <c r="J10" s="4">
        <f ca="1">_xlfn.NUMBERVALUE(VLOOKUP(VLOOKUP($B10,Key!$A$17:$B$28,2,FALSE),INDIRECT("'"&amp;J$1&amp;"'!"&amp;"$A$2:$C$23"),2,FALSE))</f>
        <v>101.1</v>
      </c>
      <c r="K10" s="4">
        <f ca="1">_xlfn.NUMBERVALUE(VLOOKUP(VLOOKUP($B10,Key!$A$17:$B$28,2,FALSE),INDIRECT("'"&amp;K$1&amp;"'!"&amp;"$A$2:$C$23"),2,FALSE))</f>
        <v>108.1</v>
      </c>
      <c r="L10" s="4">
        <f ca="1">_xlfn.NUMBERVALUE(VLOOKUP(VLOOKUP($B10,Key!$A$17:$B$28,2,FALSE),INDIRECT("'"&amp;L$1&amp;"'!"&amp;"$A$2:$C$23"),2,FALSE))</f>
        <v>66.7</v>
      </c>
      <c r="M10" s="4">
        <f ca="1">_xlfn.NUMBERVALUE(VLOOKUP(VLOOKUP($B10,Key!$A$17:$B$28,2,FALSE),INDIRECT("'"&amp;M$1&amp;"'!"&amp;"$A$2:$C$23"),2,FALSE))</f>
        <v>87.1</v>
      </c>
      <c r="N10" s="4">
        <f ca="1">_xlfn.NUMBERVALUE(VLOOKUP(VLOOKUP($B10,Key!$A$17:$B$28,2,FALSE),INDIRECT("'"&amp;N$1&amp;"'!"&amp;"$A$2:$C$23"),2,FALSE))</f>
        <v>96.6</v>
      </c>
      <c r="O10" s="4">
        <f ca="1">_xlfn.NUMBERVALUE(VLOOKUP(VLOOKUP($B10,Key!$A$17:$B$28,2,FALSE),INDIRECT("'"&amp;O$1&amp;"'!"&amp;"$A$2:$C$23"),2,FALSE))</f>
        <v>86.9</v>
      </c>
      <c r="P10" s="4">
        <f ca="1">_xlfn.NUMBERVALUE(VLOOKUP(VLOOKUP($B10,Key!$A$17:$B$28,2,FALSE),INDIRECT("'"&amp;P$1&amp;"'!"&amp;"$A$2:$C$23"),2,FALSE))</f>
        <v>108.1</v>
      </c>
      <c r="Q10" s="4">
        <f ca="1">_xlfn.NUMBERVALUE(VLOOKUP(VLOOKUP($B10,Key!$A$17:$B$28,2,FALSE),INDIRECT("'"&amp;Q$1&amp;"'!"&amp;"$A$2:$C$23"),2,FALSE))</f>
        <v>96.4</v>
      </c>
      <c r="R10" s="4">
        <f ca="1">_xlfn.NUMBERVALUE(VLOOKUP(VLOOKUP($B10,Key!$A$17:$B$28,2,FALSE),INDIRECT("'"&amp;R$1&amp;"'!"&amp;"$A$2:$C$23"),2,FALSE))</f>
        <v>86.9</v>
      </c>
      <c r="S10" s="4">
        <f t="shared" ca="1" si="1"/>
        <v>137.9</v>
      </c>
      <c r="T10" s="4">
        <f t="shared" ca="1" si="2"/>
        <v>1175.9000000000003</v>
      </c>
      <c r="U10" s="4">
        <f t="shared" ca="1" si="3"/>
        <v>7</v>
      </c>
      <c r="V10" s="4">
        <f t="shared" ca="1" si="0"/>
        <v>291.39999999999998</v>
      </c>
      <c r="W10" s="5">
        <f t="shared" ca="1" si="4"/>
        <v>97.133333333333326</v>
      </c>
      <c r="X10" s="4">
        <f t="shared" ca="1" si="5"/>
        <v>4</v>
      </c>
      <c r="Y10" s="7">
        <f t="shared" ca="1" si="6"/>
        <v>1467.3000000000004</v>
      </c>
      <c r="Z10" s="4">
        <f t="shared" ca="1" si="7"/>
        <v>7</v>
      </c>
      <c r="AA10" s="13">
        <f t="shared" ca="1" si="8"/>
        <v>-139.99999999999977</v>
      </c>
      <c r="AB10" s="13">
        <f t="shared" ca="1" si="9"/>
        <v>-8.7499999999999858</v>
      </c>
      <c r="AC10" s="13">
        <f t="shared" ca="1" si="10"/>
        <v>-37.533333333333331</v>
      </c>
    </row>
    <row r="11" spans="1:29" ht="16.25" thickTop="1" thickBot="1" x14ac:dyDescent="0.9">
      <c r="A11" s="4" t="s">
        <v>21</v>
      </c>
      <c r="B11" s="10" t="s">
        <v>170</v>
      </c>
      <c r="C11" s="4">
        <f ca="1">_xlfn.NUMBERVALUE(VLOOKUP(VLOOKUP($B11,Key!$A$17:$B$28,2,FALSE),INDIRECT("'"&amp;C$1&amp;"'!"&amp;"$A$2:$C$23"),2,FALSE))</f>
        <v>90.8</v>
      </c>
      <c r="D11" s="4">
        <f ca="1">_xlfn.NUMBERVALUE(VLOOKUP(VLOOKUP($B11,Key!$A$17:$B$28,2,FALSE),INDIRECT("'"&amp;D$1&amp;"'!"&amp;"$A$2:$C$23"),2,FALSE))</f>
        <v>82.9</v>
      </c>
      <c r="E11" s="4">
        <f ca="1">_xlfn.NUMBERVALUE(VLOOKUP(VLOOKUP($B11,Key!$A$17:$B$28,2,FALSE),INDIRECT("'"&amp;E$1&amp;"'!"&amp;"$A$2:$C$23"),2,FALSE))</f>
        <v>80.7</v>
      </c>
      <c r="F11" s="4">
        <f ca="1">_xlfn.NUMBERVALUE(VLOOKUP(VLOOKUP($B11,Key!$A$17:$B$28,2,FALSE),INDIRECT("'"&amp;F$1&amp;"'!"&amp;"$A$2:$C$23"),2,FALSE))</f>
        <v>146.5</v>
      </c>
      <c r="G11" s="4">
        <f ca="1">_xlfn.NUMBERVALUE(VLOOKUP(VLOOKUP($B11,Key!$A$17:$B$28,2,FALSE),INDIRECT("'"&amp;G$1&amp;"'!"&amp;"$A$2:$C$23"),2,FALSE))</f>
        <v>112.9</v>
      </c>
      <c r="H11" s="4">
        <f ca="1">_xlfn.NUMBERVALUE(VLOOKUP(VLOOKUP($B11,Key!$A$17:$B$28,2,FALSE),INDIRECT("'"&amp;H$1&amp;"'!"&amp;"$A$2:$C$23"),2,FALSE))</f>
        <v>79.099999999999994</v>
      </c>
      <c r="I11" s="4">
        <f ca="1">_xlfn.NUMBERVALUE(VLOOKUP(VLOOKUP($B11,Key!$A$17:$B$28,2,FALSE),INDIRECT("'"&amp;I$1&amp;"'!"&amp;"$A$2:$C$23"),2,FALSE))</f>
        <v>57.2</v>
      </c>
      <c r="J11" s="4">
        <f ca="1">_xlfn.NUMBERVALUE(VLOOKUP(VLOOKUP($B11,Key!$A$17:$B$28,2,FALSE),INDIRECT("'"&amp;J$1&amp;"'!"&amp;"$A$2:$C$23"),2,FALSE))</f>
        <v>71.400000000000006</v>
      </c>
      <c r="K11" s="4">
        <f ca="1">_xlfn.NUMBERVALUE(VLOOKUP(VLOOKUP($B11,Key!$A$17:$B$28,2,FALSE),INDIRECT("'"&amp;K$1&amp;"'!"&amp;"$A$2:$C$23"),2,FALSE))</f>
        <v>69.8</v>
      </c>
      <c r="L11" s="4">
        <f ca="1">_xlfn.NUMBERVALUE(VLOOKUP(VLOOKUP($B11,Key!$A$17:$B$28,2,FALSE),INDIRECT("'"&amp;L$1&amp;"'!"&amp;"$A$2:$C$23"),2,FALSE))</f>
        <v>74.900000000000006</v>
      </c>
      <c r="M11" s="4">
        <f ca="1">_xlfn.NUMBERVALUE(VLOOKUP(VLOOKUP($B11,Key!$A$17:$B$28,2,FALSE),INDIRECT("'"&amp;M$1&amp;"'!"&amp;"$A$2:$C$23"),2,FALSE))</f>
        <v>103.3</v>
      </c>
      <c r="N11" s="4">
        <f ca="1">_xlfn.NUMBERVALUE(VLOOKUP(VLOOKUP($B11,Key!$A$17:$B$28,2,FALSE),INDIRECT("'"&amp;N$1&amp;"'!"&amp;"$A$2:$C$23"),2,FALSE))</f>
        <v>75.8</v>
      </c>
      <c r="O11" s="4">
        <f ca="1">_xlfn.NUMBERVALUE(VLOOKUP(VLOOKUP($B11,Key!$A$17:$B$28,2,FALSE),INDIRECT("'"&amp;O$1&amp;"'!"&amp;"$A$2:$C$23"),2,FALSE))</f>
        <v>110.8</v>
      </c>
      <c r="P11" s="4">
        <f ca="1">_xlfn.NUMBERVALUE(VLOOKUP(VLOOKUP($B11,Key!$A$17:$B$28,2,FALSE),INDIRECT("'"&amp;P$1&amp;"'!"&amp;"$A$2:$C$23"),2,FALSE))</f>
        <v>80.8</v>
      </c>
      <c r="Q11" s="4">
        <f ca="1">_xlfn.NUMBERVALUE(VLOOKUP(VLOOKUP($B11,Key!$A$17:$B$28,2,FALSE),INDIRECT("'"&amp;Q$1&amp;"'!"&amp;"$A$2:$C$23"),2,FALSE))</f>
        <v>69.5</v>
      </c>
      <c r="R11" s="4">
        <f ca="1">_xlfn.NUMBERVALUE(VLOOKUP(VLOOKUP($B11,Key!$A$17:$B$28,2,FALSE),INDIRECT("'"&amp;R$1&amp;"'!"&amp;"$A$2:$C$23"),2,FALSE))</f>
        <v>82.1</v>
      </c>
      <c r="S11" s="4">
        <f t="shared" ca="1" si="1"/>
        <v>146.5</v>
      </c>
      <c r="T11" s="4">
        <f t="shared" ca="1" si="2"/>
        <v>1156.0999999999999</v>
      </c>
      <c r="U11" s="4">
        <f t="shared" ca="1" si="3"/>
        <v>9</v>
      </c>
      <c r="V11" s="4">
        <f t="shared" ca="1" si="0"/>
        <v>232.4</v>
      </c>
      <c r="W11" s="5">
        <f t="shared" ca="1" si="4"/>
        <v>77.466666666666669</v>
      </c>
      <c r="X11" s="4">
        <f t="shared" ca="1" si="5"/>
        <v>12</v>
      </c>
      <c r="Y11" s="7">
        <f t="shared" ca="1" si="6"/>
        <v>1388.4999999999998</v>
      </c>
      <c r="Z11" s="4">
        <f t="shared" ca="1" si="7"/>
        <v>11</v>
      </c>
      <c r="AA11" s="13">
        <f t="shared" ca="1" si="8"/>
        <v>-159.80000000000018</v>
      </c>
      <c r="AB11" s="13">
        <f t="shared" ca="1" si="9"/>
        <v>-9.9875000000000114</v>
      </c>
      <c r="AC11" s="13">
        <f t="shared" ca="1" si="10"/>
        <v>-57.199999999999989</v>
      </c>
    </row>
    <row r="12" spans="1:29" ht="16.25" thickTop="1" thickBot="1" x14ac:dyDescent="0.9">
      <c r="A12" s="4" t="s">
        <v>23</v>
      </c>
      <c r="B12" s="10" t="s">
        <v>171</v>
      </c>
      <c r="C12" s="4">
        <f ca="1">_xlfn.NUMBERVALUE(VLOOKUP(VLOOKUP($B12,Key!$A$17:$B$28,2,FALSE),INDIRECT("'"&amp;C$1&amp;"'!"&amp;"$A$2:$C$23"),2,FALSE))</f>
        <v>93.6</v>
      </c>
      <c r="D12" s="4">
        <f ca="1">_xlfn.NUMBERVALUE(VLOOKUP(VLOOKUP($B12,Key!$A$17:$B$28,2,FALSE),INDIRECT("'"&amp;D$1&amp;"'!"&amp;"$A$2:$C$23"),2,FALSE))</f>
        <v>79.3</v>
      </c>
      <c r="E12" s="4">
        <f ca="1">_xlfn.NUMBERVALUE(VLOOKUP(VLOOKUP($B12,Key!$A$17:$B$28,2,FALSE),INDIRECT("'"&amp;E$1&amp;"'!"&amp;"$A$2:$C$23"),2,FALSE))</f>
        <v>92</v>
      </c>
      <c r="F12" s="4">
        <f ca="1">_xlfn.NUMBERVALUE(VLOOKUP(VLOOKUP($B12,Key!$A$17:$B$28,2,FALSE),INDIRECT("'"&amp;F$1&amp;"'!"&amp;"$A$2:$C$23"),2,FALSE))</f>
        <v>81</v>
      </c>
      <c r="G12" s="4">
        <f ca="1">_xlfn.NUMBERVALUE(VLOOKUP(VLOOKUP($B12,Key!$A$17:$B$28,2,FALSE),INDIRECT("'"&amp;G$1&amp;"'!"&amp;"$A$2:$C$23"),2,FALSE))</f>
        <v>103.9</v>
      </c>
      <c r="H12" s="4">
        <f ca="1">_xlfn.NUMBERVALUE(VLOOKUP(VLOOKUP($B12,Key!$A$17:$B$28,2,FALSE),INDIRECT("'"&amp;H$1&amp;"'!"&amp;"$A$2:$C$23"),2,FALSE))</f>
        <v>79.7</v>
      </c>
      <c r="I12" s="4">
        <f ca="1">_xlfn.NUMBERVALUE(VLOOKUP(VLOOKUP($B12,Key!$A$17:$B$28,2,FALSE),INDIRECT("'"&amp;I$1&amp;"'!"&amp;"$A$2:$C$23"),2,FALSE))</f>
        <v>105.8</v>
      </c>
      <c r="J12" s="4">
        <f ca="1">_xlfn.NUMBERVALUE(VLOOKUP(VLOOKUP($B12,Key!$A$17:$B$28,2,FALSE),INDIRECT("'"&amp;J$1&amp;"'!"&amp;"$A$2:$C$23"),2,FALSE))</f>
        <v>74.900000000000006</v>
      </c>
      <c r="K12" s="4">
        <f ca="1">_xlfn.NUMBERVALUE(VLOOKUP(VLOOKUP($B12,Key!$A$17:$B$28,2,FALSE),INDIRECT("'"&amp;K$1&amp;"'!"&amp;"$A$2:$C$23"),2,FALSE))</f>
        <v>90</v>
      </c>
      <c r="L12" s="4">
        <f ca="1">_xlfn.NUMBERVALUE(VLOOKUP(VLOOKUP($B12,Key!$A$17:$B$28,2,FALSE),INDIRECT("'"&amp;L$1&amp;"'!"&amp;"$A$2:$C$23"),2,FALSE))</f>
        <v>98.5</v>
      </c>
      <c r="M12" s="4">
        <f ca="1">_xlfn.NUMBERVALUE(VLOOKUP(VLOOKUP($B12,Key!$A$17:$B$28,2,FALSE),INDIRECT("'"&amp;M$1&amp;"'!"&amp;"$A$2:$C$23"),2,FALSE))</f>
        <v>103.8</v>
      </c>
      <c r="N12" s="4">
        <f ca="1">_xlfn.NUMBERVALUE(VLOOKUP(VLOOKUP($B12,Key!$A$17:$B$28,2,FALSE),INDIRECT("'"&amp;N$1&amp;"'!"&amp;"$A$2:$C$23"),2,FALSE))</f>
        <v>98.2</v>
      </c>
      <c r="O12" s="4">
        <f ca="1">_xlfn.NUMBERVALUE(VLOOKUP(VLOOKUP($B12,Key!$A$17:$B$28,2,FALSE),INDIRECT("'"&amp;O$1&amp;"'!"&amp;"$A$2:$C$23"),2,FALSE))</f>
        <v>139.1</v>
      </c>
      <c r="P12" s="4" t="str">
        <f ca="1">IFERROR(_xlfn.NUMBERVALUE(VLOOKUP(VLOOKUP($B12,Key!$A$17:$B$28,2,FALSE),INDIRECT("'"&amp;P$1&amp;"'!"&amp;"$A$2:$C$23"),2,FALSE)),"")</f>
        <v/>
      </c>
      <c r="Q12" s="4">
        <f ca="1">_xlfn.NUMBERVALUE(VLOOKUP(VLOOKUP($B12,Key!$A$17:$B$28,2,FALSE),INDIRECT("'"&amp;Q$1&amp;"'!"&amp;"$A$2:$C$23"),2,FALSE))</f>
        <v>93.8</v>
      </c>
      <c r="R12" s="4">
        <f ca="1">_xlfn.NUMBERVALUE(VLOOKUP(VLOOKUP($B12,Key!$A$17:$B$28,2,FALSE),INDIRECT("'"&amp;R$1&amp;"'!"&amp;"$A$2:$C$23"),2,FALSE))</f>
        <v>98.5</v>
      </c>
      <c r="S12" s="4">
        <f t="shared" ca="1" si="1"/>
        <v>139.1</v>
      </c>
      <c r="T12" s="4">
        <f t="shared" ca="1" si="2"/>
        <v>1239.7999999999997</v>
      </c>
      <c r="U12" s="4">
        <f t="shared" ca="1" si="3"/>
        <v>4</v>
      </c>
      <c r="V12" s="4">
        <f t="shared" ca="1" si="0"/>
        <v>192.3</v>
      </c>
      <c r="W12" s="5">
        <f t="shared" ca="1" si="4"/>
        <v>96.15</v>
      </c>
      <c r="X12" s="4">
        <f t="shared" ca="1" si="5"/>
        <v>5</v>
      </c>
      <c r="Y12" s="7">
        <f t="shared" ca="1" si="6"/>
        <v>1432.0999999999997</v>
      </c>
      <c r="Z12" s="4">
        <f t="shared" ca="1" si="7"/>
        <v>9</v>
      </c>
      <c r="AA12" s="13">
        <f t="shared" ca="1" si="8"/>
        <v>-76.100000000000364</v>
      </c>
      <c r="AB12" s="13">
        <f t="shared" ca="1" si="9"/>
        <v>-4.7562500000000227</v>
      </c>
      <c r="AC12" s="13">
        <f t="shared" ca="1" si="10"/>
        <v>-38.516666666666652</v>
      </c>
    </row>
    <row r="13" spans="1:29" ht="16.25" thickTop="1" thickBot="1" x14ac:dyDescent="0.9">
      <c r="A13" s="4" t="s">
        <v>26</v>
      </c>
      <c r="B13" s="10" t="s">
        <v>172</v>
      </c>
      <c r="C13" s="4">
        <f ca="1">_xlfn.NUMBERVALUE(VLOOKUP(VLOOKUP($B13,Key!$A$17:$B$28,2,FALSE),INDIRECT("'"&amp;C$1&amp;"'!"&amp;"$A$2:$C$23"),2,FALSE))</f>
        <v>132.19999999999999</v>
      </c>
      <c r="D13" s="4">
        <f ca="1">_xlfn.NUMBERVALUE(VLOOKUP(VLOOKUP($B13,Key!$A$17:$B$28,2,FALSE),INDIRECT("'"&amp;D$1&amp;"'!"&amp;"$A$2:$C$23"),2,FALSE))</f>
        <v>85.3</v>
      </c>
      <c r="E13" s="4">
        <f ca="1">_xlfn.NUMBERVALUE(VLOOKUP(VLOOKUP($B13,Key!$A$17:$B$28,2,FALSE),INDIRECT("'"&amp;E$1&amp;"'!"&amp;"$A$2:$C$23"),2,FALSE))</f>
        <v>100.4</v>
      </c>
      <c r="F13" s="4">
        <f ca="1">_xlfn.NUMBERVALUE(VLOOKUP(VLOOKUP($B13,Key!$A$17:$B$28,2,FALSE),INDIRECT("'"&amp;F$1&amp;"'!"&amp;"$A$2:$C$23"),2,FALSE))</f>
        <v>97.8</v>
      </c>
      <c r="G13" s="4">
        <f ca="1">_xlfn.NUMBERVALUE(VLOOKUP(VLOOKUP($B13,Key!$A$17:$B$28,2,FALSE),INDIRECT("'"&amp;G$1&amp;"'!"&amp;"$A$2:$C$23"),2,FALSE))</f>
        <v>94.1</v>
      </c>
      <c r="H13" s="4">
        <f ca="1">_xlfn.NUMBERVALUE(VLOOKUP(VLOOKUP($B13,Key!$A$17:$B$28,2,FALSE),INDIRECT("'"&amp;H$1&amp;"'!"&amp;"$A$2:$C$23"),2,FALSE))</f>
        <v>57.1</v>
      </c>
      <c r="I13" s="4">
        <f ca="1">_xlfn.NUMBERVALUE(VLOOKUP(VLOOKUP($B13,Key!$A$17:$B$28,2,FALSE),INDIRECT("'"&amp;I$1&amp;"'!"&amp;"$A$2:$C$23"),2,FALSE))</f>
        <v>105.8</v>
      </c>
      <c r="J13" s="4">
        <f ca="1">_xlfn.NUMBERVALUE(VLOOKUP(VLOOKUP($B13,Key!$A$17:$B$28,2,FALSE),INDIRECT("'"&amp;J$1&amp;"'!"&amp;"$A$2:$C$23"),2,FALSE))</f>
        <v>114</v>
      </c>
      <c r="K13" s="4">
        <f ca="1">_xlfn.NUMBERVALUE(VLOOKUP(VLOOKUP($B13,Key!$A$17:$B$28,2,FALSE),INDIRECT("'"&amp;K$1&amp;"'!"&amp;"$A$2:$C$23"),2,FALSE))</f>
        <v>120.2</v>
      </c>
      <c r="L13" s="4">
        <f ca="1">_xlfn.NUMBERVALUE(VLOOKUP(VLOOKUP($B13,Key!$A$17:$B$28,2,FALSE),INDIRECT("'"&amp;L$1&amp;"'!"&amp;"$A$2:$C$23"),2,FALSE))</f>
        <v>79.8</v>
      </c>
      <c r="M13" s="4">
        <f ca="1">_xlfn.NUMBERVALUE(VLOOKUP(VLOOKUP($B13,Key!$A$17:$B$28,2,FALSE),INDIRECT("'"&amp;M$1&amp;"'!"&amp;"$A$2:$C$23"),2,FALSE))</f>
        <v>119.8</v>
      </c>
      <c r="N13" s="4">
        <f ca="1">_xlfn.NUMBERVALUE(VLOOKUP(VLOOKUP($B13,Key!$A$17:$B$28,2,FALSE),INDIRECT("'"&amp;N$1&amp;"'!"&amp;"$A$2:$C$23"),2,FALSE))</f>
        <v>103.9</v>
      </c>
      <c r="O13" s="4">
        <f ca="1">_xlfn.NUMBERVALUE(VLOOKUP(VLOOKUP($B13,Key!$A$17:$B$28,2,FALSE),INDIRECT("'"&amp;O$1&amp;"'!"&amp;"$A$2:$C$23"),2,FALSE))</f>
        <v>105.5</v>
      </c>
      <c r="P13" s="4" t="str">
        <f ca="1">IFERROR(_xlfn.NUMBERVALUE(VLOOKUP(VLOOKUP($B13,Key!$A$17:$B$28,2,FALSE),INDIRECT("'"&amp;P$1&amp;"'!"&amp;"$A$2:$C$23"),2,FALSE)),"")</f>
        <v/>
      </c>
      <c r="Q13" s="4">
        <f ca="1">_xlfn.NUMBERVALUE(VLOOKUP(VLOOKUP($B13,Key!$A$17:$B$28,2,FALSE),INDIRECT("'"&amp;Q$1&amp;"'!"&amp;"$A$2:$C$23"),2,FALSE))</f>
        <v>152.80000000000001</v>
      </c>
      <c r="R13" s="4">
        <f ca="1">_xlfn.NUMBERVALUE(VLOOKUP(VLOOKUP($B13,Key!$A$17:$B$28,2,FALSE),INDIRECT("'"&amp;R$1&amp;"'!"&amp;"$A$2:$C$23"),2,FALSE))</f>
        <v>102.8</v>
      </c>
      <c r="S13" s="4">
        <f t="shared" ca="1" si="1"/>
        <v>132.19999999999999</v>
      </c>
      <c r="T13" s="4">
        <f t="shared" ca="1" si="2"/>
        <v>1315.9</v>
      </c>
      <c r="U13" s="4">
        <f t="shared" ca="1" si="3"/>
        <v>1</v>
      </c>
      <c r="V13" s="4">
        <f t="shared" ca="1" si="0"/>
        <v>255.60000000000002</v>
      </c>
      <c r="W13" s="5">
        <f ca="1">SUM(P13:R13)/(COUNT(P13:R13))</f>
        <v>127.80000000000001</v>
      </c>
      <c r="X13" s="4">
        <f t="shared" ca="1" si="5"/>
        <v>2</v>
      </c>
      <c r="Y13" s="7">
        <f t="shared" ca="1" si="6"/>
        <v>1571.5</v>
      </c>
      <c r="Z13" s="4">
        <f t="shared" ca="1" si="7"/>
        <v>2</v>
      </c>
      <c r="AA13" s="13">
        <f t="shared" ca="1" si="8"/>
        <v>0</v>
      </c>
      <c r="AB13" s="13">
        <f t="shared" ca="1" si="9"/>
        <v>0</v>
      </c>
      <c r="AC13" s="13">
        <f t="shared" ca="1" si="10"/>
        <v>-6.8666666666666458</v>
      </c>
    </row>
    <row r="14" spans="1:29" ht="16.25" thickTop="1" thickBot="1" x14ac:dyDescent="0.9">
      <c r="A14" s="4" t="s">
        <v>28</v>
      </c>
      <c r="B14" s="10" t="s">
        <v>173</v>
      </c>
      <c r="C14" s="4">
        <f ca="1">_xlfn.NUMBERVALUE(VLOOKUP(VLOOKUP($B14,Key!$A$17:$B$28,2,FALSE),INDIRECT("'"&amp;C$1&amp;"'!"&amp;"$A$2:$C$23"),2,FALSE))</f>
        <v>83.3</v>
      </c>
      <c r="D14" s="4">
        <f ca="1">_xlfn.NUMBERVALUE(VLOOKUP(VLOOKUP($B14,Key!$A$17:$B$28,2,FALSE),INDIRECT("'"&amp;D$1&amp;"'!"&amp;"$A$2:$C$23"),2,FALSE))</f>
        <v>112</v>
      </c>
      <c r="E14" s="4">
        <f ca="1">_xlfn.NUMBERVALUE(VLOOKUP(VLOOKUP($B14,Key!$A$17:$B$28,2,FALSE),INDIRECT("'"&amp;E$1&amp;"'!"&amp;"$A$2:$C$23"),2,FALSE))</f>
        <v>80.2</v>
      </c>
      <c r="F14" s="4">
        <f ca="1">_xlfn.NUMBERVALUE(VLOOKUP(VLOOKUP($B14,Key!$A$17:$B$28,2,FALSE),INDIRECT("'"&amp;F$1&amp;"'!"&amp;"$A$2:$C$23"),2,FALSE))</f>
        <v>78.7</v>
      </c>
      <c r="G14" s="4">
        <f ca="1">_xlfn.NUMBERVALUE(VLOOKUP(VLOOKUP($B14,Key!$A$17:$B$28,2,FALSE),INDIRECT("'"&amp;G$1&amp;"'!"&amp;"$A$2:$C$23"),2,FALSE))</f>
        <v>105.5</v>
      </c>
      <c r="H14" s="4">
        <f ca="1">_xlfn.NUMBERVALUE(VLOOKUP(VLOOKUP($B14,Key!$A$17:$B$28,2,FALSE),INDIRECT("'"&amp;H$1&amp;"'!"&amp;"$A$2:$C$23"),2,FALSE))</f>
        <v>112.6</v>
      </c>
      <c r="I14" s="4">
        <f ca="1">_xlfn.NUMBERVALUE(VLOOKUP(VLOOKUP($B14,Key!$A$17:$B$28,2,FALSE),INDIRECT("'"&amp;I$1&amp;"'!"&amp;"$A$2:$C$23"),2,FALSE))</f>
        <v>47.4</v>
      </c>
      <c r="J14" s="4">
        <f ca="1">_xlfn.NUMBERVALUE(VLOOKUP(VLOOKUP($B14,Key!$A$17:$B$28,2,FALSE),INDIRECT("'"&amp;J$1&amp;"'!"&amp;"$A$2:$C$23"),2,FALSE))</f>
        <v>84.2</v>
      </c>
      <c r="K14" s="4">
        <f ca="1">_xlfn.NUMBERVALUE(VLOOKUP(VLOOKUP($B14,Key!$A$17:$B$28,2,FALSE),INDIRECT("'"&amp;K$1&amp;"'!"&amp;"$A$2:$C$23"),2,FALSE))</f>
        <v>83.8</v>
      </c>
      <c r="L14" s="4">
        <f ca="1">_xlfn.NUMBERVALUE(VLOOKUP(VLOOKUP($B14,Key!$A$17:$B$28,2,FALSE),INDIRECT("'"&amp;L$1&amp;"'!"&amp;"$A$2:$C$23"),2,FALSE))</f>
        <v>104.9</v>
      </c>
      <c r="M14" s="4">
        <f ca="1">_xlfn.NUMBERVALUE(VLOOKUP(VLOOKUP($B14,Key!$A$17:$B$28,2,FALSE),INDIRECT("'"&amp;M$1&amp;"'!"&amp;"$A$2:$C$23"),2,FALSE))</f>
        <v>74.8</v>
      </c>
      <c r="N14" s="4">
        <f ca="1">_xlfn.NUMBERVALUE(VLOOKUP(VLOOKUP($B14,Key!$A$17:$B$28,2,FALSE),INDIRECT("'"&amp;N$1&amp;"'!"&amp;"$A$2:$C$23"),2,FALSE))</f>
        <v>92.3</v>
      </c>
      <c r="O14" s="4">
        <f ca="1">_xlfn.NUMBERVALUE(VLOOKUP(VLOOKUP($B14,Key!$A$17:$B$28,2,FALSE),INDIRECT("'"&amp;O$1&amp;"'!"&amp;"$A$2:$C$23"),2,FALSE))</f>
        <v>94</v>
      </c>
      <c r="P14" s="4">
        <f ca="1">_xlfn.NUMBERVALUE(VLOOKUP(VLOOKUP($B14,Key!$A$17:$B$28,2,FALSE),INDIRECT("'"&amp;P$1&amp;"'!"&amp;"$A$2:$C$23"),2,FALSE))</f>
        <v>71.2</v>
      </c>
      <c r="Q14" s="4">
        <f ca="1">_xlfn.NUMBERVALUE(VLOOKUP(VLOOKUP($B14,Key!$A$17:$B$28,2,FALSE),INDIRECT("'"&amp;Q$1&amp;"'!"&amp;"$A$2:$C$23"),2,FALSE))</f>
        <v>73.900000000000006</v>
      </c>
      <c r="R14" s="4">
        <f ca="1">_xlfn.NUMBERVALUE(VLOOKUP(VLOOKUP($B14,Key!$A$17:$B$28,2,FALSE),INDIRECT("'"&amp;R$1&amp;"'!"&amp;"$A$2:$C$23"),2,FALSE))</f>
        <v>99</v>
      </c>
      <c r="S14" s="4">
        <f t="shared" ca="1" si="1"/>
        <v>112.6</v>
      </c>
      <c r="T14" s="4">
        <f t="shared" ca="1" si="2"/>
        <v>1153.6999999999998</v>
      </c>
      <c r="U14" s="4">
        <f t="shared" ca="1" si="3"/>
        <v>10</v>
      </c>
      <c r="V14" s="4">
        <f t="shared" ca="1" si="0"/>
        <v>244.10000000000002</v>
      </c>
      <c r="W14" s="5">
        <f ca="1">SUM(P14:R14)/(COUNT(P14:R14))</f>
        <v>81.366666666666674</v>
      </c>
      <c r="X14" s="4">
        <f t="shared" ca="1" si="5"/>
        <v>10</v>
      </c>
      <c r="Y14" s="7">
        <f t="shared" ca="1" si="6"/>
        <v>1397.8</v>
      </c>
      <c r="Z14" s="4">
        <f t="shared" ca="1" si="7"/>
        <v>10</v>
      </c>
      <c r="AA14" s="13">
        <f t="shared" ca="1" si="8"/>
        <v>-162.20000000000027</v>
      </c>
      <c r="AB14" s="13">
        <f t="shared" ca="1" si="9"/>
        <v>-10.137500000000017</v>
      </c>
      <c r="AC14" s="13">
        <f t="shared" ca="1" si="10"/>
        <v>-53.299999999999983</v>
      </c>
    </row>
    <row r="15" spans="1:29" ht="16.25" thickTop="1" thickBot="1" x14ac:dyDescent="0.9">
      <c r="T15" s="14">
        <f ca="1">AVERAGE(T3:T14)/13</f>
        <v>92.897435897435898</v>
      </c>
      <c r="Z15" s="15"/>
    </row>
    <row r="16" spans="1:29" ht="15.5" thickTop="1" x14ac:dyDescent="0.75"/>
  </sheetData>
  <mergeCells count="1">
    <mergeCell ref="AA1:AB1"/>
  </mergeCells>
  <conditionalFormatting sqref="C3:C14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4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4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4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14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4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4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4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4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4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4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4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4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4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4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4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:S14 T2:W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14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14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:W14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4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:AA14 Y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2:AB2 AA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:AC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A3D4-874B-4E3D-BA63-332F3AE30F62}">
  <sheetPr codeName="Sheet17"/>
  <dimension ref="A1:BR16"/>
  <sheetViews>
    <sheetView zoomScale="61" zoomScaleNormal="7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8" sqref="A8:XFD8"/>
    </sheetView>
  </sheetViews>
  <sheetFormatPr defaultRowHeight="14.75" x14ac:dyDescent="0.75"/>
  <cols>
    <col min="1" max="1" width="17.31640625" style="1" customWidth="1"/>
    <col min="2" max="2" width="13.90625" style="1" customWidth="1"/>
    <col min="3" max="3" width="8.90625" style="1" bestFit="1" customWidth="1"/>
    <col min="4" max="4" width="12.1796875" style="1" bestFit="1" customWidth="1"/>
    <col min="5" max="6" width="12.1796875" style="1" customWidth="1"/>
    <col min="7" max="7" width="16.81640625" bestFit="1" customWidth="1"/>
    <col min="8" max="70" width="11.6328125" customWidth="1"/>
  </cols>
  <sheetData>
    <row r="1" spans="1:70" ht="16.25" thickTop="1" thickBot="1" x14ac:dyDescent="0.9">
      <c r="C1" s="23" t="s">
        <v>246</v>
      </c>
      <c r="D1" s="24"/>
      <c r="E1" s="23" t="s">
        <v>247</v>
      </c>
      <c r="F1" s="24"/>
      <c r="G1" s="18" t="s">
        <v>175</v>
      </c>
      <c r="H1" s="19"/>
      <c r="I1" s="19"/>
      <c r="J1" s="20"/>
      <c r="K1" s="18" t="s">
        <v>179</v>
      </c>
      <c r="L1" s="19"/>
      <c r="M1" s="19"/>
      <c r="N1" s="20"/>
      <c r="O1" s="18" t="s">
        <v>180</v>
      </c>
      <c r="P1" s="19"/>
      <c r="Q1" s="19"/>
      <c r="R1" s="20"/>
      <c r="S1" s="18" t="s">
        <v>181</v>
      </c>
      <c r="T1" s="19"/>
      <c r="U1" s="19"/>
      <c r="V1" s="20"/>
      <c r="W1" s="18" t="s">
        <v>182</v>
      </c>
      <c r="X1" s="19"/>
      <c r="Y1" s="19"/>
      <c r="Z1" s="20"/>
      <c r="AA1" s="18" t="s">
        <v>183</v>
      </c>
      <c r="AB1" s="19"/>
      <c r="AC1" s="19"/>
      <c r="AD1" s="20"/>
      <c r="AE1" s="18" t="s">
        <v>184</v>
      </c>
      <c r="AF1" s="19"/>
      <c r="AG1" s="19"/>
      <c r="AH1" s="20"/>
      <c r="AI1" s="18" t="s">
        <v>185</v>
      </c>
      <c r="AJ1" s="19"/>
      <c r="AK1" s="19"/>
      <c r="AL1" s="20"/>
      <c r="AM1" s="18" t="s">
        <v>186</v>
      </c>
      <c r="AN1" s="19"/>
      <c r="AO1" s="19"/>
      <c r="AP1" s="20"/>
      <c r="AQ1" s="18" t="s">
        <v>187</v>
      </c>
      <c r="AR1" s="19"/>
      <c r="AS1" s="19"/>
      <c r="AT1" s="20"/>
      <c r="AU1" s="18" t="s">
        <v>188</v>
      </c>
      <c r="AV1" s="19"/>
      <c r="AW1" s="19"/>
      <c r="AX1" s="20"/>
      <c r="AY1" s="18" t="s">
        <v>189</v>
      </c>
      <c r="AZ1" s="19"/>
      <c r="BA1" s="19"/>
      <c r="BB1" s="20"/>
      <c r="BC1" s="18" t="s">
        <v>190</v>
      </c>
      <c r="BD1" s="19"/>
      <c r="BE1" s="19"/>
      <c r="BF1" s="20"/>
      <c r="BG1" s="18" t="s">
        <v>228</v>
      </c>
      <c r="BH1" s="19"/>
      <c r="BI1" s="19"/>
      <c r="BJ1" s="20"/>
      <c r="BK1" s="18" t="s">
        <v>229</v>
      </c>
      <c r="BL1" s="19"/>
      <c r="BM1" s="19"/>
      <c r="BN1" s="20"/>
      <c r="BO1" s="18" t="s">
        <v>230</v>
      </c>
      <c r="BP1" s="19"/>
      <c r="BQ1" s="19"/>
      <c r="BR1" s="20"/>
    </row>
    <row r="2" spans="1:70" ht="31" thickTop="1" thickBot="1" x14ac:dyDescent="0.9">
      <c r="A2" s="4" t="s">
        <v>161</v>
      </c>
      <c r="B2" s="4" t="s">
        <v>174</v>
      </c>
      <c r="C2" s="9" t="s">
        <v>236</v>
      </c>
      <c r="D2" s="9" t="s">
        <v>237</v>
      </c>
      <c r="E2" s="9" t="s">
        <v>236</v>
      </c>
      <c r="F2" s="9" t="s">
        <v>237</v>
      </c>
      <c r="G2" s="4" t="s">
        <v>176</v>
      </c>
      <c r="H2" s="9" t="s">
        <v>239</v>
      </c>
      <c r="I2" s="9" t="s">
        <v>240</v>
      </c>
      <c r="J2" s="4" t="s">
        <v>238</v>
      </c>
      <c r="K2" s="4" t="s">
        <v>176</v>
      </c>
      <c r="L2" s="9" t="s">
        <v>239</v>
      </c>
      <c r="M2" s="9" t="s">
        <v>240</v>
      </c>
      <c r="N2" s="4" t="s">
        <v>238</v>
      </c>
      <c r="O2" s="4" t="s">
        <v>176</v>
      </c>
      <c r="P2" s="9" t="s">
        <v>239</v>
      </c>
      <c r="Q2" s="9" t="s">
        <v>240</v>
      </c>
      <c r="R2" s="4" t="s">
        <v>238</v>
      </c>
      <c r="S2" s="4" t="s">
        <v>176</v>
      </c>
      <c r="T2" s="9" t="s">
        <v>239</v>
      </c>
      <c r="U2" s="9" t="s">
        <v>240</v>
      </c>
      <c r="V2" s="4" t="s">
        <v>238</v>
      </c>
      <c r="W2" s="4" t="s">
        <v>176</v>
      </c>
      <c r="X2" s="9" t="s">
        <v>239</v>
      </c>
      <c r="Y2" s="9" t="s">
        <v>240</v>
      </c>
      <c r="Z2" s="4" t="s">
        <v>238</v>
      </c>
      <c r="AA2" s="4" t="s">
        <v>176</v>
      </c>
      <c r="AB2" s="9" t="s">
        <v>239</v>
      </c>
      <c r="AC2" s="9" t="s">
        <v>240</v>
      </c>
      <c r="AD2" s="4" t="s">
        <v>238</v>
      </c>
      <c r="AE2" s="4" t="s">
        <v>176</v>
      </c>
      <c r="AF2" s="9" t="s">
        <v>239</v>
      </c>
      <c r="AG2" s="9" t="s">
        <v>240</v>
      </c>
      <c r="AH2" s="4" t="s">
        <v>238</v>
      </c>
      <c r="AI2" s="4" t="s">
        <v>176</v>
      </c>
      <c r="AJ2" s="9" t="s">
        <v>239</v>
      </c>
      <c r="AK2" s="9" t="s">
        <v>240</v>
      </c>
      <c r="AL2" s="4" t="s">
        <v>238</v>
      </c>
      <c r="AM2" s="4" t="s">
        <v>176</v>
      </c>
      <c r="AN2" s="9" t="s">
        <v>239</v>
      </c>
      <c r="AO2" s="9" t="s">
        <v>240</v>
      </c>
      <c r="AP2" s="4" t="s">
        <v>238</v>
      </c>
      <c r="AQ2" s="4" t="s">
        <v>176</v>
      </c>
      <c r="AR2" s="9" t="s">
        <v>239</v>
      </c>
      <c r="AS2" s="9" t="s">
        <v>240</v>
      </c>
      <c r="AT2" s="4" t="s">
        <v>238</v>
      </c>
      <c r="AU2" s="4" t="s">
        <v>176</v>
      </c>
      <c r="AV2" s="9" t="s">
        <v>239</v>
      </c>
      <c r="AW2" s="9" t="s">
        <v>240</v>
      </c>
      <c r="AX2" s="4" t="s">
        <v>238</v>
      </c>
      <c r="AY2" s="4" t="s">
        <v>176</v>
      </c>
      <c r="AZ2" s="9" t="s">
        <v>239</v>
      </c>
      <c r="BA2" s="9" t="s">
        <v>240</v>
      </c>
      <c r="BB2" s="4" t="s">
        <v>238</v>
      </c>
      <c r="BC2" s="4" t="s">
        <v>176</v>
      </c>
      <c r="BD2" s="9" t="s">
        <v>239</v>
      </c>
      <c r="BE2" s="9" t="s">
        <v>240</v>
      </c>
      <c r="BF2" s="4" t="s">
        <v>238</v>
      </c>
      <c r="BG2" s="4" t="s">
        <v>176</v>
      </c>
      <c r="BH2" s="9" t="s">
        <v>239</v>
      </c>
      <c r="BI2" s="9" t="s">
        <v>240</v>
      </c>
      <c r="BJ2" s="4" t="s">
        <v>238</v>
      </c>
      <c r="BK2" s="4" t="s">
        <v>176</v>
      </c>
      <c r="BL2" s="9" t="s">
        <v>239</v>
      </c>
      <c r="BM2" s="9" t="s">
        <v>240</v>
      </c>
      <c r="BN2" s="4" t="s">
        <v>238</v>
      </c>
      <c r="BO2" s="4" t="s">
        <v>176</v>
      </c>
      <c r="BP2" s="9" t="s">
        <v>239</v>
      </c>
      <c r="BQ2" s="9" t="s">
        <v>240</v>
      </c>
      <c r="BR2" s="4" t="s">
        <v>238</v>
      </c>
    </row>
    <row r="3" spans="1:70" ht="16.25" thickTop="1" thickBot="1" x14ac:dyDescent="0.9">
      <c r="A3" s="4" t="s">
        <v>1</v>
      </c>
      <c r="B3" s="4" t="s">
        <v>162</v>
      </c>
      <c r="C3" s="9">
        <f ca="1">COUNTIF(G3:BF3,"W")</f>
        <v>6</v>
      </c>
      <c r="D3" s="9">
        <f ca="1">COUNTIF(G3:BF3,"L")</f>
        <v>5</v>
      </c>
      <c r="E3" s="9">
        <f ca="1">COUNTIF(BG3:BR3,"W")</f>
        <v>2</v>
      </c>
      <c r="F3" s="9">
        <f ca="1">COUNTIF(BG3:BR3,"L")</f>
        <v>0</v>
      </c>
      <c r="G3" s="4" t="str">
        <f ca="1">VLOOKUP(INDEX(INDIRECT("'"&amp;G$1&amp;"'!"&amp;"$A:$C"),MATCH('Schedule Optimizer'!$A3,INDIRECT("'"&amp;G$1&amp;"'!"&amp;"A:A"),0),MATCH('Schedule Optimizer'!G$2,INDIRECT("'"&amp;G$1&amp;"'!"&amp;"$A$1:$C$1"))),$A$3:$B$14,2,FALSE)</f>
        <v>Sara</v>
      </c>
      <c r="H3" s="4">
        <f ca="1">INDEX('Points For'!$B$1:$R$14,MATCH(G3,'Points For'!$B$1:$B$14,0),MATCH(G$1,'Points For'!$B$1:$R$1,0))</f>
        <v>93.9</v>
      </c>
      <c r="I3" s="4">
        <f ca="1">INDEX('Points For'!$B$1:$R$14,MATCH($B$16,'Points For'!$B$1:$B$14,0),MATCH(G$1,'Points For'!$B$1:$R$1,0))</f>
        <v>81</v>
      </c>
      <c r="J3" s="4" t="str">
        <f t="shared" ref="J3:J14" ca="1" si="0">IF(I3&gt;H3,"W",IF(I3&lt;H3,"L",IF(G3=$B$16,"N/A","T")))</f>
        <v>L</v>
      </c>
      <c r="K3" s="4" t="str">
        <f ca="1">VLOOKUP(INDEX(INDIRECT("'"&amp;K$1&amp;"'!"&amp;"$A:$C"),MATCH('Schedule Optimizer'!$A3,INDIRECT("'"&amp;K$1&amp;"'!"&amp;"A:A"),0),MATCH('Schedule Optimizer'!K$2,INDIRECT("'"&amp;K$1&amp;"'!"&amp;"$A$1:$C$1"))),$A$3:$B$14,2,FALSE)</f>
        <v>Sam</v>
      </c>
      <c r="L3" s="4">
        <f ca="1">INDEX('Points For'!$B$1:$R$14,MATCH(K3,'Points For'!$B$1:$B$14,0),MATCH(K$1,'Points For'!$B$1:$R$1,0))</f>
        <v>83.3</v>
      </c>
      <c r="M3" s="4">
        <f ca="1">INDEX('Points For'!$B$1:$R$14,MATCH($B$16,'Points For'!$B$1:$B$14,0),MATCH(K$1,'Points For'!$B$1:$R$1,0))</f>
        <v>91.1</v>
      </c>
      <c r="N3" s="4" t="str">
        <f t="shared" ref="N3:N14" ca="1" si="1">IF(M3&gt;L3,"W",IF(M3&lt;L3,"L",IF(K3=$B$16,"N/A","T")))</f>
        <v>W</v>
      </c>
      <c r="O3" s="4" t="str">
        <f ca="1">VLOOKUP(INDEX(INDIRECT("'"&amp;O$1&amp;"'!"&amp;"$A:$C"),MATCH('Schedule Optimizer'!$A3,INDIRECT("'"&amp;O$1&amp;"'!"&amp;"A:A"),0),MATCH('Schedule Optimizer'!O$2,INDIRECT("'"&amp;O$1&amp;"'!"&amp;"$A$1:$C$1"))),$A$3:$B$14,2,FALSE)</f>
        <v>Catina</v>
      </c>
      <c r="P3" s="4">
        <f ca="1">INDEX('Points For'!$B$1:$R$14,MATCH(O3,'Points For'!$B$1:$B$14,0),MATCH(O$1,'Points For'!$B$1:$R$1,0))</f>
        <v>95.9</v>
      </c>
      <c r="Q3" s="4">
        <f ca="1">INDEX('Points For'!$B$1:$R$14,MATCH($B$16,'Points For'!$B$1:$B$14,0),MATCH(O$1,'Points For'!$B$1:$R$1,0))</f>
        <v>95.9</v>
      </c>
      <c r="R3" s="4" t="str">
        <f t="shared" ref="R3:R14" ca="1" si="2">IF(Q3&gt;P3,"W",IF(Q3&lt;P3,"L",IF(O3=$B$16,"N/A","T")))</f>
        <v>N/A</v>
      </c>
      <c r="S3" s="4" t="str">
        <f ca="1">VLOOKUP(INDEX(INDIRECT("'"&amp;S$1&amp;"'!"&amp;"$A:$C"),MATCH('Schedule Optimizer'!$A3,INDIRECT("'"&amp;S$1&amp;"'!"&amp;"A:A"),0),MATCH('Schedule Optimizer'!S$2,INDIRECT("'"&amp;S$1&amp;"'!"&amp;"$A$1:$C$1"))),$A$3:$B$14,2,FALSE)</f>
        <v>Jesse</v>
      </c>
      <c r="T3" s="4">
        <f ca="1">INDEX('Points For'!$B$1:$R$14,MATCH(S3,'Points For'!$B$1:$B$14,0),MATCH(S$1,'Points For'!$B$1:$R$1,0))</f>
        <v>76.099999999999994</v>
      </c>
      <c r="U3" s="4">
        <f ca="1">INDEX('Points For'!$B$1:$R$14,MATCH($B$16,'Points For'!$B$1:$B$14,0),MATCH(S$1,'Points For'!$B$1:$R$1,0))</f>
        <v>86</v>
      </c>
      <c r="V3" s="4" t="str">
        <f t="shared" ref="V3:V14" ca="1" si="3">IF(U3&gt;T3,"W",IF(U3&lt;T3,"L",IF(S3=$B$16,"N/A","T")))</f>
        <v>W</v>
      </c>
      <c r="W3" s="4" t="str">
        <f ca="1">VLOOKUP(INDEX(INDIRECT("'"&amp;W$1&amp;"'!"&amp;"$A:$C"),MATCH('Schedule Optimizer'!$A3,INDIRECT("'"&amp;W$1&amp;"'!"&amp;"A:A"),0),MATCH('Schedule Optimizer'!W$2,INDIRECT("'"&amp;W$1&amp;"'!"&amp;"$A$1:$C$1"))),$A$3:$B$14,2,FALSE)</f>
        <v>Cody</v>
      </c>
      <c r="X3" s="4">
        <f ca="1">INDEX('Points For'!$B$1:$R$14,MATCH(W3,'Points For'!$B$1:$B$14,0),MATCH(W$1,'Points For'!$B$1:$R$1,0))</f>
        <v>106.4</v>
      </c>
      <c r="Y3" s="4">
        <f ca="1">INDEX('Points For'!$B$1:$R$14,MATCH($B$16,'Points For'!$B$1:$B$14,0),MATCH(W$1,'Points For'!$B$1:$R$1,0))</f>
        <v>65.5</v>
      </c>
      <c r="Z3" s="4" t="str">
        <f t="shared" ref="Z3:Z14" ca="1" si="4">IF(Y3&gt;X3,"W",IF(Y3&lt;X3,"L",IF(W3=$B$16,"N/A","T")))</f>
        <v>L</v>
      </c>
      <c r="AA3" s="4" t="str">
        <f ca="1">VLOOKUP(INDEX(INDIRECT("'"&amp;AA$1&amp;"'!"&amp;"$A:$C"),MATCH('Schedule Optimizer'!$A3,INDIRECT("'"&amp;AA$1&amp;"'!"&amp;"A:A"),0),MATCH('Schedule Optimizer'!AA$2,INDIRECT("'"&amp;AA$1&amp;"'!"&amp;"$A$1:$C$1"))),$A$3:$B$14,2,FALSE)</f>
        <v>Ed</v>
      </c>
      <c r="AB3" s="4">
        <f ca="1">INDEX('Points For'!$B$1:$R$14,MATCH(AA3,'Points For'!$B$1:$B$14,0),MATCH(AA$1,'Points For'!$B$1:$R$1,0))</f>
        <v>57.1</v>
      </c>
      <c r="AC3" s="4">
        <f ca="1">INDEX('Points For'!$B$1:$R$14,MATCH($B$16,'Points For'!$B$1:$B$14,0),MATCH(AA$1,'Points For'!$B$1:$R$1,0))</f>
        <v>85.8</v>
      </c>
      <c r="AD3" s="4" t="str">
        <f t="shared" ref="AD3:AD14" ca="1" si="5">IF(AC3&gt;AB3,"W",IF(AC3&lt;AB3,"L",IF(AA3=$B$16,"N/A","T")))</f>
        <v>W</v>
      </c>
      <c r="AE3" s="4" t="str">
        <f ca="1">VLOOKUP(INDEX(INDIRECT("'"&amp;AE$1&amp;"'!"&amp;"$A:$C"),MATCH('Schedule Optimizer'!$A3,INDIRECT("'"&amp;AE$1&amp;"'!"&amp;"A:A"),0),MATCH('Schedule Optimizer'!AE$2,INDIRECT("'"&amp;AE$1&amp;"'!"&amp;"$A$1:$C$1"))),$A$3:$B$14,2,FALSE)</f>
        <v>Steve</v>
      </c>
      <c r="AF3" s="4">
        <f ca="1">INDEX('Points For'!$B$1:$R$14,MATCH(AE3,'Points For'!$B$1:$B$14,0),MATCH(AE$1,'Points For'!$B$1:$R$1,0))</f>
        <v>57.2</v>
      </c>
      <c r="AG3" s="4">
        <f ca="1">INDEX('Points For'!$B$1:$R$14,MATCH($B$16,'Points For'!$B$1:$B$14,0),MATCH(AE$1,'Points For'!$B$1:$R$1,0))</f>
        <v>91.3</v>
      </c>
      <c r="AH3" s="4" t="str">
        <f t="shared" ref="AH3:AH14" ca="1" si="6">IF(AG3&gt;AF3,"W",IF(AG3&lt;AF3,"L",IF(AE3=$B$16,"N/A","T")))</f>
        <v>W</v>
      </c>
      <c r="AI3" s="4" t="str">
        <f ca="1">VLOOKUP(INDEX(INDIRECT("'"&amp;AI$1&amp;"'!"&amp;"$A:$C"),MATCH('Schedule Optimizer'!$A3,INDIRECT("'"&amp;AI$1&amp;"'!"&amp;"A:A"),0),MATCH('Schedule Optimizer'!AI$2,INDIRECT("'"&amp;AI$1&amp;"'!"&amp;"$A$1:$C$1"))),$A$3:$B$14,2,FALSE)</f>
        <v>Nicole</v>
      </c>
      <c r="AJ3" s="4">
        <f ca="1">INDEX('Points For'!$B$1:$R$14,MATCH(AI3,'Points For'!$B$1:$B$14,0),MATCH(AI$1,'Points For'!$B$1:$R$1,0))</f>
        <v>74.900000000000006</v>
      </c>
      <c r="AK3" s="4">
        <f ca="1">INDEX('Points For'!$B$1:$R$14,MATCH($B$16,'Points For'!$B$1:$B$14,0),MATCH(AI$1,'Points For'!$B$1:$R$1,0))</f>
        <v>82.8</v>
      </c>
      <c r="AL3" s="4" t="str">
        <f t="shared" ref="AL3:AL14" ca="1" si="7">IF(AK3&gt;AJ3,"W",IF(AK3&lt;AJ3,"L",IF(AI3=$B$16,"N/A","T")))</f>
        <v>W</v>
      </c>
      <c r="AM3" s="4" t="str">
        <f ca="1">VLOOKUP(INDEX(INDIRECT("'"&amp;AM$1&amp;"'!"&amp;"$A:$C"),MATCH('Schedule Optimizer'!$A3,INDIRECT("'"&amp;AM$1&amp;"'!"&amp;"A:A"),0),MATCH('Schedule Optimizer'!AM$2,INDIRECT("'"&amp;AM$1&amp;"'!"&amp;"$A$1:$C$1"))),$A$3:$B$14,2,FALSE)</f>
        <v>Binder</v>
      </c>
      <c r="AN3" s="4">
        <f ca="1">INDEX('Points For'!$B$1:$R$14,MATCH(AM3,'Points For'!$B$1:$B$14,0),MATCH(AM$1,'Points For'!$B$1:$R$1,0))</f>
        <v>83.8</v>
      </c>
      <c r="AO3" s="4">
        <f ca="1">INDEX('Points For'!$B$1:$R$14,MATCH($B$16,'Points For'!$B$1:$B$14,0),MATCH(AM$1,'Points For'!$B$1:$R$1,0))</f>
        <v>102.8</v>
      </c>
      <c r="AP3" s="4" t="str">
        <f t="shared" ref="AP3:AP14" ca="1" si="8">IF(AO3&gt;AN3,"W",IF(AO3&lt;AN3,"L",IF(AM3=$B$16,"N/A","T")))</f>
        <v>W</v>
      </c>
      <c r="AQ3" s="4" t="str">
        <f ca="1">VLOOKUP(INDEX(INDIRECT("'"&amp;AQ$1&amp;"'!"&amp;"$A:$C"),MATCH('Schedule Optimizer'!$A3,INDIRECT("'"&amp;AQ$1&amp;"'!"&amp;"A:A"),0),MATCH('Schedule Optimizer'!AQ$2,INDIRECT("'"&amp;AQ$1&amp;"'!"&amp;"$A$1:$C$1"))),$A$3:$B$14,2,FALSE)</f>
        <v>Jake</v>
      </c>
      <c r="AR3" s="4">
        <f ca="1">INDEX('Points For'!$B$1:$R$14,MATCH(AQ3,'Points For'!$B$1:$B$14,0),MATCH(AQ$1,'Points For'!$B$1:$R$1,0))</f>
        <v>101.6</v>
      </c>
      <c r="AS3" s="4">
        <f ca="1">INDEX('Points For'!$B$1:$R$14,MATCH($B$16,'Points For'!$B$1:$B$14,0),MATCH(AQ$1,'Points For'!$B$1:$R$1,0))</f>
        <v>65.599999999999994</v>
      </c>
      <c r="AT3" s="4" t="str">
        <f t="shared" ref="AT3:AT14" ca="1" si="9">IF(AS3&gt;AR3,"W",IF(AS3&lt;AR3,"L",IF(AQ3=$B$16,"N/A","T")))</f>
        <v>L</v>
      </c>
      <c r="AU3" s="4" t="str">
        <f ca="1">VLOOKUP(INDEX(INDIRECT("'"&amp;AU$1&amp;"'!"&amp;"$A:$C"),MATCH('Schedule Optimizer'!$A3,INDIRECT("'"&amp;AU$1&amp;"'!"&amp;"A:A"),0),MATCH('Schedule Optimizer'!AU$2,INDIRECT("'"&amp;AU$1&amp;"'!"&amp;"$A$1:$C$1"))),$A$3:$B$14,2,FALSE)</f>
        <v>Dave</v>
      </c>
      <c r="AV3" s="4">
        <f ca="1">INDEX('Points For'!$B$1:$R$14,MATCH(AU3,'Points For'!$B$1:$B$14,0),MATCH(AU$1,'Points For'!$B$1:$R$1,0))</f>
        <v>116.5</v>
      </c>
      <c r="AW3" s="4">
        <f ca="1">INDEX('Points For'!$B$1:$R$14,MATCH($B$16,'Points For'!$B$1:$B$14,0),MATCH(AU$1,'Points For'!$B$1:$R$1,0))</f>
        <v>100.6</v>
      </c>
      <c r="AX3" s="4" t="str">
        <f t="shared" ref="AX3:AX14" ca="1" si="10">IF(AW3&gt;AV3,"W",IF(AW3&lt;AV3,"L",IF(AU3=$B$16,"N/A","T")))</f>
        <v>L</v>
      </c>
      <c r="AY3" s="4" t="str">
        <f ca="1">VLOOKUP(INDEX(INDIRECT("'"&amp;AY$1&amp;"'!"&amp;"$A:$C"),MATCH('Schedule Optimizer'!$A3,INDIRECT("'"&amp;AY$1&amp;"'!"&amp;"A:A"),0),MATCH('Schedule Optimizer'!AY$2,INDIRECT("'"&amp;AY$1&amp;"'!"&amp;"$A$1:$C$1"))),$A$3:$B$14,2,FALSE)</f>
        <v>Catina</v>
      </c>
      <c r="AZ3" s="4">
        <f ca="1">INDEX('Points For'!$B$1:$R$14,MATCH(AY3,'Points For'!$B$1:$B$14,0),MATCH(AY$1,'Points For'!$B$1:$R$1,0))</f>
        <v>121.6</v>
      </c>
      <c r="BA3" s="4">
        <f ca="1">INDEX('Points For'!$B$1:$R$14,MATCH($B$16,'Points For'!$B$1:$B$14,0),MATCH(AY$1,'Points For'!$B$1:$R$1,0))</f>
        <v>121.6</v>
      </c>
      <c r="BB3" s="4" t="str">
        <f t="shared" ref="BB3:BB14" ca="1" si="11">IF(BA3&gt;AZ3,"W",IF(BA3&lt;AZ3,"L",IF(AY3=$B$16,"N/A","T")))</f>
        <v>N/A</v>
      </c>
      <c r="BC3" s="4" t="str">
        <f ca="1">VLOOKUP(INDEX(INDIRECT("'"&amp;BC$1&amp;"'!"&amp;"$A:$C"),MATCH('Schedule Optimizer'!$A3,INDIRECT("'"&amp;BC$1&amp;"'!"&amp;"A:A"),0),MATCH('Schedule Optimizer'!BC$2,INDIRECT("'"&amp;BC$1&amp;"'!"&amp;"$A$1:$C$1"))),$A$3:$B$14,2,FALSE)</f>
        <v>Jesse</v>
      </c>
      <c r="BD3" s="4">
        <f ca="1">INDEX('Points For'!$B$1:$R$14,MATCH(BC3,'Points For'!$B$1:$B$14,0),MATCH(BC$1,'Points For'!$B$1:$R$1,0))</f>
        <v>86.9</v>
      </c>
      <c r="BE3" s="4">
        <f ca="1">INDEX('Points For'!$B$1:$R$14,MATCH($B$16,'Points For'!$B$1:$B$14,0),MATCH(BC$1,'Points For'!$B$1:$R$1,0))</f>
        <v>79.400000000000006</v>
      </c>
      <c r="BF3" s="4" t="str">
        <f t="shared" ref="BF3:BF14" ca="1" si="12">IF(BE3&gt;BD3,"W",IF(BE3&lt;BD3,"L",IF(BC3=$B$16,"N/A","T")))</f>
        <v>L</v>
      </c>
      <c r="BG3" s="4" t="str">
        <f ca="1">VLOOKUP(INDEX(INDIRECT("'"&amp;BG$1&amp;"'!"&amp;"$A:$C"),MATCH('Schedule Optimizer'!$A3,INDIRECT("'"&amp;BG$1&amp;"'!"&amp;"A:A"),0),MATCH('Schedule Optimizer'!BG$2,INDIRECT("'"&amp;BG$1&amp;"'!"&amp;"$A$1:$C$1"))),$A$3:$B$14,2,FALSE)</f>
        <v>Steve</v>
      </c>
      <c r="BH3" s="4">
        <f ca="1">INDEX('Points For'!$B$1:$R$14,MATCH(BG3,'Points For'!$B$1:$B$14,0),MATCH(BG$1,'Points For'!$B$1:$R$1,0))</f>
        <v>80.8</v>
      </c>
      <c r="BI3" s="4">
        <f ca="1">INDEX('Points For'!$B$1:$R$14,MATCH($B$16,'Points For'!$B$1:$B$14,0),MATCH(BG$1,'Points For'!$B$1:$R$1,0))</f>
        <v>102.6</v>
      </c>
      <c r="BJ3" s="4" t="str">
        <f t="shared" ref="BJ3:BJ14" ca="1" si="13">IF(BI3&gt;BH3,"W",IF(BI3&lt;BH3,"L",IF(BG3=$B$16,"N/A","T")))</f>
        <v>W</v>
      </c>
      <c r="BK3" s="4" t="str">
        <f ca="1">VLOOKUP(INDEX(INDIRECT("'"&amp;BK$1&amp;"'!"&amp;"$A:$C"),MATCH('Schedule Optimizer'!$A3,INDIRECT("'"&amp;BK$1&amp;"'!"&amp;"A:A"),0),MATCH('Schedule Optimizer'!BK$2,INDIRECT("'"&amp;BK$1&amp;"'!"&amp;"$A$1:$C$1"))),$A$3:$B$14,2,FALSE)</f>
        <v>Sara</v>
      </c>
      <c r="BL3" s="4">
        <f ca="1">INDEX('Points For'!$B$1:$R$14,MATCH(BK3,'Points For'!$B$1:$B$14,0),MATCH(BK$1,'Points For'!$B$1:$R$1,0))</f>
        <v>88.6</v>
      </c>
      <c r="BM3" s="4">
        <f ca="1">INDEX('Points For'!$B$1:$R$14,MATCH($B$16,'Points For'!$B$1:$B$14,0),MATCH(BK$1,'Points For'!$B$1:$R$1,0))</f>
        <v>138.30000000000001</v>
      </c>
      <c r="BN3" s="4" t="str">
        <f t="shared" ref="BN3:BN14" ca="1" si="14">IF(BM3&gt;BL3,"W",IF(BM3&lt;BL3,"L",IF(BK3=$B$16,"N/A","T")))</f>
        <v>W</v>
      </c>
      <c r="BO3" s="4" t="str">
        <f ca="1">VLOOKUP(INDEX(INDIRECT("'"&amp;BO$1&amp;"'!"&amp;"$A:$C"),MATCH('Schedule Optimizer'!$A3,INDIRECT("'"&amp;BO$1&amp;"'!"&amp;"A:A"),0),MATCH('Schedule Optimizer'!BO$2,INDIRECT("'"&amp;BO$1&amp;"'!"&amp;"$A$1:$C$1"))),$A$3:$B$14,2,FALSE)</f>
        <v>Catina</v>
      </c>
      <c r="BP3" s="4">
        <f ca="1">INDEX('Points For'!$B$1:$R$14,MATCH(BO3,'Points For'!$B$1:$B$14,0),MATCH(BO$1,'Points For'!$B$1:$R$1,0))</f>
        <v>163.1</v>
      </c>
      <c r="BQ3" s="4">
        <f ca="1">INDEX('Points For'!$B$1:$R$14,MATCH($B$16,'Points For'!$B$1:$B$14,0),MATCH(BO$1,'Points For'!$B$1:$R$1,0))</f>
        <v>163.1</v>
      </c>
      <c r="BR3" s="4" t="str">
        <f t="shared" ref="BR3:BR14" ca="1" si="15">IF(BQ3&gt;BP3,"W",IF(BQ3&lt;BP3,"L",IF(BO3=$B$16,"N/A","T")))</f>
        <v>N/A</v>
      </c>
    </row>
    <row r="4" spans="1:70" ht="16.25" thickTop="1" thickBot="1" x14ac:dyDescent="0.9">
      <c r="A4" s="4" t="s">
        <v>3</v>
      </c>
      <c r="B4" s="4" t="s">
        <v>163</v>
      </c>
      <c r="C4" s="9">
        <f t="shared" ref="C4:C14" ca="1" si="16">COUNTIF(G4:BF4,"W")</f>
        <v>6</v>
      </c>
      <c r="D4" s="9">
        <f t="shared" ref="D4:D14" ca="1" si="17">COUNTIF(G4:BF4,"L")</f>
        <v>6</v>
      </c>
      <c r="E4" s="9">
        <f t="shared" ref="E4:E14" ca="1" si="18">COUNTIF(BG4:BR4,"W")</f>
        <v>2</v>
      </c>
      <c r="F4" s="9">
        <f t="shared" ref="F4:F14" ca="1" si="19">COUNTIF(BG4:BR4,"L")</f>
        <v>1</v>
      </c>
      <c r="G4" s="4" t="str">
        <f ca="1">VLOOKUP(INDEX(INDIRECT("'"&amp;G$1&amp;"'!"&amp;"$A:$C"),MATCH('Schedule Optimizer'!$A4,INDIRECT("'"&amp;G$1&amp;"'!"&amp;"A:A"),0),MATCH('Schedule Optimizer'!G$2,INDIRECT("'"&amp;G$1&amp;"'!"&amp;"$A$1:$C$1"))),$A$3:$B$14,2,FALSE)</f>
        <v>Tres</v>
      </c>
      <c r="H4" s="4">
        <f ca="1">INDEX('Points For'!$B$1:$R$14,MATCH(G4,'Points For'!$B$1:$B$14,0),MATCH(G$1,'Points For'!$B$1:$R$1,0))</f>
        <v>88.4</v>
      </c>
      <c r="I4" s="4">
        <f ca="1">INDEX('Points For'!$B$1:$R$14,MATCH($B$16,'Points For'!$B$1:$B$14,0),MATCH(G$1,'Points For'!$B$1:$R$1,0))</f>
        <v>81</v>
      </c>
      <c r="J4" s="4" t="str">
        <f t="shared" ca="1" si="0"/>
        <v>L</v>
      </c>
      <c r="K4" s="4" t="str">
        <f ca="1">VLOOKUP(INDEX(INDIRECT("'"&amp;K$1&amp;"'!"&amp;"$A:$C"),MATCH('Schedule Optimizer'!$A4,INDIRECT("'"&amp;K$1&amp;"'!"&amp;"A:A"),0),MATCH('Schedule Optimizer'!K$2,INDIRECT("'"&amp;K$1&amp;"'!"&amp;"$A$1:$C$1"))),$A$3:$B$14,2,FALSE)</f>
        <v>Dave</v>
      </c>
      <c r="L4" s="4">
        <f ca="1">INDEX('Points For'!$B$1:$R$14,MATCH(K4,'Points For'!$B$1:$B$14,0),MATCH(K$1,'Points For'!$B$1:$R$1,0))</f>
        <v>75.099999999999994</v>
      </c>
      <c r="M4" s="4">
        <f ca="1">INDEX('Points For'!$B$1:$R$14,MATCH($B$16,'Points For'!$B$1:$B$14,0),MATCH(K$1,'Points For'!$B$1:$R$1,0))</f>
        <v>91.1</v>
      </c>
      <c r="N4" s="4" t="str">
        <f t="shared" ca="1" si="1"/>
        <v>W</v>
      </c>
      <c r="O4" s="4" t="str">
        <f ca="1">VLOOKUP(INDEX(INDIRECT("'"&amp;O$1&amp;"'!"&amp;"$A:$C"),MATCH('Schedule Optimizer'!$A4,INDIRECT("'"&amp;O$1&amp;"'!"&amp;"A:A"),0),MATCH('Schedule Optimizer'!O$2,INDIRECT("'"&amp;O$1&amp;"'!"&amp;"$A$1:$C$1"))),$A$3:$B$14,2,FALSE)</f>
        <v>Nicole</v>
      </c>
      <c r="P4" s="4">
        <f ca="1">INDEX('Points For'!$B$1:$R$14,MATCH(O4,'Points For'!$B$1:$B$14,0),MATCH(O$1,'Points For'!$B$1:$R$1,0))</f>
        <v>92</v>
      </c>
      <c r="Q4" s="4">
        <f ca="1">INDEX('Points For'!$B$1:$R$14,MATCH($B$16,'Points For'!$B$1:$B$14,0),MATCH(O$1,'Points For'!$B$1:$R$1,0))</f>
        <v>95.9</v>
      </c>
      <c r="R4" s="4" t="str">
        <f t="shared" ca="1" si="2"/>
        <v>W</v>
      </c>
      <c r="S4" s="4" t="str">
        <f ca="1">VLOOKUP(INDEX(INDIRECT("'"&amp;S$1&amp;"'!"&amp;"$A:$C"),MATCH('Schedule Optimizer'!$A4,INDIRECT("'"&amp;S$1&amp;"'!"&amp;"A:A"),0),MATCH('Schedule Optimizer'!S$2,INDIRECT("'"&amp;S$1&amp;"'!"&amp;"$A$1:$C$1"))),$A$3:$B$14,2,FALSE)</f>
        <v>Sam</v>
      </c>
      <c r="T4" s="4">
        <f ca="1">INDEX('Points For'!$B$1:$R$14,MATCH(S4,'Points For'!$B$1:$B$14,0),MATCH(S$1,'Points For'!$B$1:$R$1,0))</f>
        <v>75.7</v>
      </c>
      <c r="U4" s="4">
        <f ca="1">INDEX('Points For'!$B$1:$R$14,MATCH($B$16,'Points For'!$B$1:$B$14,0),MATCH(S$1,'Points For'!$B$1:$R$1,0))</f>
        <v>86</v>
      </c>
      <c r="V4" s="4" t="str">
        <f t="shared" ca="1" si="3"/>
        <v>W</v>
      </c>
      <c r="W4" s="4" t="str">
        <f ca="1">VLOOKUP(INDEX(INDIRECT("'"&amp;W$1&amp;"'!"&amp;"$A:$C"),MATCH('Schedule Optimizer'!$A4,INDIRECT("'"&amp;W$1&amp;"'!"&amp;"A:A"),0),MATCH('Schedule Optimizer'!W$2,INDIRECT("'"&amp;W$1&amp;"'!"&amp;"$A$1:$C$1"))),$A$3:$B$14,2,FALSE)</f>
        <v>Binder</v>
      </c>
      <c r="X4" s="4">
        <f ca="1">INDEX('Points For'!$B$1:$R$14,MATCH(W4,'Points For'!$B$1:$B$14,0),MATCH(W$1,'Points For'!$B$1:$R$1,0))</f>
        <v>105.5</v>
      </c>
      <c r="Y4" s="4">
        <f ca="1">INDEX('Points For'!$B$1:$R$14,MATCH($B$16,'Points For'!$B$1:$B$14,0),MATCH(W$1,'Points For'!$B$1:$R$1,0))</f>
        <v>65.5</v>
      </c>
      <c r="Z4" s="4" t="str">
        <f t="shared" ca="1" si="4"/>
        <v>L</v>
      </c>
      <c r="AA4" s="4" t="str">
        <f ca="1">VLOOKUP(INDEX(INDIRECT("'"&amp;AA$1&amp;"'!"&amp;"$A:$C"),MATCH('Schedule Optimizer'!$A4,INDIRECT("'"&amp;AA$1&amp;"'!"&amp;"A:A"),0),MATCH('Schedule Optimizer'!AA$2,INDIRECT("'"&amp;AA$1&amp;"'!"&amp;"$A$1:$C$1"))),$A$3:$B$14,2,FALSE)</f>
        <v>Cody</v>
      </c>
      <c r="AB4" s="4">
        <f ca="1">INDEX('Points For'!$B$1:$R$14,MATCH(AA4,'Points For'!$B$1:$B$14,0),MATCH(AA$1,'Points For'!$B$1:$R$1,0))</f>
        <v>78.099999999999994</v>
      </c>
      <c r="AC4" s="4">
        <f ca="1">INDEX('Points For'!$B$1:$R$14,MATCH($B$16,'Points For'!$B$1:$B$14,0),MATCH(AA$1,'Points For'!$B$1:$R$1,0))</f>
        <v>85.8</v>
      </c>
      <c r="AD4" s="4" t="str">
        <f t="shared" ca="1" si="5"/>
        <v>W</v>
      </c>
      <c r="AE4" s="4" t="str">
        <f ca="1">VLOOKUP(INDEX(INDIRECT("'"&amp;AE$1&amp;"'!"&amp;"$A:$C"),MATCH('Schedule Optimizer'!$A4,INDIRECT("'"&amp;AE$1&amp;"'!"&amp;"A:A"),0),MATCH('Schedule Optimizer'!AE$2,INDIRECT("'"&amp;AE$1&amp;"'!"&amp;"$A$1:$C$1"))),$A$3:$B$14,2,FALSE)</f>
        <v>Jesse</v>
      </c>
      <c r="AF4" s="4">
        <f ca="1">INDEX('Points For'!$B$1:$R$14,MATCH(AE4,'Points For'!$B$1:$B$14,0),MATCH(AE$1,'Points For'!$B$1:$R$1,0))</f>
        <v>79.599999999999994</v>
      </c>
      <c r="AG4" s="4">
        <f ca="1">INDEX('Points For'!$B$1:$R$14,MATCH($B$16,'Points For'!$B$1:$B$14,0),MATCH(AE$1,'Points For'!$B$1:$R$1,0))</f>
        <v>91.3</v>
      </c>
      <c r="AH4" s="4" t="str">
        <f t="shared" ca="1" si="6"/>
        <v>W</v>
      </c>
      <c r="AI4" s="4" t="str">
        <f ca="1">VLOOKUP(INDEX(INDIRECT("'"&amp;AI$1&amp;"'!"&amp;"$A:$C"),MATCH('Schedule Optimizer'!$A4,INDIRECT("'"&amp;AI$1&amp;"'!"&amp;"A:A"),0),MATCH('Schedule Optimizer'!AI$2,INDIRECT("'"&amp;AI$1&amp;"'!"&amp;"$A$1:$C$1"))),$A$3:$B$14,2,FALSE)</f>
        <v>Ed</v>
      </c>
      <c r="AJ4" s="4">
        <f ca="1">INDEX('Points For'!$B$1:$R$14,MATCH(AI4,'Points For'!$B$1:$B$14,0),MATCH(AI$1,'Points For'!$B$1:$R$1,0))</f>
        <v>114</v>
      </c>
      <c r="AK4" s="4">
        <f ca="1">INDEX('Points For'!$B$1:$R$14,MATCH($B$16,'Points For'!$B$1:$B$14,0),MATCH(AI$1,'Points For'!$B$1:$R$1,0))</f>
        <v>82.8</v>
      </c>
      <c r="AL4" s="4" t="str">
        <f t="shared" ca="1" si="7"/>
        <v>L</v>
      </c>
      <c r="AM4" s="4" t="str">
        <f ca="1">VLOOKUP(INDEX(INDIRECT("'"&amp;AM$1&amp;"'!"&amp;"$A:$C"),MATCH('Schedule Optimizer'!$A4,INDIRECT("'"&amp;AM$1&amp;"'!"&amp;"A:A"),0),MATCH('Schedule Optimizer'!AM$2,INDIRECT("'"&amp;AM$1&amp;"'!"&amp;"$A$1:$C$1"))),$A$3:$B$14,2,FALSE)</f>
        <v>Jake</v>
      </c>
      <c r="AN4" s="4">
        <f ca="1">INDEX('Points For'!$B$1:$R$14,MATCH(AM4,'Points For'!$B$1:$B$14,0),MATCH(AM$1,'Points For'!$B$1:$R$1,0))</f>
        <v>106</v>
      </c>
      <c r="AO4" s="4">
        <f ca="1">INDEX('Points For'!$B$1:$R$14,MATCH($B$16,'Points For'!$B$1:$B$14,0),MATCH(AM$1,'Points For'!$B$1:$R$1,0))</f>
        <v>102.8</v>
      </c>
      <c r="AP4" s="4" t="str">
        <f t="shared" ca="1" si="8"/>
        <v>L</v>
      </c>
      <c r="AQ4" s="4" t="str">
        <f ca="1">VLOOKUP(INDEX(INDIRECT("'"&amp;AQ$1&amp;"'!"&amp;"$A:$C"),MATCH('Schedule Optimizer'!$A4,INDIRECT("'"&amp;AQ$1&amp;"'!"&amp;"A:A"),0),MATCH('Schedule Optimizer'!AQ$2,INDIRECT("'"&amp;AQ$1&amp;"'!"&amp;"$A$1:$C$1"))),$A$3:$B$14,2,FALSE)</f>
        <v>Catina</v>
      </c>
      <c r="AR4" s="4">
        <f ca="1">INDEX('Points For'!$B$1:$R$14,MATCH(AQ4,'Points For'!$B$1:$B$14,0),MATCH(AQ$1,'Points For'!$B$1:$R$1,0))</f>
        <v>65.599999999999994</v>
      </c>
      <c r="AS4" s="4">
        <f ca="1">INDEX('Points For'!$B$1:$R$14,MATCH($B$16,'Points For'!$B$1:$B$14,0),MATCH(AQ$1,'Points For'!$B$1:$R$1,0))</f>
        <v>65.599999999999994</v>
      </c>
      <c r="AT4" s="4" t="str">
        <f t="shared" ca="1" si="9"/>
        <v>N/A</v>
      </c>
      <c r="AU4" s="4" t="str">
        <f ca="1">VLOOKUP(INDEX(INDIRECT("'"&amp;AU$1&amp;"'!"&amp;"$A:$C"),MATCH('Schedule Optimizer'!$A4,INDIRECT("'"&amp;AU$1&amp;"'!"&amp;"A:A"),0),MATCH('Schedule Optimizer'!AU$2,INDIRECT("'"&amp;AU$1&amp;"'!"&amp;"$A$1:$C$1"))),$A$3:$B$14,2,FALSE)</f>
        <v>Steve</v>
      </c>
      <c r="AV4" s="4">
        <f ca="1">INDEX('Points For'!$B$1:$R$14,MATCH(AU4,'Points For'!$B$1:$B$14,0),MATCH(AU$1,'Points For'!$B$1:$R$1,0))</f>
        <v>103.3</v>
      </c>
      <c r="AW4" s="4">
        <f ca="1">INDEX('Points For'!$B$1:$R$14,MATCH($B$16,'Points For'!$B$1:$B$14,0),MATCH(AU$1,'Points For'!$B$1:$R$1,0))</f>
        <v>100.6</v>
      </c>
      <c r="AX4" s="4" t="str">
        <f t="shared" ca="1" si="10"/>
        <v>L</v>
      </c>
      <c r="AY4" s="4" t="str">
        <f ca="1">VLOOKUP(INDEX(INDIRECT("'"&amp;AY$1&amp;"'!"&amp;"$A:$C"),MATCH('Schedule Optimizer'!$A4,INDIRECT("'"&amp;AY$1&amp;"'!"&amp;"A:A"),0),MATCH('Schedule Optimizer'!AY$2,INDIRECT("'"&amp;AY$1&amp;"'!"&amp;"$A$1:$C$1"))),$A$3:$B$14,2,FALSE)</f>
        <v>Nicole</v>
      </c>
      <c r="AZ4" s="4">
        <f ca="1">INDEX('Points For'!$B$1:$R$14,MATCH(AY4,'Points For'!$B$1:$B$14,0),MATCH(AY$1,'Points For'!$B$1:$R$1,0))</f>
        <v>98.2</v>
      </c>
      <c r="BA4" s="4">
        <f ca="1">INDEX('Points For'!$B$1:$R$14,MATCH($B$16,'Points For'!$B$1:$B$14,0),MATCH(AY$1,'Points For'!$B$1:$R$1,0))</f>
        <v>121.6</v>
      </c>
      <c r="BB4" s="4" t="str">
        <f t="shared" ca="1" si="11"/>
        <v>W</v>
      </c>
      <c r="BC4" s="4" t="str">
        <f ca="1">VLOOKUP(INDEX(INDIRECT("'"&amp;BC$1&amp;"'!"&amp;"$A:$C"),MATCH('Schedule Optimizer'!$A4,INDIRECT("'"&amp;BC$1&amp;"'!"&amp;"A:A"),0),MATCH('Schedule Optimizer'!BC$2,INDIRECT("'"&amp;BC$1&amp;"'!"&amp;"$A$1:$C$1"))),$A$3:$B$14,2,FALSE)</f>
        <v>Sam</v>
      </c>
      <c r="BD4" s="4">
        <f ca="1">INDEX('Points For'!$B$1:$R$14,MATCH(BC4,'Points For'!$B$1:$B$14,0),MATCH(BC$1,'Points For'!$B$1:$R$1,0))</f>
        <v>109</v>
      </c>
      <c r="BE4" s="4">
        <f ca="1">INDEX('Points For'!$B$1:$R$14,MATCH($B$16,'Points For'!$B$1:$B$14,0),MATCH(BC$1,'Points For'!$B$1:$R$1,0))</f>
        <v>79.400000000000006</v>
      </c>
      <c r="BF4" s="4" t="str">
        <f t="shared" ca="1" si="12"/>
        <v>L</v>
      </c>
      <c r="BG4" s="4" t="str">
        <f ca="1">VLOOKUP(INDEX(INDIRECT("'"&amp;BG$1&amp;"'!"&amp;"$A:$C"),MATCH('Schedule Optimizer'!$A4,INDIRECT("'"&amp;BG$1&amp;"'!"&amp;"A:A"),0),MATCH('Schedule Optimizer'!BG$2,INDIRECT("'"&amp;BG$1&amp;"'!"&amp;"$A$1:$C$1"))),$A$3:$B$14,2,FALSE)</f>
        <v>Sam</v>
      </c>
      <c r="BH4" s="4">
        <f ca="1">INDEX('Points For'!$B$1:$R$14,MATCH(BG4,'Points For'!$B$1:$B$14,0),MATCH(BG$1,'Points For'!$B$1:$R$1,0))</f>
        <v>112.7</v>
      </c>
      <c r="BI4" s="4">
        <f ca="1">INDEX('Points For'!$B$1:$R$14,MATCH($B$16,'Points For'!$B$1:$B$14,0),MATCH(BG$1,'Points For'!$B$1:$R$1,0))</f>
        <v>102.6</v>
      </c>
      <c r="BJ4" s="4" t="str">
        <f t="shared" ca="1" si="13"/>
        <v>L</v>
      </c>
      <c r="BK4" s="4" t="str">
        <f ca="1">VLOOKUP(INDEX(INDIRECT("'"&amp;BK$1&amp;"'!"&amp;"$A:$C"),MATCH('Schedule Optimizer'!$A4,INDIRECT("'"&amp;BK$1&amp;"'!"&amp;"A:A"),0),MATCH('Schedule Optimizer'!BK$2,INDIRECT("'"&amp;BK$1&amp;"'!"&amp;"$A$1:$C$1"))),$A$3:$B$14,2,FALSE)</f>
        <v>Tres</v>
      </c>
      <c r="BL4" s="4">
        <f ca="1">INDEX('Points For'!$B$1:$R$14,MATCH(BK4,'Points For'!$B$1:$B$14,0),MATCH(BK$1,'Points For'!$B$1:$R$1,0))</f>
        <v>94.5</v>
      </c>
      <c r="BM4" s="4">
        <f ca="1">INDEX('Points For'!$B$1:$R$14,MATCH($B$16,'Points For'!$B$1:$B$14,0),MATCH(BK$1,'Points For'!$B$1:$R$1,0))</f>
        <v>138.30000000000001</v>
      </c>
      <c r="BN4" s="4" t="str">
        <f t="shared" ca="1" si="14"/>
        <v>W</v>
      </c>
      <c r="BO4" s="4" t="str">
        <f ca="1">VLOOKUP(INDEX(INDIRECT("'"&amp;BO$1&amp;"'!"&amp;"$A:$C"),MATCH('Schedule Optimizer'!$A4,INDIRECT("'"&amp;BO$1&amp;"'!"&amp;"A:A"),0),MATCH('Schedule Optimizer'!BO$2,INDIRECT("'"&amp;BO$1&amp;"'!"&amp;"$A$1:$C$1"))),$A$3:$B$14,2,FALSE)</f>
        <v>Steve</v>
      </c>
      <c r="BP4" s="4">
        <f ca="1">INDEX('Points For'!$B$1:$R$14,MATCH(BO4,'Points For'!$B$1:$B$14,0),MATCH(BO$1,'Points For'!$B$1:$R$1,0))</f>
        <v>82.1</v>
      </c>
      <c r="BQ4" s="4">
        <f ca="1">INDEX('Points For'!$B$1:$R$14,MATCH($B$16,'Points For'!$B$1:$B$14,0),MATCH(BO$1,'Points For'!$B$1:$R$1,0))</f>
        <v>163.1</v>
      </c>
      <c r="BR4" s="4" t="str">
        <f t="shared" ca="1" si="15"/>
        <v>W</v>
      </c>
    </row>
    <row r="5" spans="1:70" ht="16.25" thickTop="1" thickBot="1" x14ac:dyDescent="0.9">
      <c r="A5" s="4" t="s">
        <v>6</v>
      </c>
      <c r="B5" s="4" t="s">
        <v>164</v>
      </c>
      <c r="C5" s="9">
        <f t="shared" ca="1" si="16"/>
        <v>7</v>
      </c>
      <c r="D5" s="9">
        <f t="shared" ca="1" si="17"/>
        <v>5</v>
      </c>
      <c r="E5" s="9">
        <f t="shared" ca="1" si="18"/>
        <v>2</v>
      </c>
      <c r="F5" s="9">
        <f t="shared" ca="1" si="19"/>
        <v>0</v>
      </c>
      <c r="G5" s="4" t="str">
        <f ca="1">VLOOKUP(INDEX(INDIRECT("'"&amp;G$1&amp;"'!"&amp;"$A:$C"),MATCH('Schedule Optimizer'!$A5,INDIRECT("'"&amp;G$1&amp;"'!"&amp;"A:A"),0),MATCH('Schedule Optimizer'!G$2,INDIRECT("'"&amp;G$1&amp;"'!"&amp;"$A$1:$C$1"))),$A$3:$B$14,2,FALSE)</f>
        <v>Catina</v>
      </c>
      <c r="H5" s="4">
        <f ca="1">INDEX('Points For'!$B$1:$R$14,MATCH(G5,'Points For'!$B$1:$B$14,0),MATCH(G$1,'Points For'!$B$1:$R$1,0))</f>
        <v>81</v>
      </c>
      <c r="I5" s="4">
        <f ca="1">INDEX('Points For'!$B$1:$R$14,MATCH($B$16,'Points For'!$B$1:$B$14,0),MATCH(G$1,'Points For'!$B$1:$R$1,0))</f>
        <v>81</v>
      </c>
      <c r="J5" s="4" t="str">
        <f t="shared" ca="1" si="0"/>
        <v>N/A</v>
      </c>
      <c r="K5" s="4" t="str">
        <f ca="1">VLOOKUP(INDEX(INDIRECT("'"&amp;K$1&amp;"'!"&amp;"$A:$C"),MATCH('Schedule Optimizer'!$A5,INDIRECT("'"&amp;K$1&amp;"'!"&amp;"A:A"),0),MATCH('Schedule Optimizer'!K$2,INDIRECT("'"&amp;K$1&amp;"'!"&amp;"$A$1:$C$1"))),$A$3:$B$14,2,FALSE)</f>
        <v>Tres</v>
      </c>
      <c r="L5" s="4">
        <f ca="1">INDEX('Points For'!$B$1:$R$14,MATCH(K5,'Points For'!$B$1:$B$14,0),MATCH(K$1,'Points For'!$B$1:$R$1,0))</f>
        <v>97</v>
      </c>
      <c r="M5" s="4">
        <f ca="1">INDEX('Points For'!$B$1:$R$14,MATCH($B$16,'Points For'!$B$1:$B$14,0),MATCH(K$1,'Points For'!$B$1:$R$1,0))</f>
        <v>91.1</v>
      </c>
      <c r="N5" s="4" t="str">
        <f t="shared" ca="1" si="1"/>
        <v>L</v>
      </c>
      <c r="O5" s="4" t="str">
        <f ca="1">VLOOKUP(INDEX(INDIRECT("'"&amp;O$1&amp;"'!"&amp;"$A:$C"),MATCH('Schedule Optimizer'!$A5,INDIRECT("'"&amp;O$1&amp;"'!"&amp;"A:A"),0),MATCH('Schedule Optimizer'!O$2,INDIRECT("'"&amp;O$1&amp;"'!"&amp;"$A$1:$C$1"))),$A$3:$B$14,2,FALSE)</f>
        <v>Binder</v>
      </c>
      <c r="P5" s="4">
        <f ca="1">INDEX('Points For'!$B$1:$R$14,MATCH(O5,'Points For'!$B$1:$B$14,0),MATCH(O$1,'Points For'!$B$1:$R$1,0))</f>
        <v>80.2</v>
      </c>
      <c r="Q5" s="4">
        <f ca="1">INDEX('Points For'!$B$1:$R$14,MATCH($B$16,'Points For'!$B$1:$B$14,0),MATCH(O$1,'Points For'!$B$1:$R$1,0))</f>
        <v>95.9</v>
      </c>
      <c r="R5" s="4" t="str">
        <f t="shared" ca="1" si="2"/>
        <v>W</v>
      </c>
      <c r="S5" s="4" t="str">
        <f ca="1">VLOOKUP(INDEX(INDIRECT("'"&amp;S$1&amp;"'!"&amp;"$A:$C"),MATCH('Schedule Optimizer'!$A5,INDIRECT("'"&amp;S$1&amp;"'!"&amp;"A:A"),0),MATCH('Schedule Optimizer'!S$2,INDIRECT("'"&amp;S$1&amp;"'!"&amp;"$A$1:$C$1"))),$A$3:$B$14,2,FALSE)</f>
        <v>Sara</v>
      </c>
      <c r="T5" s="4">
        <f ca="1">INDEX('Points For'!$B$1:$R$14,MATCH(S5,'Points For'!$B$1:$B$14,0),MATCH(S$1,'Points For'!$B$1:$R$1,0))</f>
        <v>72.5</v>
      </c>
      <c r="U5" s="4">
        <f ca="1">INDEX('Points For'!$B$1:$R$14,MATCH($B$16,'Points For'!$B$1:$B$14,0),MATCH(S$1,'Points For'!$B$1:$R$1,0))</f>
        <v>86</v>
      </c>
      <c r="V5" s="4" t="str">
        <f t="shared" ca="1" si="3"/>
        <v>W</v>
      </c>
      <c r="W5" s="4" t="str">
        <f ca="1">VLOOKUP(INDEX(INDIRECT("'"&amp;W$1&amp;"'!"&amp;"$A:$C"),MATCH('Schedule Optimizer'!$A5,INDIRECT("'"&amp;W$1&amp;"'!"&amp;"A:A"),0),MATCH('Schedule Optimizer'!W$2,INDIRECT("'"&amp;W$1&amp;"'!"&amp;"$A$1:$C$1"))),$A$3:$B$14,2,FALSE)</f>
        <v>Ed</v>
      </c>
      <c r="X5" s="4">
        <f ca="1">INDEX('Points For'!$B$1:$R$14,MATCH(W5,'Points For'!$B$1:$B$14,0),MATCH(W$1,'Points For'!$B$1:$R$1,0))</f>
        <v>94.1</v>
      </c>
      <c r="Y5" s="4">
        <f ca="1">INDEX('Points For'!$B$1:$R$14,MATCH($B$16,'Points For'!$B$1:$B$14,0),MATCH(W$1,'Points For'!$B$1:$R$1,0))</f>
        <v>65.5</v>
      </c>
      <c r="Z5" s="4" t="str">
        <f t="shared" ca="1" si="4"/>
        <v>L</v>
      </c>
      <c r="AA5" s="4" t="str">
        <f ca="1">VLOOKUP(INDEX(INDIRECT("'"&amp;AA$1&amp;"'!"&amp;"$A:$C"),MATCH('Schedule Optimizer'!$A5,INDIRECT("'"&amp;AA$1&amp;"'!"&amp;"A:A"),0),MATCH('Schedule Optimizer'!AA$2,INDIRECT("'"&amp;AA$1&amp;"'!"&amp;"$A$1:$C$1"))),$A$3:$B$14,2,FALSE)</f>
        <v>Jake</v>
      </c>
      <c r="AB5" s="4">
        <f ca="1">INDEX('Points For'!$B$1:$R$14,MATCH(AA5,'Points For'!$B$1:$B$14,0),MATCH(AA$1,'Points For'!$B$1:$R$1,0))</f>
        <v>105.3</v>
      </c>
      <c r="AC5" s="4">
        <f ca="1">INDEX('Points For'!$B$1:$R$14,MATCH($B$16,'Points For'!$B$1:$B$14,0),MATCH(AA$1,'Points For'!$B$1:$R$1,0))</f>
        <v>85.8</v>
      </c>
      <c r="AD5" s="4" t="str">
        <f t="shared" ca="1" si="5"/>
        <v>L</v>
      </c>
      <c r="AE5" s="4" t="str">
        <f ca="1">VLOOKUP(INDEX(INDIRECT("'"&amp;AE$1&amp;"'!"&amp;"$A:$C"),MATCH('Schedule Optimizer'!$A5,INDIRECT("'"&amp;AE$1&amp;"'!"&amp;"A:A"),0),MATCH('Schedule Optimizer'!AE$2,INDIRECT("'"&amp;AE$1&amp;"'!"&amp;"$A$1:$C$1"))),$A$3:$B$14,2,FALSE)</f>
        <v>Dave</v>
      </c>
      <c r="AF5" s="4">
        <f ca="1">INDEX('Points For'!$B$1:$R$14,MATCH(AE5,'Points For'!$B$1:$B$14,0),MATCH(AE$1,'Points For'!$B$1:$R$1,0))</f>
        <v>110</v>
      </c>
      <c r="AG5" s="4">
        <f ca="1">INDEX('Points For'!$B$1:$R$14,MATCH($B$16,'Points For'!$B$1:$B$14,0),MATCH(AE$1,'Points For'!$B$1:$R$1,0))</f>
        <v>91.3</v>
      </c>
      <c r="AH5" s="4" t="str">
        <f t="shared" ca="1" si="6"/>
        <v>L</v>
      </c>
      <c r="AI5" s="4" t="str">
        <f ca="1">VLOOKUP(INDEX(INDIRECT("'"&amp;AI$1&amp;"'!"&amp;"$A:$C"),MATCH('Schedule Optimizer'!$A5,INDIRECT("'"&amp;AI$1&amp;"'!"&amp;"A:A"),0),MATCH('Schedule Optimizer'!AI$2,INDIRECT("'"&amp;AI$1&amp;"'!"&amp;"$A$1:$C$1"))),$A$3:$B$14,2,FALSE)</f>
        <v>Steve</v>
      </c>
      <c r="AJ5" s="4">
        <f ca="1">INDEX('Points For'!$B$1:$R$14,MATCH(AI5,'Points For'!$B$1:$B$14,0),MATCH(AI$1,'Points For'!$B$1:$R$1,0))</f>
        <v>71.400000000000006</v>
      </c>
      <c r="AK5" s="4">
        <f ca="1">INDEX('Points For'!$B$1:$R$14,MATCH($B$16,'Points For'!$B$1:$B$14,0),MATCH(AI$1,'Points For'!$B$1:$R$1,0))</f>
        <v>82.8</v>
      </c>
      <c r="AL5" s="4" t="str">
        <f t="shared" ca="1" si="7"/>
        <v>W</v>
      </c>
      <c r="AM5" s="4" t="str">
        <f ca="1">VLOOKUP(INDEX(INDIRECT("'"&amp;AM$1&amp;"'!"&amp;"$A:$C"),MATCH('Schedule Optimizer'!$A5,INDIRECT("'"&amp;AM$1&amp;"'!"&amp;"A:A"),0),MATCH('Schedule Optimizer'!AM$2,INDIRECT("'"&amp;AM$1&amp;"'!"&amp;"$A$1:$C$1"))),$A$3:$B$14,2,FALSE)</f>
        <v>Nicole</v>
      </c>
      <c r="AN5" s="4">
        <f ca="1">INDEX('Points For'!$B$1:$R$14,MATCH(AM5,'Points For'!$B$1:$B$14,0),MATCH(AM$1,'Points For'!$B$1:$R$1,0))</f>
        <v>90</v>
      </c>
      <c r="AO5" s="4">
        <f ca="1">INDEX('Points For'!$B$1:$R$14,MATCH($B$16,'Points For'!$B$1:$B$14,0),MATCH(AM$1,'Points For'!$B$1:$R$1,0))</f>
        <v>102.8</v>
      </c>
      <c r="AP5" s="4" t="str">
        <f t="shared" ca="1" si="8"/>
        <v>W</v>
      </c>
      <c r="AQ5" s="4" t="str">
        <f ca="1">VLOOKUP(INDEX(INDIRECT("'"&amp;AQ$1&amp;"'!"&amp;"$A:$C"),MATCH('Schedule Optimizer'!$A5,INDIRECT("'"&amp;AQ$1&amp;"'!"&amp;"A:A"),0),MATCH('Schedule Optimizer'!AQ$2,INDIRECT("'"&amp;AQ$1&amp;"'!"&amp;"$A$1:$C$1"))),$A$3:$B$14,2,FALSE)</f>
        <v>Jesse</v>
      </c>
      <c r="AR5" s="4">
        <f ca="1">INDEX('Points For'!$B$1:$R$14,MATCH(AQ5,'Points For'!$B$1:$B$14,0),MATCH(AQ$1,'Points For'!$B$1:$R$1,0))</f>
        <v>66.7</v>
      </c>
      <c r="AS5" s="4">
        <f ca="1">INDEX('Points For'!$B$1:$R$14,MATCH($B$16,'Points For'!$B$1:$B$14,0),MATCH(AQ$1,'Points For'!$B$1:$R$1,0))</f>
        <v>65.599999999999994</v>
      </c>
      <c r="AT5" s="4" t="str">
        <f t="shared" ca="1" si="9"/>
        <v>L</v>
      </c>
      <c r="AU5" s="4" t="str">
        <f ca="1">VLOOKUP(INDEX(INDIRECT("'"&amp;AU$1&amp;"'!"&amp;"$A:$C"),MATCH('Schedule Optimizer'!$A5,INDIRECT("'"&amp;AU$1&amp;"'!"&amp;"A:A"),0),MATCH('Schedule Optimizer'!AU$2,INDIRECT("'"&amp;AU$1&amp;"'!"&amp;"$A$1:$C$1"))),$A$3:$B$14,2,FALSE)</f>
        <v>Cody</v>
      </c>
      <c r="AV5" s="4">
        <f ca="1">INDEX('Points For'!$B$1:$R$14,MATCH(AU5,'Points For'!$B$1:$B$14,0),MATCH(AU$1,'Points For'!$B$1:$R$1,0))</f>
        <v>79.900000000000006</v>
      </c>
      <c r="AW5" s="4">
        <f ca="1">INDEX('Points For'!$B$1:$R$14,MATCH($B$16,'Points For'!$B$1:$B$14,0),MATCH(AU$1,'Points For'!$B$1:$R$1,0))</f>
        <v>100.6</v>
      </c>
      <c r="AX5" s="4" t="str">
        <f t="shared" ca="1" si="10"/>
        <v>W</v>
      </c>
      <c r="AY5" s="4" t="str">
        <f ca="1">VLOOKUP(INDEX(INDIRECT("'"&amp;AY$1&amp;"'!"&amp;"$A:$C"),MATCH('Schedule Optimizer'!$A5,INDIRECT("'"&amp;AY$1&amp;"'!"&amp;"A:A"),0),MATCH('Schedule Optimizer'!AY$2,INDIRECT("'"&amp;AY$1&amp;"'!"&amp;"$A$1:$C$1"))),$A$3:$B$14,2,FALSE)</f>
        <v>Binder</v>
      </c>
      <c r="AZ5" s="4">
        <f ca="1">INDEX('Points For'!$B$1:$R$14,MATCH(AY5,'Points For'!$B$1:$B$14,0),MATCH(AY$1,'Points For'!$B$1:$R$1,0))</f>
        <v>92.3</v>
      </c>
      <c r="BA5" s="4">
        <f ca="1">INDEX('Points For'!$B$1:$R$14,MATCH($B$16,'Points For'!$B$1:$B$14,0),MATCH(AY$1,'Points For'!$B$1:$R$1,0))</f>
        <v>121.6</v>
      </c>
      <c r="BB5" s="4" t="str">
        <f t="shared" ca="1" si="11"/>
        <v>W</v>
      </c>
      <c r="BC5" s="4" t="str">
        <f ca="1">VLOOKUP(INDEX(INDIRECT("'"&amp;BC$1&amp;"'!"&amp;"$A:$C"),MATCH('Schedule Optimizer'!$A5,INDIRECT("'"&amp;BC$1&amp;"'!"&amp;"A:A"),0),MATCH('Schedule Optimizer'!BC$2,INDIRECT("'"&amp;BC$1&amp;"'!"&amp;"$A$1:$C$1"))),$A$3:$B$14,2,FALSE)</f>
        <v>Sara</v>
      </c>
      <c r="BD5" s="4">
        <f ca="1">INDEX('Points For'!$B$1:$R$14,MATCH(BC5,'Points For'!$B$1:$B$14,0),MATCH(BC$1,'Points For'!$B$1:$R$1,0))</f>
        <v>73</v>
      </c>
      <c r="BE5" s="4">
        <f ca="1">INDEX('Points For'!$B$1:$R$14,MATCH($B$16,'Points For'!$B$1:$B$14,0),MATCH(BC$1,'Points For'!$B$1:$R$1,0))</f>
        <v>79.400000000000006</v>
      </c>
      <c r="BF5" s="4" t="str">
        <f t="shared" ca="1" si="12"/>
        <v>W</v>
      </c>
      <c r="BG5" s="4" t="str">
        <f ca="1">VLOOKUP(INDEX(INDIRECT("'"&amp;BG$1&amp;"'!"&amp;"$A:$C"),MATCH('Schedule Optimizer'!$A5,INDIRECT("'"&amp;BG$1&amp;"'!"&amp;"A:A"),0),MATCH('Schedule Optimizer'!BG$2,INDIRECT("'"&amp;BG$1&amp;"'!"&amp;"$A$1:$C$1"))),$A$3:$B$14,2,FALSE)</f>
        <v>Sara</v>
      </c>
      <c r="BH5" s="4">
        <f ca="1">INDEX('Points For'!$B$1:$R$14,MATCH(BG5,'Points For'!$B$1:$B$14,0),MATCH(BG$1,'Points For'!$B$1:$R$1,0))</f>
        <v>96</v>
      </c>
      <c r="BI5" s="4">
        <f ca="1">INDEX('Points For'!$B$1:$R$14,MATCH($B$16,'Points For'!$B$1:$B$14,0),MATCH(BG$1,'Points For'!$B$1:$R$1,0))</f>
        <v>102.6</v>
      </c>
      <c r="BJ5" s="4" t="str">
        <f t="shared" ca="1" si="13"/>
        <v>W</v>
      </c>
      <c r="BK5" s="4" t="str">
        <f ca="1">VLOOKUP(INDEX(INDIRECT("'"&amp;BK$1&amp;"'!"&amp;"$A:$C"),MATCH('Schedule Optimizer'!$A5,INDIRECT("'"&amp;BK$1&amp;"'!"&amp;"A:A"),0),MATCH('Schedule Optimizer'!BK$2,INDIRECT("'"&amp;BK$1&amp;"'!"&amp;"$A$1:$C$1"))),$A$3:$B$14,2,FALSE)</f>
        <v>Catina</v>
      </c>
      <c r="BL5" s="4">
        <f ca="1">INDEX('Points For'!$B$1:$R$14,MATCH(BK5,'Points For'!$B$1:$B$14,0),MATCH(BK$1,'Points For'!$B$1:$R$1,0))</f>
        <v>138.30000000000001</v>
      </c>
      <c r="BM5" s="4">
        <f ca="1">INDEX('Points For'!$B$1:$R$14,MATCH($B$16,'Points For'!$B$1:$B$14,0),MATCH(BK$1,'Points For'!$B$1:$R$1,0))</f>
        <v>138.30000000000001</v>
      </c>
      <c r="BN5" s="4" t="str">
        <f t="shared" ca="1" si="14"/>
        <v>N/A</v>
      </c>
      <c r="BO5" s="4" t="str">
        <f ca="1">VLOOKUP(INDEX(INDIRECT("'"&amp;BO$1&amp;"'!"&amp;"$A:$C"),MATCH('Schedule Optimizer'!$A5,INDIRECT("'"&amp;BO$1&amp;"'!"&amp;"A:A"),0),MATCH('Schedule Optimizer'!BO$2,INDIRECT("'"&amp;BO$1&amp;"'!"&amp;"$A$1:$C$1"))),$A$3:$B$14,2,FALSE)</f>
        <v>Binder</v>
      </c>
      <c r="BP5" s="4">
        <f ca="1">INDEX('Points For'!$B$1:$R$14,MATCH(BO5,'Points For'!$B$1:$B$14,0),MATCH(BO$1,'Points For'!$B$1:$R$1,0))</f>
        <v>99</v>
      </c>
      <c r="BQ5" s="4">
        <f ca="1">INDEX('Points For'!$B$1:$R$14,MATCH($B$16,'Points For'!$B$1:$B$14,0),MATCH(BO$1,'Points For'!$B$1:$R$1,0))</f>
        <v>163.1</v>
      </c>
      <c r="BR5" s="4" t="str">
        <f t="shared" ca="1" si="15"/>
        <v>W</v>
      </c>
    </row>
    <row r="6" spans="1:70" ht="16.25" thickTop="1" thickBot="1" x14ac:dyDescent="0.9">
      <c r="A6" s="4" t="s">
        <v>8</v>
      </c>
      <c r="B6" s="4" t="s">
        <v>165</v>
      </c>
      <c r="C6" s="9">
        <f t="shared" ca="1" si="16"/>
        <v>6</v>
      </c>
      <c r="D6" s="9">
        <f t="shared" ca="1" si="17"/>
        <v>7</v>
      </c>
      <c r="E6" s="9">
        <f t="shared" ca="1" si="18"/>
        <v>3</v>
      </c>
      <c r="F6" s="9">
        <f t="shared" ca="1" si="19"/>
        <v>0</v>
      </c>
      <c r="G6" s="4" t="str">
        <f ca="1">VLOOKUP(INDEX(INDIRECT("'"&amp;G$1&amp;"'!"&amp;"$A:$C"),MATCH('Schedule Optimizer'!$A6,INDIRECT("'"&amp;G$1&amp;"'!"&amp;"A:A"),0),MATCH('Schedule Optimizer'!G$2,INDIRECT("'"&amp;G$1&amp;"'!"&amp;"$A$1:$C$1"))),$A$3:$B$14,2,FALSE)</f>
        <v>Sam</v>
      </c>
      <c r="H6" s="4">
        <f ca="1">INDEX('Points For'!$B$1:$R$14,MATCH(G6,'Points For'!$B$1:$B$14,0),MATCH(G$1,'Points For'!$B$1:$R$1,0))</f>
        <v>63.9</v>
      </c>
      <c r="I6" s="4">
        <f ca="1">INDEX('Points For'!$B$1:$R$14,MATCH($B$16,'Points For'!$B$1:$B$14,0),MATCH(G$1,'Points For'!$B$1:$R$1,0))</f>
        <v>81</v>
      </c>
      <c r="J6" s="4" t="str">
        <f t="shared" ca="1" si="0"/>
        <v>W</v>
      </c>
      <c r="K6" s="4" t="str">
        <f ca="1">VLOOKUP(INDEX(INDIRECT("'"&amp;K$1&amp;"'!"&amp;"$A:$C"),MATCH('Schedule Optimizer'!$A6,INDIRECT("'"&amp;K$1&amp;"'!"&amp;"A:A"),0),MATCH('Schedule Optimizer'!K$2,INDIRECT("'"&amp;K$1&amp;"'!"&amp;"$A$1:$C$1"))),$A$3:$B$14,2,FALSE)</f>
        <v>Cody</v>
      </c>
      <c r="L6" s="4">
        <f ca="1">INDEX('Points For'!$B$1:$R$14,MATCH(K6,'Points For'!$B$1:$B$14,0),MATCH(K$1,'Points For'!$B$1:$R$1,0))</f>
        <v>86.7</v>
      </c>
      <c r="M6" s="4">
        <f ca="1">INDEX('Points For'!$B$1:$R$14,MATCH($B$16,'Points For'!$B$1:$B$14,0),MATCH(K$1,'Points For'!$B$1:$R$1,0))</f>
        <v>91.1</v>
      </c>
      <c r="N6" s="4" t="str">
        <f t="shared" ca="1" si="1"/>
        <v>W</v>
      </c>
      <c r="O6" s="4" t="str">
        <f ca="1">VLOOKUP(INDEX(INDIRECT("'"&amp;O$1&amp;"'!"&amp;"$A:$C"),MATCH('Schedule Optimizer'!$A6,INDIRECT("'"&amp;O$1&amp;"'!"&amp;"A:A"),0),MATCH('Schedule Optimizer'!O$2,INDIRECT("'"&amp;O$1&amp;"'!"&amp;"$A$1:$C$1"))),$A$3:$B$14,2,FALSE)</f>
        <v>Tres</v>
      </c>
      <c r="P6" s="4">
        <f ca="1">INDEX('Points For'!$B$1:$R$14,MATCH(O6,'Points For'!$B$1:$B$14,0),MATCH(O$1,'Points For'!$B$1:$R$1,0))</f>
        <v>81.400000000000006</v>
      </c>
      <c r="Q6" s="4">
        <f ca="1">INDEX('Points For'!$B$1:$R$14,MATCH($B$16,'Points For'!$B$1:$B$14,0),MATCH(O$1,'Points For'!$B$1:$R$1,0))</f>
        <v>95.9</v>
      </c>
      <c r="R6" s="4" t="str">
        <f t="shared" ca="1" si="2"/>
        <v>W</v>
      </c>
      <c r="S6" s="4" t="str">
        <f ca="1">VLOOKUP(INDEX(INDIRECT("'"&amp;S$1&amp;"'!"&amp;"$A:$C"),MATCH('Schedule Optimizer'!$A6,INDIRECT("'"&amp;S$1&amp;"'!"&amp;"A:A"),0),MATCH('Schedule Optimizer'!S$2,INDIRECT("'"&amp;S$1&amp;"'!"&amp;"$A$1:$C$1"))),$A$3:$B$14,2,FALSE)</f>
        <v>Steve</v>
      </c>
      <c r="T6" s="4">
        <f ca="1">INDEX('Points For'!$B$1:$R$14,MATCH(S6,'Points For'!$B$1:$B$14,0),MATCH(S$1,'Points For'!$B$1:$R$1,0))</f>
        <v>146.5</v>
      </c>
      <c r="U6" s="4">
        <f ca="1">INDEX('Points For'!$B$1:$R$14,MATCH($B$16,'Points For'!$B$1:$B$14,0),MATCH(S$1,'Points For'!$B$1:$R$1,0))</f>
        <v>86</v>
      </c>
      <c r="V6" s="4" t="str">
        <f t="shared" ca="1" si="3"/>
        <v>L</v>
      </c>
      <c r="W6" s="4" t="str">
        <f ca="1">VLOOKUP(INDEX(INDIRECT("'"&amp;W$1&amp;"'!"&amp;"$A:$C"),MATCH('Schedule Optimizer'!$A6,INDIRECT("'"&amp;W$1&amp;"'!"&amp;"A:A"),0),MATCH('Schedule Optimizer'!W$2,INDIRECT("'"&amp;W$1&amp;"'!"&amp;"$A$1:$C$1"))),$A$3:$B$14,2,FALSE)</f>
        <v>Nicole</v>
      </c>
      <c r="X6" s="4">
        <f ca="1">INDEX('Points For'!$B$1:$R$14,MATCH(W6,'Points For'!$B$1:$B$14,0),MATCH(W$1,'Points For'!$B$1:$R$1,0))</f>
        <v>103.9</v>
      </c>
      <c r="Y6" s="4">
        <f ca="1">INDEX('Points For'!$B$1:$R$14,MATCH($B$16,'Points For'!$B$1:$B$14,0),MATCH(W$1,'Points For'!$B$1:$R$1,0))</f>
        <v>65.5</v>
      </c>
      <c r="Z6" s="4" t="str">
        <f t="shared" ca="1" si="4"/>
        <v>L</v>
      </c>
      <c r="AA6" s="4" t="str">
        <f ca="1">VLOOKUP(INDEX(INDIRECT("'"&amp;AA$1&amp;"'!"&amp;"$A:$C"),MATCH('Schedule Optimizer'!$A6,INDIRECT("'"&amp;AA$1&amp;"'!"&amp;"A:A"),0),MATCH('Schedule Optimizer'!AA$2,INDIRECT("'"&amp;AA$1&amp;"'!"&amp;"$A$1:$C$1"))),$A$3:$B$14,2,FALSE)</f>
        <v>Dave</v>
      </c>
      <c r="AB6" s="4">
        <f ca="1">INDEX('Points For'!$B$1:$R$14,MATCH(AA6,'Points For'!$B$1:$B$14,0),MATCH(AA$1,'Points For'!$B$1:$R$1,0))</f>
        <v>117.4</v>
      </c>
      <c r="AC6" s="4">
        <f ca="1">INDEX('Points For'!$B$1:$R$14,MATCH($B$16,'Points For'!$B$1:$B$14,0),MATCH(AA$1,'Points For'!$B$1:$R$1,0))</f>
        <v>85.8</v>
      </c>
      <c r="AD6" s="4" t="str">
        <f t="shared" ca="1" si="5"/>
        <v>L</v>
      </c>
      <c r="AE6" s="4" t="str">
        <f ca="1">VLOOKUP(INDEX(INDIRECT("'"&amp;AE$1&amp;"'!"&amp;"$A:$C"),MATCH('Schedule Optimizer'!$A6,INDIRECT("'"&amp;AE$1&amp;"'!"&amp;"A:A"),0),MATCH('Schedule Optimizer'!AE$2,INDIRECT("'"&amp;AE$1&amp;"'!"&amp;"$A$1:$C$1"))),$A$3:$B$14,2,FALSE)</f>
        <v>Binder</v>
      </c>
      <c r="AF6" s="4">
        <f ca="1">INDEX('Points For'!$B$1:$R$14,MATCH(AE6,'Points For'!$B$1:$B$14,0),MATCH(AE$1,'Points For'!$B$1:$R$1,0))</f>
        <v>47.4</v>
      </c>
      <c r="AG6" s="4">
        <f ca="1">INDEX('Points For'!$B$1:$R$14,MATCH($B$16,'Points For'!$B$1:$B$14,0),MATCH(AE$1,'Points For'!$B$1:$R$1,0))</f>
        <v>91.3</v>
      </c>
      <c r="AH6" s="4" t="str">
        <f t="shared" ca="1" si="6"/>
        <v>W</v>
      </c>
      <c r="AI6" s="4" t="str">
        <f ca="1">VLOOKUP(INDEX(INDIRECT("'"&amp;AI$1&amp;"'!"&amp;"$A:$C"),MATCH('Schedule Optimizer'!$A6,INDIRECT("'"&amp;AI$1&amp;"'!"&amp;"A:A"),0),MATCH('Schedule Optimizer'!AI$2,INDIRECT("'"&amp;AI$1&amp;"'!"&amp;"$A$1:$C$1"))),$A$3:$B$14,2,FALSE)</f>
        <v>Jake</v>
      </c>
      <c r="AJ6" s="4">
        <f ca="1">INDEX('Points For'!$B$1:$R$14,MATCH(AI6,'Points For'!$B$1:$B$14,0),MATCH(AI$1,'Points For'!$B$1:$R$1,0))</f>
        <v>87</v>
      </c>
      <c r="AK6" s="4">
        <f ca="1">INDEX('Points For'!$B$1:$R$14,MATCH($B$16,'Points For'!$B$1:$B$14,0),MATCH(AI$1,'Points For'!$B$1:$R$1,0))</f>
        <v>82.8</v>
      </c>
      <c r="AL6" s="4" t="str">
        <f t="shared" ca="1" si="7"/>
        <v>L</v>
      </c>
      <c r="AM6" s="4" t="str">
        <f ca="1">VLOOKUP(INDEX(INDIRECT("'"&amp;AM$1&amp;"'!"&amp;"$A:$C"),MATCH('Schedule Optimizer'!$A6,INDIRECT("'"&amp;AM$1&amp;"'!"&amp;"A:A"),0),MATCH('Schedule Optimizer'!AM$2,INDIRECT("'"&amp;AM$1&amp;"'!"&amp;"$A$1:$C$1"))),$A$3:$B$14,2,FALSE)</f>
        <v>Ed</v>
      </c>
      <c r="AN6" s="4">
        <f ca="1">INDEX('Points For'!$B$1:$R$14,MATCH(AM6,'Points For'!$B$1:$B$14,0),MATCH(AM$1,'Points For'!$B$1:$R$1,0))</f>
        <v>120.2</v>
      </c>
      <c r="AO6" s="4">
        <f ca="1">INDEX('Points For'!$B$1:$R$14,MATCH($B$16,'Points For'!$B$1:$B$14,0),MATCH(AM$1,'Points For'!$B$1:$R$1,0))</f>
        <v>102.8</v>
      </c>
      <c r="AP6" s="4" t="str">
        <f t="shared" ca="1" si="8"/>
        <v>L</v>
      </c>
      <c r="AQ6" s="4" t="str">
        <f ca="1">VLOOKUP(INDEX(INDIRECT("'"&amp;AQ$1&amp;"'!"&amp;"$A:$C"),MATCH('Schedule Optimizer'!$A6,INDIRECT("'"&amp;AQ$1&amp;"'!"&amp;"A:A"),0),MATCH('Schedule Optimizer'!AQ$2,INDIRECT("'"&amp;AQ$1&amp;"'!"&amp;"$A$1:$C$1"))),$A$3:$B$14,2,FALSE)</f>
        <v>Sara</v>
      </c>
      <c r="AR6" s="4">
        <f ca="1">INDEX('Points For'!$B$1:$R$14,MATCH(AQ6,'Points For'!$B$1:$B$14,0),MATCH(AQ$1,'Points For'!$B$1:$R$1,0))</f>
        <v>137.6</v>
      </c>
      <c r="AS6" s="4">
        <f ca="1">INDEX('Points For'!$B$1:$R$14,MATCH($B$16,'Points For'!$B$1:$B$14,0),MATCH(AQ$1,'Points For'!$B$1:$R$1,0))</f>
        <v>65.599999999999994</v>
      </c>
      <c r="AT6" s="4" t="str">
        <f t="shared" ca="1" si="9"/>
        <v>L</v>
      </c>
      <c r="AU6" s="4" t="str">
        <f ca="1">VLOOKUP(INDEX(INDIRECT("'"&amp;AU$1&amp;"'!"&amp;"$A:$C"),MATCH('Schedule Optimizer'!$A6,INDIRECT("'"&amp;AU$1&amp;"'!"&amp;"A:A"),0),MATCH('Schedule Optimizer'!AU$2,INDIRECT("'"&amp;AU$1&amp;"'!"&amp;"$A$1:$C$1"))),$A$3:$B$14,2,FALSE)</f>
        <v>Jesse</v>
      </c>
      <c r="AV6" s="4">
        <f ca="1">INDEX('Points For'!$B$1:$R$14,MATCH(AU6,'Points For'!$B$1:$B$14,0),MATCH(AU$1,'Points For'!$B$1:$R$1,0))</f>
        <v>87.1</v>
      </c>
      <c r="AW6" s="4">
        <f ca="1">INDEX('Points For'!$B$1:$R$14,MATCH($B$16,'Points For'!$B$1:$B$14,0),MATCH(AU$1,'Points For'!$B$1:$R$1,0))</f>
        <v>100.6</v>
      </c>
      <c r="AX6" s="4" t="str">
        <f t="shared" ca="1" si="10"/>
        <v>W</v>
      </c>
      <c r="AY6" s="4" t="str">
        <f ca="1">VLOOKUP(INDEX(INDIRECT("'"&amp;AY$1&amp;"'!"&amp;"$A:$C"),MATCH('Schedule Optimizer'!$A6,INDIRECT("'"&amp;AY$1&amp;"'!"&amp;"A:A"),0),MATCH('Schedule Optimizer'!AY$2,INDIRECT("'"&amp;AY$1&amp;"'!"&amp;"$A$1:$C$1"))),$A$3:$B$14,2,FALSE)</f>
        <v>Tres</v>
      </c>
      <c r="AZ6" s="4">
        <f ca="1">INDEX('Points For'!$B$1:$R$14,MATCH(AY6,'Points For'!$B$1:$B$14,0),MATCH(AY$1,'Points For'!$B$1:$R$1,0))</f>
        <v>62.4</v>
      </c>
      <c r="BA6" s="4">
        <f ca="1">INDEX('Points For'!$B$1:$R$14,MATCH($B$16,'Points For'!$B$1:$B$14,0),MATCH(AY$1,'Points For'!$B$1:$R$1,0))</f>
        <v>121.6</v>
      </c>
      <c r="BB6" s="4" t="str">
        <f t="shared" ca="1" si="11"/>
        <v>W</v>
      </c>
      <c r="BC6" s="4" t="str">
        <f ca="1">VLOOKUP(INDEX(INDIRECT("'"&amp;BC$1&amp;"'!"&amp;"$A:$C"),MATCH('Schedule Optimizer'!$A6,INDIRECT("'"&amp;BC$1&amp;"'!"&amp;"A:A"),0),MATCH('Schedule Optimizer'!BC$2,INDIRECT("'"&amp;BC$1&amp;"'!"&amp;"$A$1:$C$1"))),$A$3:$B$14,2,FALSE)</f>
        <v>Steve</v>
      </c>
      <c r="BD6" s="4">
        <f ca="1">INDEX('Points For'!$B$1:$R$14,MATCH(BC6,'Points For'!$B$1:$B$14,0),MATCH(BC$1,'Points For'!$B$1:$R$1,0))</f>
        <v>110.8</v>
      </c>
      <c r="BE6" s="4">
        <f ca="1">INDEX('Points For'!$B$1:$R$14,MATCH($B$16,'Points For'!$B$1:$B$14,0),MATCH(BC$1,'Points For'!$B$1:$R$1,0))</f>
        <v>79.400000000000006</v>
      </c>
      <c r="BF6" s="4" t="str">
        <f t="shared" ca="1" si="12"/>
        <v>L</v>
      </c>
      <c r="BG6" s="4" t="str">
        <f ca="1">VLOOKUP(INDEX(INDIRECT("'"&amp;BG$1&amp;"'!"&amp;"$A:$C"),MATCH('Schedule Optimizer'!$A6,INDIRECT("'"&amp;BG$1&amp;"'!"&amp;"A:A"),0),MATCH('Schedule Optimizer'!BG$2,INDIRECT("'"&amp;BG$1&amp;"'!"&amp;"$A$1:$C$1"))),$A$3:$B$14,2,FALSE)</f>
        <v>Binder</v>
      </c>
      <c r="BH6" s="4">
        <f ca="1">INDEX('Points For'!$B$1:$R$14,MATCH(BG6,'Points For'!$B$1:$B$14,0),MATCH(BG$1,'Points For'!$B$1:$R$1,0))</f>
        <v>71.2</v>
      </c>
      <c r="BI6" s="4">
        <f ca="1">INDEX('Points For'!$B$1:$R$14,MATCH($B$16,'Points For'!$B$1:$B$14,0),MATCH(BG$1,'Points For'!$B$1:$R$1,0))</f>
        <v>102.6</v>
      </c>
      <c r="BJ6" s="4" t="str">
        <f t="shared" ca="1" si="13"/>
        <v>W</v>
      </c>
      <c r="BK6" s="4" t="str">
        <f ca="1">VLOOKUP(INDEX(INDIRECT("'"&amp;BK$1&amp;"'!"&amp;"$A:$C"),MATCH('Schedule Optimizer'!$A6,INDIRECT("'"&amp;BK$1&amp;"'!"&amp;"A:A"),0),MATCH('Schedule Optimizer'!BK$2,INDIRECT("'"&amp;BK$1&amp;"'!"&amp;"$A$1:$C$1"))),$A$3:$B$14,2,FALSE)</f>
        <v>Sam</v>
      </c>
      <c r="BL6" s="4">
        <f ca="1">INDEX('Points For'!$B$1:$R$14,MATCH(BK6,'Points For'!$B$1:$B$14,0),MATCH(BK$1,'Points For'!$B$1:$R$1,0))</f>
        <v>82.9</v>
      </c>
      <c r="BM6" s="4">
        <f ca="1">INDEX('Points For'!$B$1:$R$14,MATCH($B$16,'Points For'!$B$1:$B$14,0),MATCH(BK$1,'Points For'!$B$1:$R$1,0))</f>
        <v>138.30000000000001</v>
      </c>
      <c r="BN6" s="4" t="str">
        <f t="shared" ca="1" si="14"/>
        <v>W</v>
      </c>
      <c r="BO6" s="4" t="str">
        <f ca="1">VLOOKUP(INDEX(INDIRECT("'"&amp;BO$1&amp;"'!"&amp;"$A:$C"),MATCH('Schedule Optimizer'!$A6,INDIRECT("'"&amp;BO$1&amp;"'!"&amp;"A:A"),0),MATCH('Schedule Optimizer'!BO$2,INDIRECT("'"&amp;BO$1&amp;"'!"&amp;"$A$1:$C$1"))),$A$3:$B$14,2,FALSE)</f>
        <v>Tres</v>
      </c>
      <c r="BP6" s="4">
        <f ca="1">INDEX('Points For'!$B$1:$R$14,MATCH(BO6,'Points For'!$B$1:$B$14,0),MATCH(BO$1,'Points For'!$B$1:$R$1,0))</f>
        <v>62.2</v>
      </c>
      <c r="BQ6" s="4">
        <f ca="1">INDEX('Points For'!$B$1:$R$14,MATCH($B$16,'Points For'!$B$1:$B$14,0),MATCH(BO$1,'Points For'!$B$1:$R$1,0))</f>
        <v>163.1</v>
      </c>
      <c r="BR6" s="4" t="str">
        <f t="shared" ca="1" si="15"/>
        <v>W</v>
      </c>
    </row>
    <row r="7" spans="1:70" ht="16.25" thickTop="1" thickBot="1" x14ac:dyDescent="0.9">
      <c r="A7" s="4" t="s">
        <v>11</v>
      </c>
      <c r="B7" s="4" t="s">
        <v>166</v>
      </c>
      <c r="C7" s="9">
        <f t="shared" ca="1" si="16"/>
        <v>4</v>
      </c>
      <c r="D7" s="9">
        <f t="shared" ca="1" si="17"/>
        <v>8</v>
      </c>
      <c r="E7" s="9">
        <f t="shared" ca="1" si="18"/>
        <v>2</v>
      </c>
      <c r="F7" s="9">
        <f t="shared" ca="1" si="19"/>
        <v>1</v>
      </c>
      <c r="G7" s="4" t="str">
        <f ca="1">VLOOKUP(INDEX(INDIRECT("'"&amp;G$1&amp;"'!"&amp;"$A:$C"),MATCH('Schedule Optimizer'!$A7,INDIRECT("'"&amp;G$1&amp;"'!"&amp;"A:A"),0),MATCH('Schedule Optimizer'!G$2,INDIRECT("'"&amp;G$1&amp;"'!"&amp;"$A$1:$C$1"))),$A$3:$B$14,2,FALSE)</f>
        <v>Jake</v>
      </c>
      <c r="H7" s="4">
        <f ca="1">INDEX('Points For'!$B$1:$R$14,MATCH(G7,'Points For'!$B$1:$B$14,0),MATCH(G$1,'Points For'!$B$1:$R$1,0))</f>
        <v>87.8</v>
      </c>
      <c r="I7" s="4">
        <f ca="1">INDEX('Points For'!$B$1:$R$14,MATCH($B$16,'Points For'!$B$1:$B$14,0),MATCH(G$1,'Points For'!$B$1:$R$1,0))</f>
        <v>81</v>
      </c>
      <c r="J7" s="4" t="str">
        <f t="shared" ca="1" si="0"/>
        <v>L</v>
      </c>
      <c r="K7" s="4" t="str">
        <f ca="1">VLOOKUP(INDEX(INDIRECT("'"&amp;K$1&amp;"'!"&amp;"$A:$C"),MATCH('Schedule Optimizer'!$A7,INDIRECT("'"&amp;K$1&amp;"'!"&amp;"A:A"),0),MATCH('Schedule Optimizer'!K$2,INDIRECT("'"&amp;K$1&amp;"'!"&amp;"$A$1:$C$1"))),$A$3:$B$14,2,FALSE)</f>
        <v>Sara</v>
      </c>
      <c r="L7" s="4">
        <f ca="1">INDEX('Points For'!$B$1:$R$14,MATCH(K7,'Points For'!$B$1:$B$14,0),MATCH(K$1,'Points For'!$B$1:$R$1,0))</f>
        <v>123.6</v>
      </c>
      <c r="M7" s="4">
        <f ca="1">INDEX('Points For'!$B$1:$R$14,MATCH($B$16,'Points For'!$B$1:$B$14,0),MATCH(K$1,'Points For'!$B$1:$R$1,0))</f>
        <v>91.1</v>
      </c>
      <c r="N7" s="4" t="str">
        <f t="shared" ca="1" si="1"/>
        <v>L</v>
      </c>
      <c r="O7" s="4" t="str">
        <f ca="1">VLOOKUP(INDEX(INDIRECT("'"&amp;O$1&amp;"'!"&amp;"$A:$C"),MATCH('Schedule Optimizer'!$A7,INDIRECT("'"&amp;O$1&amp;"'!"&amp;"A:A"),0),MATCH('Schedule Optimizer'!O$2,INDIRECT("'"&amp;O$1&amp;"'!"&amp;"$A$1:$C$1"))),$A$3:$B$14,2,FALSE)</f>
        <v>Ed</v>
      </c>
      <c r="P7" s="4">
        <f ca="1">INDEX('Points For'!$B$1:$R$14,MATCH(O7,'Points For'!$B$1:$B$14,0),MATCH(O$1,'Points For'!$B$1:$R$1,0))</f>
        <v>100.4</v>
      </c>
      <c r="Q7" s="4">
        <f ca="1">INDEX('Points For'!$B$1:$R$14,MATCH($B$16,'Points For'!$B$1:$B$14,0),MATCH(O$1,'Points For'!$B$1:$R$1,0))</f>
        <v>95.9</v>
      </c>
      <c r="R7" s="4" t="str">
        <f t="shared" ca="1" si="2"/>
        <v>L</v>
      </c>
      <c r="S7" s="4" t="str">
        <f ca="1">VLOOKUP(INDEX(INDIRECT("'"&amp;S$1&amp;"'!"&amp;"$A:$C"),MATCH('Schedule Optimizer'!$A7,INDIRECT("'"&amp;S$1&amp;"'!"&amp;"A:A"),0),MATCH('Schedule Optimizer'!S$2,INDIRECT("'"&amp;S$1&amp;"'!"&amp;"$A$1:$C$1"))),$A$3:$B$14,2,FALSE)</f>
        <v>Binder</v>
      </c>
      <c r="T7" s="4">
        <f ca="1">INDEX('Points For'!$B$1:$R$14,MATCH(S7,'Points For'!$B$1:$B$14,0),MATCH(S$1,'Points For'!$B$1:$R$1,0))</f>
        <v>78.7</v>
      </c>
      <c r="U7" s="4">
        <f ca="1">INDEX('Points For'!$B$1:$R$14,MATCH($B$16,'Points For'!$B$1:$B$14,0),MATCH(S$1,'Points For'!$B$1:$R$1,0))</f>
        <v>86</v>
      </c>
      <c r="V7" s="4" t="str">
        <f t="shared" ca="1" si="3"/>
        <v>W</v>
      </c>
      <c r="W7" s="4" t="str">
        <f ca="1">VLOOKUP(INDEX(INDIRECT("'"&amp;W$1&amp;"'!"&amp;"$A:$C"),MATCH('Schedule Optimizer'!$A7,INDIRECT("'"&amp;W$1&amp;"'!"&amp;"A:A"),0),MATCH('Schedule Optimizer'!W$2,INDIRECT("'"&amp;W$1&amp;"'!"&amp;"$A$1:$C$1"))),$A$3:$B$14,2,FALSE)</f>
        <v>Steve</v>
      </c>
      <c r="X7" s="4">
        <f ca="1">INDEX('Points For'!$B$1:$R$14,MATCH(W7,'Points For'!$B$1:$B$14,0),MATCH(W$1,'Points For'!$B$1:$R$1,0))</f>
        <v>112.9</v>
      </c>
      <c r="Y7" s="4">
        <f ca="1">INDEX('Points For'!$B$1:$R$14,MATCH($B$16,'Points For'!$B$1:$B$14,0),MATCH(W$1,'Points For'!$B$1:$R$1,0))</f>
        <v>65.5</v>
      </c>
      <c r="Z7" s="4" t="str">
        <f t="shared" ca="1" si="4"/>
        <v>L</v>
      </c>
      <c r="AA7" s="4" t="str">
        <f ca="1">VLOOKUP(INDEX(INDIRECT("'"&amp;AA$1&amp;"'!"&amp;"$A:$C"),MATCH('Schedule Optimizer'!$A7,INDIRECT("'"&amp;AA$1&amp;"'!"&amp;"A:A"),0),MATCH('Schedule Optimizer'!AA$2,INDIRECT("'"&amp;AA$1&amp;"'!"&amp;"$A$1:$C$1"))),$A$3:$B$14,2,FALSE)</f>
        <v>Catina</v>
      </c>
      <c r="AB7" s="4">
        <f ca="1">INDEX('Points For'!$B$1:$R$14,MATCH(AA7,'Points For'!$B$1:$B$14,0),MATCH(AA$1,'Points For'!$B$1:$R$1,0))</f>
        <v>85.8</v>
      </c>
      <c r="AC7" s="4">
        <f ca="1">INDEX('Points For'!$B$1:$R$14,MATCH($B$16,'Points For'!$B$1:$B$14,0),MATCH(AA$1,'Points For'!$B$1:$R$1,0))</f>
        <v>85.8</v>
      </c>
      <c r="AD7" s="4" t="str">
        <f t="shared" ca="1" si="5"/>
        <v>N/A</v>
      </c>
      <c r="AE7" s="4" t="str">
        <f ca="1">VLOOKUP(INDEX(INDIRECT("'"&amp;AE$1&amp;"'!"&amp;"$A:$C"),MATCH('Schedule Optimizer'!$A7,INDIRECT("'"&amp;AE$1&amp;"'!"&amp;"A:A"),0),MATCH('Schedule Optimizer'!AE$2,INDIRECT("'"&amp;AE$1&amp;"'!"&amp;"$A$1:$C$1"))),$A$3:$B$14,2,FALSE)</f>
        <v>Sam</v>
      </c>
      <c r="AF7" s="4">
        <f ca="1">INDEX('Points For'!$B$1:$R$14,MATCH(AE7,'Points For'!$B$1:$B$14,0),MATCH(AE$1,'Points For'!$B$1:$R$1,0))</f>
        <v>87.9</v>
      </c>
      <c r="AG7" s="4">
        <f ca="1">INDEX('Points For'!$B$1:$R$14,MATCH($B$16,'Points For'!$B$1:$B$14,0),MATCH(AE$1,'Points For'!$B$1:$R$1,0))</f>
        <v>91.3</v>
      </c>
      <c r="AH7" s="4" t="str">
        <f t="shared" ca="1" si="6"/>
        <v>W</v>
      </c>
      <c r="AI7" s="4" t="str">
        <f ca="1">VLOOKUP(INDEX(INDIRECT("'"&amp;AI$1&amp;"'!"&amp;"$A:$C"),MATCH('Schedule Optimizer'!$A7,INDIRECT("'"&amp;AI$1&amp;"'!"&amp;"A:A"),0),MATCH('Schedule Optimizer'!AI$2,INDIRECT("'"&amp;AI$1&amp;"'!"&amp;"$A$1:$C$1"))),$A$3:$B$14,2,FALSE)</f>
        <v>Cody</v>
      </c>
      <c r="AJ7" s="4">
        <f ca="1">INDEX('Points For'!$B$1:$R$14,MATCH(AI7,'Points For'!$B$1:$B$14,0),MATCH(AI$1,'Points For'!$B$1:$R$1,0))</f>
        <v>90.3</v>
      </c>
      <c r="AK7" s="4">
        <f ca="1">INDEX('Points For'!$B$1:$R$14,MATCH($B$16,'Points For'!$B$1:$B$14,0),MATCH(AI$1,'Points For'!$B$1:$R$1,0))</f>
        <v>82.8</v>
      </c>
      <c r="AL7" s="4" t="str">
        <f t="shared" ca="1" si="7"/>
        <v>L</v>
      </c>
      <c r="AM7" s="4" t="str">
        <f ca="1">VLOOKUP(INDEX(INDIRECT("'"&amp;AM$1&amp;"'!"&amp;"$A:$C"),MATCH('Schedule Optimizer'!$A7,INDIRECT("'"&amp;AM$1&amp;"'!"&amp;"A:A"),0),MATCH('Schedule Optimizer'!AM$2,INDIRECT("'"&amp;AM$1&amp;"'!"&amp;"$A$1:$C$1"))),$A$3:$B$14,2,FALSE)</f>
        <v>Jesse</v>
      </c>
      <c r="AN7" s="4">
        <f ca="1">INDEX('Points For'!$B$1:$R$14,MATCH(AM7,'Points For'!$B$1:$B$14,0),MATCH(AM$1,'Points For'!$B$1:$R$1,0))</f>
        <v>108.1</v>
      </c>
      <c r="AO7" s="4">
        <f ca="1">INDEX('Points For'!$B$1:$R$14,MATCH($B$16,'Points For'!$B$1:$B$14,0),MATCH(AM$1,'Points For'!$B$1:$R$1,0))</f>
        <v>102.8</v>
      </c>
      <c r="AP7" s="4" t="str">
        <f t="shared" ca="1" si="8"/>
        <v>L</v>
      </c>
      <c r="AQ7" s="4" t="str">
        <f ca="1">VLOOKUP(INDEX(INDIRECT("'"&amp;AQ$1&amp;"'!"&amp;"$A:$C"),MATCH('Schedule Optimizer'!$A7,INDIRECT("'"&amp;AQ$1&amp;"'!"&amp;"A:A"),0),MATCH('Schedule Optimizer'!AQ$2,INDIRECT("'"&amp;AQ$1&amp;"'!"&amp;"$A$1:$C$1"))),$A$3:$B$14,2,FALSE)</f>
        <v>Nicole</v>
      </c>
      <c r="AR7" s="4">
        <f ca="1">INDEX('Points For'!$B$1:$R$14,MATCH(AQ7,'Points For'!$B$1:$B$14,0),MATCH(AQ$1,'Points For'!$B$1:$R$1,0))</f>
        <v>98.5</v>
      </c>
      <c r="AS7" s="4">
        <f ca="1">INDEX('Points For'!$B$1:$R$14,MATCH($B$16,'Points For'!$B$1:$B$14,0),MATCH(AQ$1,'Points For'!$B$1:$R$1,0))</f>
        <v>65.599999999999994</v>
      </c>
      <c r="AT7" s="4" t="str">
        <f t="shared" ca="1" si="9"/>
        <v>L</v>
      </c>
      <c r="AU7" s="4" t="str">
        <f ca="1">VLOOKUP(INDEX(INDIRECT("'"&amp;AU$1&amp;"'!"&amp;"$A:$C"),MATCH('Schedule Optimizer'!$A7,INDIRECT("'"&amp;AU$1&amp;"'!"&amp;"A:A"),0),MATCH('Schedule Optimizer'!AU$2,INDIRECT("'"&amp;AU$1&amp;"'!"&amp;"$A$1:$C$1"))),$A$3:$B$14,2,FALSE)</f>
        <v>Tres</v>
      </c>
      <c r="AV7" s="4">
        <f ca="1">INDEX('Points For'!$B$1:$R$14,MATCH(AU7,'Points For'!$B$1:$B$14,0),MATCH(AU$1,'Points For'!$B$1:$R$1,0))</f>
        <v>81.8</v>
      </c>
      <c r="AW7" s="4">
        <f ca="1">INDEX('Points For'!$B$1:$R$14,MATCH($B$16,'Points For'!$B$1:$B$14,0),MATCH(AU$1,'Points For'!$B$1:$R$1,0))</f>
        <v>100.6</v>
      </c>
      <c r="AX7" s="4" t="str">
        <f t="shared" ca="1" si="10"/>
        <v>W</v>
      </c>
      <c r="AY7" s="4" t="str">
        <f ca="1">VLOOKUP(INDEX(INDIRECT("'"&amp;AY$1&amp;"'!"&amp;"$A:$C"),MATCH('Schedule Optimizer'!$A7,INDIRECT("'"&amp;AY$1&amp;"'!"&amp;"A:A"),0),MATCH('Schedule Optimizer'!AY$2,INDIRECT("'"&amp;AY$1&amp;"'!"&amp;"$A$1:$C$1"))),$A$3:$B$14,2,FALSE)</f>
        <v>Ed</v>
      </c>
      <c r="AZ7" s="4">
        <f ca="1">INDEX('Points For'!$B$1:$R$14,MATCH(AY7,'Points For'!$B$1:$B$14,0),MATCH(AY$1,'Points For'!$B$1:$R$1,0))</f>
        <v>103.9</v>
      </c>
      <c r="BA7" s="4">
        <f ca="1">INDEX('Points For'!$B$1:$R$14,MATCH($B$16,'Points For'!$B$1:$B$14,0),MATCH(AY$1,'Points For'!$B$1:$R$1,0))</f>
        <v>121.6</v>
      </c>
      <c r="BB7" s="4" t="str">
        <f t="shared" ca="1" si="11"/>
        <v>W</v>
      </c>
      <c r="BC7" s="4" t="str">
        <f ca="1">VLOOKUP(INDEX(INDIRECT("'"&amp;BC$1&amp;"'!"&amp;"$A:$C"),MATCH('Schedule Optimizer'!$A7,INDIRECT("'"&amp;BC$1&amp;"'!"&amp;"A:A"),0),MATCH('Schedule Optimizer'!BC$2,INDIRECT("'"&amp;BC$1&amp;"'!"&amp;"$A$1:$C$1"))),$A$3:$B$14,2,FALSE)</f>
        <v>Binder</v>
      </c>
      <c r="BD7" s="4">
        <f ca="1">INDEX('Points For'!$B$1:$R$14,MATCH(BC7,'Points For'!$B$1:$B$14,0),MATCH(BC$1,'Points For'!$B$1:$R$1,0))</f>
        <v>94</v>
      </c>
      <c r="BE7" s="4">
        <f ca="1">INDEX('Points For'!$B$1:$R$14,MATCH($B$16,'Points For'!$B$1:$B$14,0),MATCH(BC$1,'Points For'!$B$1:$R$1,0))</f>
        <v>79.400000000000006</v>
      </c>
      <c r="BF7" s="4" t="str">
        <f t="shared" ca="1" si="12"/>
        <v>L</v>
      </c>
      <c r="BG7" s="4" t="str">
        <f ca="1">VLOOKUP(INDEX(INDIRECT("'"&amp;BG$1&amp;"'!"&amp;"$A:$C"),MATCH('Schedule Optimizer'!$A7,INDIRECT("'"&amp;BG$1&amp;"'!"&amp;"A:A"),0),MATCH('Schedule Optimizer'!BG$2,INDIRECT("'"&amp;BG$1&amp;"'!"&amp;"$A$1:$C$1"))),$A$3:$B$14,2,FALSE)</f>
        <v>Jesse</v>
      </c>
      <c r="BH7" s="4">
        <f ca="1">INDEX('Points For'!$B$1:$R$14,MATCH(BG7,'Points For'!$B$1:$B$14,0),MATCH(BG$1,'Points For'!$B$1:$R$1,0))</f>
        <v>108.1</v>
      </c>
      <c r="BI7" s="4">
        <f ca="1">INDEX('Points For'!$B$1:$R$14,MATCH($B$16,'Points For'!$B$1:$B$14,0),MATCH(BG$1,'Points For'!$B$1:$R$1,0))</f>
        <v>102.6</v>
      </c>
      <c r="BJ7" s="4" t="str">
        <f t="shared" ca="1" si="13"/>
        <v>L</v>
      </c>
      <c r="BK7" s="4" t="str">
        <f ca="1">VLOOKUP(INDEX(INDIRECT("'"&amp;BK$1&amp;"'!"&amp;"$A:$C"),MATCH('Schedule Optimizer'!$A7,INDIRECT("'"&amp;BK$1&amp;"'!"&amp;"A:A"),0),MATCH('Schedule Optimizer'!BK$2,INDIRECT("'"&amp;BK$1&amp;"'!"&amp;"$A$1:$C$1"))),$A$3:$B$14,2,FALSE)</f>
        <v>Cody</v>
      </c>
      <c r="BL7" s="4">
        <f ca="1">INDEX('Points For'!$B$1:$R$14,MATCH(BK7,'Points For'!$B$1:$B$14,0),MATCH(BK$1,'Points For'!$B$1:$R$1,0))</f>
        <v>85.2</v>
      </c>
      <c r="BM7" s="4">
        <f ca="1">INDEX('Points For'!$B$1:$R$14,MATCH($B$16,'Points For'!$B$1:$B$14,0),MATCH(BK$1,'Points For'!$B$1:$R$1,0))</f>
        <v>138.30000000000001</v>
      </c>
      <c r="BN7" s="4" t="str">
        <f t="shared" ca="1" si="14"/>
        <v>W</v>
      </c>
      <c r="BO7" s="4" t="str">
        <f ca="1">VLOOKUP(INDEX(INDIRECT("'"&amp;BO$1&amp;"'!"&amp;"$A:$C"),MATCH('Schedule Optimizer'!$A7,INDIRECT("'"&amp;BO$1&amp;"'!"&amp;"A:A"),0),MATCH('Schedule Optimizer'!BO$2,INDIRECT("'"&amp;BO$1&amp;"'!"&amp;"$A$1:$C$1"))),$A$3:$B$14,2,FALSE)</f>
        <v>Cody</v>
      </c>
      <c r="BP7" s="4">
        <f ca="1">INDEX('Points For'!$B$1:$R$14,MATCH(BO7,'Points For'!$B$1:$B$14,0),MATCH(BO$1,'Points For'!$B$1:$R$1,0))</f>
        <v>108.5</v>
      </c>
      <c r="BQ7" s="4">
        <f ca="1">INDEX('Points For'!$B$1:$R$14,MATCH($B$16,'Points For'!$B$1:$B$14,0),MATCH(BO$1,'Points For'!$B$1:$R$1,0))</f>
        <v>163.1</v>
      </c>
      <c r="BR7" s="4" t="str">
        <f t="shared" ca="1" si="15"/>
        <v>W</v>
      </c>
    </row>
    <row r="8" spans="1:70" ht="16.25" thickTop="1" thickBot="1" x14ac:dyDescent="0.9">
      <c r="A8" s="4" t="s">
        <v>13</v>
      </c>
      <c r="B8" s="4" t="s">
        <v>167</v>
      </c>
      <c r="C8" s="9">
        <f t="shared" ca="1" si="16"/>
        <v>5</v>
      </c>
      <c r="D8" s="9">
        <f t="shared" ca="1" si="17"/>
        <v>7</v>
      </c>
      <c r="E8" s="9">
        <f t="shared" ca="1" si="18"/>
        <v>3</v>
      </c>
      <c r="F8" s="9">
        <f t="shared" ca="1" si="19"/>
        <v>0</v>
      </c>
      <c r="G8" s="4" t="str">
        <f ca="1">VLOOKUP(INDEX(INDIRECT("'"&amp;G$1&amp;"'!"&amp;"$A:$C"),MATCH('Schedule Optimizer'!$A8,INDIRECT("'"&amp;G$1&amp;"'!"&amp;"A:A"),0),MATCH('Schedule Optimizer'!G$2,INDIRECT("'"&amp;G$1&amp;"'!"&amp;"$A$1:$C$1"))),$A$3:$B$14,2,FALSE)</f>
        <v>Dave</v>
      </c>
      <c r="H8" s="4">
        <f ca="1">INDEX('Points For'!$B$1:$R$14,MATCH(G8,'Points For'!$B$1:$B$14,0),MATCH(G$1,'Points For'!$B$1:$R$1,0))</f>
        <v>86.5</v>
      </c>
      <c r="I8" s="4">
        <f ca="1">INDEX('Points For'!$B$1:$R$14,MATCH($B$16,'Points For'!$B$1:$B$14,0),MATCH(G$1,'Points For'!$B$1:$R$1,0))</f>
        <v>81</v>
      </c>
      <c r="J8" s="4" t="str">
        <f t="shared" ca="1" si="0"/>
        <v>L</v>
      </c>
      <c r="K8" s="4" t="str">
        <f ca="1">VLOOKUP(INDEX(INDIRECT("'"&amp;K$1&amp;"'!"&amp;"$A:$C"),MATCH('Schedule Optimizer'!$A8,INDIRECT("'"&amp;K$1&amp;"'!"&amp;"A:A"),0),MATCH('Schedule Optimizer'!K$2,INDIRECT("'"&amp;K$1&amp;"'!"&amp;"$A$1:$C$1"))),$A$3:$B$14,2,FALSE)</f>
        <v>Steve</v>
      </c>
      <c r="L8" s="4">
        <f ca="1">INDEX('Points For'!$B$1:$R$14,MATCH(K8,'Points For'!$B$1:$B$14,0),MATCH(K$1,'Points For'!$B$1:$R$1,0))</f>
        <v>82.9</v>
      </c>
      <c r="M8" s="4">
        <f ca="1">INDEX('Points For'!$B$1:$R$14,MATCH($B$16,'Points For'!$B$1:$B$14,0),MATCH(K$1,'Points For'!$B$1:$R$1,0))</f>
        <v>91.1</v>
      </c>
      <c r="N8" s="4" t="str">
        <f t="shared" ca="1" si="1"/>
        <v>W</v>
      </c>
      <c r="O8" s="4" t="str">
        <f ca="1">VLOOKUP(INDEX(INDIRECT("'"&amp;O$1&amp;"'!"&amp;"$A:$C"),MATCH('Schedule Optimizer'!$A8,INDIRECT("'"&amp;O$1&amp;"'!"&amp;"A:A"),0),MATCH('Schedule Optimizer'!O$2,INDIRECT("'"&amp;O$1&amp;"'!"&amp;"$A$1:$C$1"))),$A$3:$B$14,2,FALSE)</f>
        <v>Cody</v>
      </c>
      <c r="P8" s="4">
        <f ca="1">INDEX('Points For'!$B$1:$R$14,MATCH(O8,'Points For'!$B$1:$B$14,0),MATCH(O$1,'Points For'!$B$1:$R$1,0))</f>
        <v>113.6</v>
      </c>
      <c r="Q8" s="4">
        <f ca="1">INDEX('Points For'!$B$1:$R$14,MATCH($B$16,'Points For'!$B$1:$B$14,0),MATCH(O$1,'Points For'!$B$1:$R$1,0))</f>
        <v>95.9</v>
      </c>
      <c r="R8" s="4" t="str">
        <f t="shared" ca="1" si="2"/>
        <v>L</v>
      </c>
      <c r="S8" s="4" t="str">
        <f ca="1">VLOOKUP(INDEX(INDIRECT("'"&amp;S$1&amp;"'!"&amp;"$A:$C"),MATCH('Schedule Optimizer'!$A8,INDIRECT("'"&amp;S$1&amp;"'!"&amp;"A:A"),0),MATCH('Schedule Optimizer'!S$2,INDIRECT("'"&amp;S$1&amp;"'!"&amp;"$A$1:$C$1"))),$A$3:$B$14,2,FALSE)</f>
        <v>Nicole</v>
      </c>
      <c r="T8" s="4">
        <f ca="1">INDEX('Points For'!$B$1:$R$14,MATCH(S8,'Points For'!$B$1:$B$14,0),MATCH(S$1,'Points For'!$B$1:$R$1,0))</f>
        <v>81</v>
      </c>
      <c r="U8" s="4">
        <f ca="1">INDEX('Points For'!$B$1:$R$14,MATCH($B$16,'Points For'!$B$1:$B$14,0),MATCH(S$1,'Points For'!$B$1:$R$1,0))</f>
        <v>86</v>
      </c>
      <c r="V8" s="4" t="str">
        <f t="shared" ca="1" si="3"/>
        <v>W</v>
      </c>
      <c r="W8" s="4" t="str">
        <f ca="1">VLOOKUP(INDEX(INDIRECT("'"&amp;W$1&amp;"'!"&amp;"$A:$C"),MATCH('Schedule Optimizer'!$A8,INDIRECT("'"&amp;W$1&amp;"'!"&amp;"A:A"),0),MATCH('Schedule Optimizer'!W$2,INDIRECT("'"&amp;W$1&amp;"'!"&amp;"$A$1:$C$1"))),$A$3:$B$14,2,FALSE)</f>
        <v>Jesse</v>
      </c>
      <c r="X8" s="4">
        <f ca="1">INDEX('Points For'!$B$1:$R$14,MATCH(W8,'Points For'!$B$1:$B$14,0),MATCH(W$1,'Points For'!$B$1:$R$1,0))</f>
        <v>80.900000000000006</v>
      </c>
      <c r="Y8" s="4">
        <f ca="1">INDEX('Points For'!$B$1:$R$14,MATCH($B$16,'Points For'!$B$1:$B$14,0),MATCH(W$1,'Points For'!$B$1:$R$1,0))</f>
        <v>65.5</v>
      </c>
      <c r="Z8" s="4" t="str">
        <f t="shared" ca="1" si="4"/>
        <v>L</v>
      </c>
      <c r="AA8" s="4" t="str">
        <f ca="1">VLOOKUP(INDEX(INDIRECT("'"&amp;AA$1&amp;"'!"&amp;"$A:$C"),MATCH('Schedule Optimizer'!$A8,INDIRECT("'"&amp;AA$1&amp;"'!"&amp;"A:A"),0),MATCH('Schedule Optimizer'!AA$2,INDIRECT("'"&amp;AA$1&amp;"'!"&amp;"$A$1:$C$1"))),$A$3:$B$14,2,FALSE)</f>
        <v>Sam</v>
      </c>
      <c r="AB8" s="4">
        <f ca="1">INDEX('Points For'!$B$1:$R$14,MATCH(AA8,'Points For'!$B$1:$B$14,0),MATCH(AA$1,'Points For'!$B$1:$R$1,0))</f>
        <v>129.9</v>
      </c>
      <c r="AC8" s="4">
        <f ca="1">INDEX('Points For'!$B$1:$R$14,MATCH($B$16,'Points For'!$B$1:$B$14,0),MATCH(AA$1,'Points For'!$B$1:$R$1,0))</f>
        <v>85.8</v>
      </c>
      <c r="AD8" s="4" t="str">
        <f t="shared" ca="1" si="5"/>
        <v>L</v>
      </c>
      <c r="AE8" s="4" t="str">
        <f ca="1">VLOOKUP(INDEX(INDIRECT("'"&amp;AE$1&amp;"'!"&amp;"$A:$C"),MATCH('Schedule Optimizer'!$A8,INDIRECT("'"&amp;AE$1&amp;"'!"&amp;"A:A"),0),MATCH('Schedule Optimizer'!AE$2,INDIRECT("'"&amp;AE$1&amp;"'!"&amp;"$A$1:$C$1"))),$A$3:$B$14,2,FALSE)</f>
        <v>Ed</v>
      </c>
      <c r="AF8" s="4">
        <f ca="1">INDEX('Points For'!$B$1:$R$14,MATCH(AE8,'Points For'!$B$1:$B$14,0),MATCH(AE$1,'Points For'!$B$1:$R$1,0))</f>
        <v>105.8</v>
      </c>
      <c r="AG8" s="4">
        <f ca="1">INDEX('Points For'!$B$1:$R$14,MATCH($B$16,'Points For'!$B$1:$B$14,0),MATCH(AE$1,'Points For'!$B$1:$R$1,0))</f>
        <v>91.3</v>
      </c>
      <c r="AH8" s="4" t="str">
        <f t="shared" ca="1" si="6"/>
        <v>L</v>
      </c>
      <c r="AI8" s="4" t="str">
        <f ca="1">VLOOKUP(INDEX(INDIRECT("'"&amp;AI$1&amp;"'!"&amp;"$A:$C"),MATCH('Schedule Optimizer'!$A8,INDIRECT("'"&amp;AI$1&amp;"'!"&amp;"A:A"),0),MATCH('Schedule Optimizer'!AI$2,INDIRECT("'"&amp;AI$1&amp;"'!"&amp;"$A$1:$C$1"))),$A$3:$B$14,2,FALSE)</f>
        <v>Catina</v>
      </c>
      <c r="AJ8" s="4">
        <f ca="1">INDEX('Points For'!$B$1:$R$14,MATCH(AI8,'Points For'!$B$1:$B$14,0),MATCH(AI$1,'Points For'!$B$1:$R$1,0))</f>
        <v>82.8</v>
      </c>
      <c r="AK8" s="4">
        <f ca="1">INDEX('Points For'!$B$1:$R$14,MATCH($B$16,'Points For'!$B$1:$B$14,0),MATCH(AI$1,'Points For'!$B$1:$R$1,0))</f>
        <v>82.8</v>
      </c>
      <c r="AL8" s="4" t="str">
        <f t="shared" ca="1" si="7"/>
        <v>N/A</v>
      </c>
      <c r="AM8" s="4" t="str">
        <f ca="1">VLOOKUP(INDEX(INDIRECT("'"&amp;AM$1&amp;"'!"&amp;"$A:$C"),MATCH('Schedule Optimizer'!$A8,INDIRECT("'"&amp;AM$1&amp;"'!"&amp;"A:A"),0),MATCH('Schedule Optimizer'!AM$2,INDIRECT("'"&amp;AM$1&amp;"'!"&amp;"$A$1:$C$1"))),$A$3:$B$14,2,FALSE)</f>
        <v>Sara</v>
      </c>
      <c r="AN8" s="4">
        <f ca="1">INDEX('Points For'!$B$1:$R$14,MATCH(AM8,'Points For'!$B$1:$B$14,0),MATCH(AM$1,'Points For'!$B$1:$R$1,0))</f>
        <v>70.3</v>
      </c>
      <c r="AO8" s="4">
        <f ca="1">INDEX('Points For'!$B$1:$R$14,MATCH($B$16,'Points For'!$B$1:$B$14,0),MATCH(AM$1,'Points For'!$B$1:$R$1,0))</f>
        <v>102.8</v>
      </c>
      <c r="AP8" s="4" t="str">
        <f t="shared" ca="1" si="8"/>
        <v>W</v>
      </c>
      <c r="AQ8" s="4" t="str">
        <f ca="1">VLOOKUP(INDEX(INDIRECT("'"&amp;AQ$1&amp;"'!"&amp;"$A:$C"),MATCH('Schedule Optimizer'!$A8,INDIRECT("'"&amp;AQ$1&amp;"'!"&amp;"A:A"),0),MATCH('Schedule Optimizer'!AQ$2,INDIRECT("'"&amp;AQ$1&amp;"'!"&amp;"$A$1:$C$1"))),$A$3:$B$14,2,FALSE)</f>
        <v>Tres</v>
      </c>
      <c r="AR8" s="4">
        <f ca="1">INDEX('Points For'!$B$1:$R$14,MATCH(AQ8,'Points For'!$B$1:$B$14,0),MATCH(AQ$1,'Points For'!$B$1:$R$1,0))</f>
        <v>73.900000000000006</v>
      </c>
      <c r="AS8" s="4">
        <f ca="1">INDEX('Points For'!$B$1:$R$14,MATCH($B$16,'Points For'!$B$1:$B$14,0),MATCH(AQ$1,'Points For'!$B$1:$R$1,0))</f>
        <v>65.599999999999994</v>
      </c>
      <c r="AT8" s="4" t="str">
        <f t="shared" ca="1" si="9"/>
        <v>L</v>
      </c>
      <c r="AU8" s="4" t="str">
        <f ca="1">VLOOKUP(INDEX(INDIRECT("'"&amp;AU$1&amp;"'!"&amp;"$A:$C"),MATCH('Schedule Optimizer'!$A8,INDIRECT("'"&amp;AU$1&amp;"'!"&amp;"A:A"),0),MATCH('Schedule Optimizer'!AU$2,INDIRECT("'"&amp;AU$1&amp;"'!"&amp;"$A$1:$C$1"))),$A$3:$B$14,2,FALSE)</f>
        <v>Binder</v>
      </c>
      <c r="AV8" s="4">
        <f ca="1">INDEX('Points For'!$B$1:$R$14,MATCH(AU8,'Points For'!$B$1:$B$14,0),MATCH(AU$1,'Points For'!$B$1:$R$1,0))</f>
        <v>74.8</v>
      </c>
      <c r="AW8" s="4">
        <f ca="1">INDEX('Points For'!$B$1:$R$14,MATCH($B$16,'Points For'!$B$1:$B$14,0),MATCH(AU$1,'Points For'!$B$1:$R$1,0))</f>
        <v>100.6</v>
      </c>
      <c r="AX8" s="4" t="str">
        <f t="shared" ca="1" si="10"/>
        <v>W</v>
      </c>
      <c r="AY8" s="4" t="str">
        <f ca="1">VLOOKUP(INDEX(INDIRECT("'"&amp;AY$1&amp;"'!"&amp;"$A:$C"),MATCH('Schedule Optimizer'!$A8,INDIRECT("'"&amp;AY$1&amp;"'!"&amp;"A:A"),0),MATCH('Schedule Optimizer'!AY$2,INDIRECT("'"&amp;AY$1&amp;"'!"&amp;"$A$1:$C$1"))),$A$3:$B$14,2,FALSE)</f>
        <v>Cody</v>
      </c>
      <c r="AZ8" s="4">
        <f ca="1">INDEX('Points For'!$B$1:$R$14,MATCH(AY8,'Points For'!$B$1:$B$14,0),MATCH(AY$1,'Points For'!$B$1:$R$1,0))</f>
        <v>98.8</v>
      </c>
      <c r="BA8" s="4">
        <f ca="1">INDEX('Points For'!$B$1:$R$14,MATCH($B$16,'Points For'!$B$1:$B$14,0),MATCH(AY$1,'Points For'!$B$1:$R$1,0))</f>
        <v>121.6</v>
      </c>
      <c r="BB8" s="4" t="str">
        <f t="shared" ca="1" si="11"/>
        <v>W</v>
      </c>
      <c r="BC8" s="4" t="str">
        <f ca="1">VLOOKUP(INDEX(INDIRECT("'"&amp;BC$1&amp;"'!"&amp;"$A:$C"),MATCH('Schedule Optimizer'!$A8,INDIRECT("'"&amp;BC$1&amp;"'!"&amp;"A:A"),0),MATCH('Schedule Optimizer'!BC$2,INDIRECT("'"&amp;BC$1&amp;"'!"&amp;"$A$1:$C$1"))),$A$3:$B$14,2,FALSE)</f>
        <v>Nicole</v>
      </c>
      <c r="BD8" s="4">
        <f ca="1">INDEX('Points For'!$B$1:$R$14,MATCH(BC8,'Points For'!$B$1:$B$14,0),MATCH(BC$1,'Points For'!$B$1:$R$1,0))</f>
        <v>139.1</v>
      </c>
      <c r="BE8" s="4">
        <f ca="1">INDEX('Points For'!$B$1:$R$14,MATCH($B$16,'Points For'!$B$1:$B$14,0),MATCH(BC$1,'Points For'!$B$1:$R$1,0))</f>
        <v>79.400000000000006</v>
      </c>
      <c r="BF8" s="4" t="str">
        <f t="shared" ca="1" si="12"/>
        <v>L</v>
      </c>
      <c r="BG8" s="4" t="str">
        <f ca="1">VLOOKUP(INDEX(INDIRECT("'"&amp;BG$1&amp;"'!"&amp;"$A:$C"),MATCH('Schedule Optimizer'!$A8,INDIRECT("'"&amp;BG$1&amp;"'!"&amp;"A:A"),0),MATCH('Schedule Optimizer'!BG$2,INDIRECT("'"&amp;BG$1&amp;"'!"&amp;"$A$1:$C$1"))),$A$3:$B$14,2,FALSE)</f>
        <v>Cody</v>
      </c>
      <c r="BH8" s="4">
        <f ca="1">INDEX('Points For'!$B$1:$R$14,MATCH(BG8,'Points For'!$B$1:$B$14,0),MATCH(BG$1,'Points For'!$B$1:$R$1,0))</f>
        <v>88.6</v>
      </c>
      <c r="BI8" s="4">
        <f ca="1">INDEX('Points For'!$B$1:$R$14,MATCH($B$16,'Points For'!$B$1:$B$14,0),MATCH(BG$1,'Points For'!$B$1:$R$1,0))</f>
        <v>102.6</v>
      </c>
      <c r="BJ8" s="4" t="str">
        <f t="shared" ca="1" si="13"/>
        <v>W</v>
      </c>
      <c r="BK8" s="4" t="str">
        <f ca="1">VLOOKUP(INDEX(INDIRECT("'"&amp;BK$1&amp;"'!"&amp;"$A:$C"),MATCH('Schedule Optimizer'!$A8,INDIRECT("'"&amp;BK$1&amp;"'!"&amp;"A:A"),0),MATCH('Schedule Optimizer'!BK$2,INDIRECT("'"&amp;BK$1&amp;"'!"&amp;"$A$1:$C$1"))),$A$3:$B$14,2,FALSE)</f>
        <v>Nicole</v>
      </c>
      <c r="BL8" s="4">
        <f ca="1">INDEX('Points For'!$B$1:$R$14,MATCH(BK8,'Points For'!$B$1:$B$14,0),MATCH(BK$1,'Points For'!$B$1:$R$1,0))</f>
        <v>93.8</v>
      </c>
      <c r="BM8" s="4">
        <f ca="1">INDEX('Points For'!$B$1:$R$14,MATCH($B$16,'Points For'!$B$1:$B$14,0),MATCH(BK$1,'Points For'!$B$1:$R$1,0))</f>
        <v>138.30000000000001</v>
      </c>
      <c r="BN8" s="4" t="str">
        <f t="shared" ca="1" si="14"/>
        <v>W</v>
      </c>
      <c r="BO8" s="4" t="str">
        <f ca="1">VLOOKUP(INDEX(INDIRECT("'"&amp;BO$1&amp;"'!"&amp;"$A:$C"),MATCH('Schedule Optimizer'!$A8,INDIRECT("'"&amp;BO$1&amp;"'!"&amp;"A:A"),0),MATCH('Schedule Optimizer'!BO$2,INDIRECT("'"&amp;BO$1&amp;"'!"&amp;"$A$1:$C$1"))),$A$3:$B$14,2,FALSE)</f>
        <v>Ed</v>
      </c>
      <c r="BP8" s="4">
        <f ca="1">INDEX('Points For'!$B$1:$R$14,MATCH(BO8,'Points For'!$B$1:$B$14,0),MATCH(BO$1,'Points For'!$B$1:$R$1,0))</f>
        <v>102.8</v>
      </c>
      <c r="BQ8" s="4">
        <f ca="1">INDEX('Points For'!$B$1:$R$14,MATCH($B$16,'Points For'!$B$1:$B$14,0),MATCH(BO$1,'Points For'!$B$1:$R$1,0))</f>
        <v>163.1</v>
      </c>
      <c r="BR8" s="4" t="str">
        <f t="shared" ca="1" si="15"/>
        <v>W</v>
      </c>
    </row>
    <row r="9" spans="1:70" ht="16.25" thickTop="1" thickBot="1" x14ac:dyDescent="0.9">
      <c r="A9" s="4" t="s">
        <v>16</v>
      </c>
      <c r="B9" s="4" t="s">
        <v>168</v>
      </c>
      <c r="C9" s="9">
        <f t="shared" ca="1" si="16"/>
        <v>2</v>
      </c>
      <c r="D9" s="9">
        <f t="shared" ca="1" si="17"/>
        <v>10</v>
      </c>
      <c r="E9" s="9">
        <f t="shared" ca="1" si="18"/>
        <v>2</v>
      </c>
      <c r="F9" s="9">
        <f t="shared" ca="1" si="19"/>
        <v>1</v>
      </c>
      <c r="G9" s="4" t="str">
        <f ca="1">VLOOKUP(INDEX(INDIRECT("'"&amp;G$1&amp;"'!"&amp;"$A:$C"),MATCH('Schedule Optimizer'!$A9,INDIRECT("'"&amp;G$1&amp;"'!"&amp;"A:A"),0),MATCH('Schedule Optimizer'!G$2,INDIRECT("'"&amp;G$1&amp;"'!"&amp;"$A$1:$C$1"))),$A$3:$B$14,2,FALSE)</f>
        <v>Jesse</v>
      </c>
      <c r="H9" s="4">
        <f ca="1">INDEX('Points For'!$B$1:$R$14,MATCH(G9,'Points For'!$B$1:$B$14,0),MATCH(G$1,'Points For'!$B$1:$R$1,0))</f>
        <v>61.1</v>
      </c>
      <c r="I9" s="4">
        <f ca="1">INDEX('Points For'!$B$1:$R$14,MATCH($B$16,'Points For'!$B$1:$B$14,0),MATCH(G$1,'Points For'!$B$1:$R$1,0))</f>
        <v>81</v>
      </c>
      <c r="J9" s="4" t="str">
        <f t="shared" ca="1" si="0"/>
        <v>W</v>
      </c>
      <c r="K9" s="4" t="str">
        <f ca="1">VLOOKUP(INDEX(INDIRECT("'"&amp;K$1&amp;"'!"&amp;"$A:$C"),MATCH('Schedule Optimizer'!$A9,INDIRECT("'"&amp;K$1&amp;"'!"&amp;"A:A"),0),MATCH('Schedule Optimizer'!K$2,INDIRECT("'"&amp;K$1&amp;"'!"&amp;"$A$1:$C$1"))),$A$3:$B$14,2,FALSE)</f>
        <v>Catina</v>
      </c>
      <c r="L9" s="4">
        <f ca="1">INDEX('Points For'!$B$1:$R$14,MATCH(K9,'Points For'!$B$1:$B$14,0),MATCH(K$1,'Points For'!$B$1:$R$1,0))</f>
        <v>91.1</v>
      </c>
      <c r="M9" s="4">
        <f ca="1">INDEX('Points For'!$B$1:$R$14,MATCH($B$16,'Points For'!$B$1:$B$14,0),MATCH(K$1,'Points For'!$B$1:$R$1,0))</f>
        <v>91.1</v>
      </c>
      <c r="N9" s="4" t="str">
        <f t="shared" ca="1" si="1"/>
        <v>N/A</v>
      </c>
      <c r="O9" s="4" t="str">
        <f ca="1">VLOOKUP(INDEX(INDIRECT("'"&amp;O$1&amp;"'!"&amp;"$A:$C"),MATCH('Schedule Optimizer'!$A9,INDIRECT("'"&amp;O$1&amp;"'!"&amp;"A:A"),0),MATCH('Schedule Optimizer'!O$2,INDIRECT("'"&amp;O$1&amp;"'!"&amp;"$A$1:$C$1"))),$A$3:$B$14,2,FALSE)</f>
        <v>Jake</v>
      </c>
      <c r="P9" s="4">
        <f ca="1">INDEX('Points For'!$B$1:$R$14,MATCH(O9,'Points For'!$B$1:$B$14,0),MATCH(O$1,'Points For'!$B$1:$R$1,0))</f>
        <v>109</v>
      </c>
      <c r="Q9" s="4">
        <f ca="1">INDEX('Points For'!$B$1:$R$14,MATCH($B$16,'Points For'!$B$1:$B$14,0),MATCH(O$1,'Points For'!$B$1:$R$1,0))</f>
        <v>95.9</v>
      </c>
      <c r="R9" s="4" t="str">
        <f t="shared" ca="1" si="2"/>
        <v>L</v>
      </c>
      <c r="S9" s="4" t="str">
        <f ca="1">VLOOKUP(INDEX(INDIRECT("'"&amp;S$1&amp;"'!"&amp;"$A:$C"),MATCH('Schedule Optimizer'!$A9,INDIRECT("'"&amp;S$1&amp;"'!"&amp;"A:A"),0),MATCH('Schedule Optimizer'!S$2,INDIRECT("'"&amp;S$1&amp;"'!"&amp;"$A$1:$C$1"))),$A$3:$B$14,2,FALSE)</f>
        <v>Ed</v>
      </c>
      <c r="T9" s="4">
        <f ca="1">INDEX('Points For'!$B$1:$R$14,MATCH(S9,'Points For'!$B$1:$B$14,0),MATCH(S$1,'Points For'!$B$1:$R$1,0))</f>
        <v>97.8</v>
      </c>
      <c r="U9" s="4">
        <f ca="1">INDEX('Points For'!$B$1:$R$14,MATCH($B$16,'Points For'!$B$1:$B$14,0),MATCH(S$1,'Points For'!$B$1:$R$1,0))</f>
        <v>86</v>
      </c>
      <c r="V9" s="4" t="str">
        <f t="shared" ca="1" si="3"/>
        <v>L</v>
      </c>
      <c r="W9" s="4" t="str">
        <f ca="1">VLOOKUP(INDEX(INDIRECT("'"&amp;W$1&amp;"'!"&amp;"$A:$C"),MATCH('Schedule Optimizer'!$A9,INDIRECT("'"&amp;W$1&amp;"'!"&amp;"A:A"),0),MATCH('Schedule Optimizer'!W$2,INDIRECT("'"&amp;W$1&amp;"'!"&amp;"$A$1:$C$1"))),$A$3:$B$14,2,FALSE)</f>
        <v>Tres</v>
      </c>
      <c r="X9" s="4">
        <f ca="1">INDEX('Points For'!$B$1:$R$14,MATCH(W9,'Points For'!$B$1:$B$14,0),MATCH(W$1,'Points For'!$B$1:$R$1,0))</f>
        <v>100.6</v>
      </c>
      <c r="Y9" s="4">
        <f ca="1">INDEX('Points For'!$B$1:$R$14,MATCH($B$16,'Points For'!$B$1:$B$14,0),MATCH(W$1,'Points For'!$B$1:$R$1,0))</f>
        <v>65.5</v>
      </c>
      <c r="Z9" s="4" t="str">
        <f t="shared" ca="1" si="4"/>
        <v>L</v>
      </c>
      <c r="AA9" s="4" t="str">
        <f ca="1">VLOOKUP(INDEX(INDIRECT("'"&amp;AA$1&amp;"'!"&amp;"$A:$C"),MATCH('Schedule Optimizer'!$A9,INDIRECT("'"&amp;AA$1&amp;"'!"&amp;"A:A"),0),MATCH('Schedule Optimizer'!AA$2,INDIRECT("'"&amp;AA$1&amp;"'!"&amp;"$A$1:$C$1"))),$A$3:$B$14,2,FALSE)</f>
        <v>Sara</v>
      </c>
      <c r="AB9" s="4">
        <f ca="1">INDEX('Points For'!$B$1:$R$14,MATCH(AA9,'Points For'!$B$1:$B$14,0),MATCH(AA$1,'Points For'!$B$1:$R$1,0))</f>
        <v>108.2</v>
      </c>
      <c r="AC9" s="4">
        <f ca="1">INDEX('Points For'!$B$1:$R$14,MATCH($B$16,'Points For'!$B$1:$B$14,0),MATCH(AA$1,'Points For'!$B$1:$R$1,0))</f>
        <v>85.8</v>
      </c>
      <c r="AD9" s="4" t="str">
        <f t="shared" ca="1" si="5"/>
        <v>L</v>
      </c>
      <c r="AE9" s="4" t="str">
        <f ca="1">VLOOKUP(INDEX(INDIRECT("'"&amp;AE$1&amp;"'!"&amp;"$A:$C"),MATCH('Schedule Optimizer'!$A9,INDIRECT("'"&amp;AE$1&amp;"'!"&amp;"A:A"),0),MATCH('Schedule Optimizer'!AE$2,INDIRECT("'"&amp;AE$1&amp;"'!"&amp;"$A$1:$C$1"))),$A$3:$B$14,2,FALSE)</f>
        <v>Nicole</v>
      </c>
      <c r="AF9" s="4">
        <f ca="1">INDEX('Points For'!$B$1:$R$14,MATCH(AE9,'Points For'!$B$1:$B$14,0),MATCH(AE$1,'Points For'!$B$1:$R$1,0))</f>
        <v>105.8</v>
      </c>
      <c r="AG9" s="4">
        <f ca="1">INDEX('Points For'!$B$1:$R$14,MATCH($B$16,'Points For'!$B$1:$B$14,0),MATCH(AE$1,'Points For'!$B$1:$R$1,0))</f>
        <v>91.3</v>
      </c>
      <c r="AH9" s="4" t="str">
        <f t="shared" ca="1" si="6"/>
        <v>L</v>
      </c>
      <c r="AI9" s="4" t="str">
        <f ca="1">VLOOKUP(INDEX(INDIRECT("'"&amp;AI$1&amp;"'!"&amp;"$A:$C"),MATCH('Schedule Optimizer'!$A9,INDIRECT("'"&amp;AI$1&amp;"'!"&amp;"A:A"),0),MATCH('Schedule Optimizer'!AI$2,INDIRECT("'"&amp;AI$1&amp;"'!"&amp;"$A$1:$C$1"))),$A$3:$B$14,2,FALSE)</f>
        <v>Dave</v>
      </c>
      <c r="AJ9" s="4">
        <f ca="1">INDEX('Points For'!$B$1:$R$14,MATCH(AI9,'Points For'!$B$1:$B$14,0),MATCH(AI$1,'Points For'!$B$1:$R$1,0))</f>
        <v>96.4</v>
      </c>
      <c r="AK9" s="4">
        <f ca="1">INDEX('Points For'!$B$1:$R$14,MATCH($B$16,'Points For'!$B$1:$B$14,0),MATCH(AI$1,'Points For'!$B$1:$R$1,0))</f>
        <v>82.8</v>
      </c>
      <c r="AL9" s="4" t="str">
        <f t="shared" ca="1" si="7"/>
        <v>L</v>
      </c>
      <c r="AM9" s="4" t="str">
        <f ca="1">VLOOKUP(INDEX(INDIRECT("'"&amp;AM$1&amp;"'!"&amp;"$A:$C"),MATCH('Schedule Optimizer'!$A9,INDIRECT("'"&amp;AM$1&amp;"'!"&amp;"A:A"),0),MATCH('Schedule Optimizer'!AM$2,INDIRECT("'"&amp;AM$1&amp;"'!"&amp;"$A$1:$C$1"))),$A$3:$B$14,2,FALSE)</f>
        <v>Steve</v>
      </c>
      <c r="AN9" s="4">
        <f ca="1">INDEX('Points For'!$B$1:$R$14,MATCH(AM9,'Points For'!$B$1:$B$14,0),MATCH(AM$1,'Points For'!$B$1:$R$1,0))</f>
        <v>69.8</v>
      </c>
      <c r="AO9" s="4">
        <f ca="1">INDEX('Points For'!$B$1:$R$14,MATCH($B$16,'Points For'!$B$1:$B$14,0),MATCH(AM$1,'Points For'!$B$1:$R$1,0))</f>
        <v>102.8</v>
      </c>
      <c r="AP9" s="4" t="str">
        <f t="shared" ca="1" si="8"/>
        <v>W</v>
      </c>
      <c r="AQ9" s="4" t="str">
        <f ca="1">VLOOKUP(INDEX(INDIRECT("'"&amp;AQ$1&amp;"'!"&amp;"$A:$C"),MATCH('Schedule Optimizer'!$A9,INDIRECT("'"&amp;AQ$1&amp;"'!"&amp;"A:A"),0),MATCH('Schedule Optimizer'!AQ$2,INDIRECT("'"&amp;AQ$1&amp;"'!"&amp;"$A$1:$C$1"))),$A$3:$B$14,2,FALSE)</f>
        <v>Binder</v>
      </c>
      <c r="AR9" s="4">
        <f ca="1">INDEX('Points For'!$B$1:$R$14,MATCH(AQ9,'Points For'!$B$1:$B$14,0),MATCH(AQ$1,'Points For'!$B$1:$R$1,0))</f>
        <v>104.9</v>
      </c>
      <c r="AS9" s="4">
        <f ca="1">INDEX('Points For'!$B$1:$R$14,MATCH($B$16,'Points For'!$B$1:$B$14,0),MATCH(AQ$1,'Points For'!$B$1:$R$1,0))</f>
        <v>65.599999999999994</v>
      </c>
      <c r="AT9" s="4" t="str">
        <f t="shared" ca="1" si="9"/>
        <v>L</v>
      </c>
      <c r="AU9" s="4" t="str">
        <f ca="1">VLOOKUP(INDEX(INDIRECT("'"&amp;AU$1&amp;"'!"&amp;"$A:$C"),MATCH('Schedule Optimizer'!$A9,INDIRECT("'"&amp;AU$1&amp;"'!"&amp;"A:A"),0),MATCH('Schedule Optimizer'!AU$2,INDIRECT("'"&amp;AU$1&amp;"'!"&amp;"$A$1:$C$1"))),$A$3:$B$14,2,FALSE)</f>
        <v>Sam</v>
      </c>
      <c r="AV9" s="4">
        <f ca="1">INDEX('Points For'!$B$1:$R$14,MATCH(AU9,'Points For'!$B$1:$B$14,0),MATCH(AU$1,'Points For'!$B$1:$R$1,0))</f>
        <v>117.4</v>
      </c>
      <c r="AW9" s="4">
        <f ca="1">INDEX('Points For'!$B$1:$R$14,MATCH($B$16,'Points For'!$B$1:$B$14,0),MATCH(AU$1,'Points For'!$B$1:$R$1,0))</f>
        <v>100.6</v>
      </c>
      <c r="AX9" s="4" t="str">
        <f t="shared" ca="1" si="10"/>
        <v>L</v>
      </c>
      <c r="AY9" s="4" t="str">
        <f ca="1">VLOOKUP(INDEX(INDIRECT("'"&amp;AY$1&amp;"'!"&amp;"$A:$C"),MATCH('Schedule Optimizer'!$A9,INDIRECT("'"&amp;AY$1&amp;"'!"&amp;"A:A"),0),MATCH('Schedule Optimizer'!AY$2,INDIRECT("'"&amp;AY$1&amp;"'!"&amp;"$A$1:$C$1"))),$A$3:$B$14,2,FALSE)</f>
        <v>Jake</v>
      </c>
      <c r="AZ9" s="4">
        <f ca="1">INDEX('Points For'!$B$1:$R$14,MATCH(AY9,'Points For'!$B$1:$B$14,0),MATCH(AY$1,'Points For'!$B$1:$R$1,0))</f>
        <v>134.9</v>
      </c>
      <c r="BA9" s="4">
        <f ca="1">INDEX('Points For'!$B$1:$R$14,MATCH($B$16,'Points For'!$B$1:$B$14,0),MATCH(AY$1,'Points For'!$B$1:$R$1,0))</f>
        <v>121.6</v>
      </c>
      <c r="BB9" s="4" t="str">
        <f t="shared" ca="1" si="11"/>
        <v>L</v>
      </c>
      <c r="BC9" s="4" t="str">
        <f ca="1">VLOOKUP(INDEX(INDIRECT("'"&amp;BC$1&amp;"'!"&amp;"$A:$C"),MATCH('Schedule Optimizer'!$A9,INDIRECT("'"&amp;BC$1&amp;"'!"&amp;"A:A"),0),MATCH('Schedule Optimizer'!BC$2,INDIRECT("'"&amp;BC$1&amp;"'!"&amp;"$A$1:$C$1"))),$A$3:$B$14,2,FALSE)</f>
        <v>Ed</v>
      </c>
      <c r="BD9" s="4">
        <f ca="1">INDEX('Points For'!$B$1:$R$14,MATCH(BC9,'Points For'!$B$1:$B$14,0),MATCH(BC$1,'Points For'!$B$1:$R$1,0))</f>
        <v>105.5</v>
      </c>
      <c r="BE9" s="4">
        <f ca="1">INDEX('Points For'!$B$1:$R$14,MATCH($B$16,'Points For'!$B$1:$B$14,0),MATCH(BC$1,'Points For'!$B$1:$R$1,0))</f>
        <v>79.400000000000006</v>
      </c>
      <c r="BF9" s="4" t="str">
        <f t="shared" ca="1" si="12"/>
        <v>L</v>
      </c>
      <c r="BG9" s="4" t="str">
        <f ca="1">VLOOKUP(INDEX(INDIRECT("'"&amp;BG$1&amp;"'!"&amp;"$A:$C"),MATCH('Schedule Optimizer'!$A9,INDIRECT("'"&amp;BG$1&amp;"'!"&amp;"A:A"),0),MATCH('Schedule Optimizer'!BG$2,INDIRECT("'"&amp;BG$1&amp;"'!"&amp;"$A$1:$C$1"))),$A$3:$B$14,2,FALSE)</f>
        <v>Jake</v>
      </c>
      <c r="BH9" s="4">
        <f ca="1">INDEX('Points For'!$B$1:$R$14,MATCH(BG9,'Points For'!$B$1:$B$14,0),MATCH(BG$1,'Points For'!$B$1:$R$1,0))</f>
        <v>104.3</v>
      </c>
      <c r="BI9" s="4">
        <f ca="1">INDEX('Points For'!$B$1:$R$14,MATCH($B$16,'Points For'!$B$1:$B$14,0),MATCH(BG$1,'Points For'!$B$1:$R$1,0))</f>
        <v>102.6</v>
      </c>
      <c r="BJ9" s="4" t="str">
        <f t="shared" ca="1" si="13"/>
        <v>L</v>
      </c>
      <c r="BK9" s="4" t="str">
        <f ca="1">VLOOKUP(INDEX(INDIRECT("'"&amp;BK$1&amp;"'!"&amp;"$A:$C"),MATCH('Schedule Optimizer'!$A9,INDIRECT("'"&amp;BK$1&amp;"'!"&amp;"A:A"),0),MATCH('Schedule Optimizer'!BK$2,INDIRECT("'"&amp;BK$1&amp;"'!"&amp;"$A$1:$C$1"))),$A$3:$B$14,2,FALSE)</f>
        <v>Dave</v>
      </c>
      <c r="BL9" s="4">
        <f ca="1">INDEX('Points For'!$B$1:$R$14,MATCH(BK9,'Points For'!$B$1:$B$14,0),MATCH(BK$1,'Points For'!$B$1:$R$1,0))</f>
        <v>75.599999999999994</v>
      </c>
      <c r="BM9" s="4">
        <f ca="1">INDEX('Points For'!$B$1:$R$14,MATCH($B$16,'Points For'!$B$1:$B$14,0),MATCH(BK$1,'Points For'!$B$1:$R$1,0))</f>
        <v>138.30000000000001</v>
      </c>
      <c r="BN9" s="4" t="str">
        <f t="shared" ca="1" si="14"/>
        <v>W</v>
      </c>
      <c r="BO9" s="4" t="str">
        <f ca="1">VLOOKUP(INDEX(INDIRECT("'"&amp;BO$1&amp;"'!"&amp;"$A:$C"),MATCH('Schedule Optimizer'!$A9,INDIRECT("'"&amp;BO$1&amp;"'!"&amp;"A:A"),0),MATCH('Schedule Optimizer'!BO$2,INDIRECT("'"&amp;BO$1&amp;"'!"&amp;"$A$1:$C$1"))),$A$3:$B$14,2,FALSE)</f>
        <v>Dave</v>
      </c>
      <c r="BP9" s="4">
        <f ca="1">INDEX('Points For'!$B$1:$R$14,MATCH(BO9,'Points For'!$B$1:$B$14,0),MATCH(BO$1,'Points For'!$B$1:$R$1,0))</f>
        <v>70.3</v>
      </c>
      <c r="BQ9" s="4">
        <f ca="1">INDEX('Points For'!$B$1:$R$14,MATCH($B$16,'Points For'!$B$1:$B$14,0),MATCH(BO$1,'Points For'!$B$1:$R$1,0))</f>
        <v>163.1</v>
      </c>
      <c r="BR9" s="4" t="str">
        <f t="shared" ca="1" si="15"/>
        <v>W</v>
      </c>
    </row>
    <row r="10" spans="1:70" ht="16.25" thickTop="1" thickBot="1" x14ac:dyDescent="0.9">
      <c r="A10" s="4" t="s">
        <v>18</v>
      </c>
      <c r="B10" s="4" t="s">
        <v>169</v>
      </c>
      <c r="C10" s="9">
        <f t="shared" ca="1" si="16"/>
        <v>8</v>
      </c>
      <c r="D10" s="9">
        <f t="shared" ca="1" si="17"/>
        <v>4</v>
      </c>
      <c r="E10" s="9">
        <f t="shared" ca="1" si="18"/>
        <v>2</v>
      </c>
      <c r="F10" s="9">
        <f t="shared" ca="1" si="19"/>
        <v>1</v>
      </c>
      <c r="G10" s="4" t="str">
        <f ca="1">VLOOKUP(INDEX(INDIRECT("'"&amp;G$1&amp;"'!"&amp;"$A:$C"),MATCH('Schedule Optimizer'!$A10,INDIRECT("'"&amp;G$1&amp;"'!"&amp;"A:A"),0),MATCH('Schedule Optimizer'!G$2,INDIRECT("'"&amp;G$1&amp;"'!"&amp;"$A$1:$C$1"))),$A$3:$B$14,2,FALSE)</f>
        <v>Cody</v>
      </c>
      <c r="H10" s="4">
        <f ca="1">INDEX('Points For'!$B$1:$R$14,MATCH(G10,'Points For'!$B$1:$B$14,0),MATCH(G$1,'Points For'!$B$1:$R$1,0))</f>
        <v>72.099999999999994</v>
      </c>
      <c r="I10" s="4">
        <f ca="1">INDEX('Points For'!$B$1:$R$14,MATCH($B$16,'Points For'!$B$1:$B$14,0),MATCH(G$1,'Points For'!$B$1:$R$1,0))</f>
        <v>81</v>
      </c>
      <c r="J10" s="4" t="str">
        <f t="shared" ca="1" si="0"/>
        <v>W</v>
      </c>
      <c r="K10" s="4" t="str">
        <f ca="1">VLOOKUP(INDEX(INDIRECT("'"&amp;K$1&amp;"'!"&amp;"$A:$C"),MATCH('Schedule Optimizer'!$A10,INDIRECT("'"&amp;K$1&amp;"'!"&amp;"A:A"),0),MATCH('Schedule Optimizer'!K$2,INDIRECT("'"&amp;K$1&amp;"'!"&amp;"$A$1:$C$1"))),$A$3:$B$14,2,FALSE)</f>
        <v>Ed</v>
      </c>
      <c r="L10" s="4">
        <f ca="1">INDEX('Points For'!$B$1:$R$14,MATCH(K10,'Points For'!$B$1:$B$14,0),MATCH(K$1,'Points For'!$B$1:$R$1,0))</f>
        <v>85.3</v>
      </c>
      <c r="M10" s="4">
        <f ca="1">INDEX('Points For'!$B$1:$R$14,MATCH($B$16,'Points For'!$B$1:$B$14,0),MATCH(K$1,'Points For'!$B$1:$R$1,0))</f>
        <v>91.1</v>
      </c>
      <c r="N10" s="4" t="str">
        <f t="shared" ca="1" si="1"/>
        <v>W</v>
      </c>
      <c r="O10" s="4" t="str">
        <f ca="1">VLOOKUP(INDEX(INDIRECT("'"&amp;O$1&amp;"'!"&amp;"$A:$C"),MATCH('Schedule Optimizer'!$A10,INDIRECT("'"&amp;O$1&amp;"'!"&amp;"A:A"),0),MATCH('Schedule Optimizer'!O$2,INDIRECT("'"&amp;O$1&amp;"'!"&amp;"$A$1:$C$1"))),$A$3:$B$14,2,FALSE)</f>
        <v>Steve</v>
      </c>
      <c r="P10" s="4">
        <f ca="1">INDEX('Points For'!$B$1:$R$14,MATCH(O10,'Points For'!$B$1:$B$14,0),MATCH(O$1,'Points For'!$B$1:$R$1,0))</f>
        <v>80.7</v>
      </c>
      <c r="Q10" s="4">
        <f ca="1">INDEX('Points For'!$B$1:$R$14,MATCH($B$16,'Points For'!$B$1:$B$14,0),MATCH(O$1,'Points For'!$B$1:$R$1,0))</f>
        <v>95.9</v>
      </c>
      <c r="R10" s="4" t="str">
        <f t="shared" ca="1" si="2"/>
        <v>W</v>
      </c>
      <c r="S10" s="4" t="str">
        <f ca="1">VLOOKUP(INDEX(INDIRECT("'"&amp;S$1&amp;"'!"&amp;"$A:$C"),MATCH('Schedule Optimizer'!$A10,INDIRECT("'"&amp;S$1&amp;"'!"&amp;"A:A"),0),MATCH('Schedule Optimizer'!S$2,INDIRECT("'"&amp;S$1&amp;"'!"&amp;"$A$1:$C$1"))),$A$3:$B$14,2,FALSE)</f>
        <v>Tres</v>
      </c>
      <c r="T10" s="4">
        <f ca="1">INDEX('Points For'!$B$1:$R$14,MATCH(S10,'Points For'!$B$1:$B$14,0),MATCH(S$1,'Points For'!$B$1:$R$1,0))</f>
        <v>95.3</v>
      </c>
      <c r="U10" s="4">
        <f ca="1">INDEX('Points For'!$B$1:$R$14,MATCH($B$16,'Points For'!$B$1:$B$14,0),MATCH(S$1,'Points For'!$B$1:$R$1,0))</f>
        <v>86</v>
      </c>
      <c r="V10" s="4" t="str">
        <f t="shared" ca="1" si="3"/>
        <v>L</v>
      </c>
      <c r="W10" s="4" t="str">
        <f ca="1">VLOOKUP(INDEX(INDIRECT("'"&amp;W$1&amp;"'!"&amp;"$A:$C"),MATCH('Schedule Optimizer'!$A10,INDIRECT("'"&amp;W$1&amp;"'!"&amp;"A:A"),0),MATCH('Schedule Optimizer'!W$2,INDIRECT("'"&amp;W$1&amp;"'!"&amp;"$A$1:$C$1"))),$A$3:$B$14,2,FALSE)</f>
        <v>Jake</v>
      </c>
      <c r="X10" s="4">
        <f ca="1">INDEX('Points For'!$B$1:$R$14,MATCH(W10,'Points For'!$B$1:$B$14,0),MATCH(W$1,'Points For'!$B$1:$R$1,0))</f>
        <v>109.7</v>
      </c>
      <c r="Y10" s="4">
        <f ca="1">INDEX('Points For'!$B$1:$R$14,MATCH($B$16,'Points For'!$B$1:$B$14,0),MATCH(W$1,'Points For'!$B$1:$R$1,0))</f>
        <v>65.5</v>
      </c>
      <c r="Z10" s="4" t="str">
        <f t="shared" ca="1" si="4"/>
        <v>L</v>
      </c>
      <c r="AA10" s="4" t="str">
        <f ca="1">VLOOKUP(INDEX(INDIRECT("'"&amp;AA$1&amp;"'!"&amp;"$A:$C"),MATCH('Schedule Optimizer'!$A10,INDIRECT("'"&amp;AA$1&amp;"'!"&amp;"A:A"),0),MATCH('Schedule Optimizer'!AA$2,INDIRECT("'"&amp;AA$1&amp;"'!"&amp;"$A$1:$C$1"))),$A$3:$B$14,2,FALSE)</f>
        <v>Nicole</v>
      </c>
      <c r="AB10" s="4">
        <f ca="1">INDEX('Points For'!$B$1:$R$14,MATCH(AA10,'Points For'!$B$1:$B$14,0),MATCH(AA$1,'Points For'!$B$1:$R$1,0))</f>
        <v>79.7</v>
      </c>
      <c r="AC10" s="4">
        <f ca="1">INDEX('Points For'!$B$1:$R$14,MATCH($B$16,'Points For'!$B$1:$B$14,0),MATCH(AA$1,'Points For'!$B$1:$R$1,0))</f>
        <v>85.8</v>
      </c>
      <c r="AD10" s="4" t="str">
        <f t="shared" ca="1" si="5"/>
        <v>W</v>
      </c>
      <c r="AE10" s="4" t="str">
        <f ca="1">VLOOKUP(INDEX(INDIRECT("'"&amp;AE$1&amp;"'!"&amp;"$A:$C"),MATCH('Schedule Optimizer'!$A10,INDIRECT("'"&amp;AE$1&amp;"'!"&amp;"A:A"),0),MATCH('Schedule Optimizer'!AE$2,INDIRECT("'"&amp;AE$1&amp;"'!"&amp;"$A$1:$C$1"))),$A$3:$B$14,2,FALSE)</f>
        <v>Sara</v>
      </c>
      <c r="AF10" s="4">
        <f ca="1">INDEX('Points For'!$B$1:$R$14,MATCH(AE10,'Points For'!$B$1:$B$14,0),MATCH(AE$1,'Points For'!$B$1:$R$1,0))</f>
        <v>89.1</v>
      </c>
      <c r="AG10" s="4">
        <f ca="1">INDEX('Points For'!$B$1:$R$14,MATCH($B$16,'Points For'!$B$1:$B$14,0),MATCH(AE$1,'Points For'!$B$1:$R$1,0))</f>
        <v>91.3</v>
      </c>
      <c r="AH10" s="4" t="str">
        <f t="shared" ca="1" si="6"/>
        <v>W</v>
      </c>
      <c r="AI10" s="4" t="str">
        <f ca="1">VLOOKUP(INDEX(INDIRECT("'"&amp;AI$1&amp;"'!"&amp;"$A:$C"),MATCH('Schedule Optimizer'!$A10,INDIRECT("'"&amp;AI$1&amp;"'!"&amp;"A:A"),0),MATCH('Schedule Optimizer'!AI$2,INDIRECT("'"&amp;AI$1&amp;"'!"&amp;"$A$1:$C$1"))),$A$3:$B$14,2,FALSE)</f>
        <v>Binder</v>
      </c>
      <c r="AJ10" s="4">
        <f ca="1">INDEX('Points For'!$B$1:$R$14,MATCH(AI10,'Points For'!$B$1:$B$14,0),MATCH(AI$1,'Points For'!$B$1:$R$1,0))</f>
        <v>84.2</v>
      </c>
      <c r="AK10" s="4">
        <f ca="1">INDEX('Points For'!$B$1:$R$14,MATCH($B$16,'Points For'!$B$1:$B$14,0),MATCH(AI$1,'Points For'!$B$1:$R$1,0))</f>
        <v>82.8</v>
      </c>
      <c r="AL10" s="4" t="str">
        <f t="shared" ca="1" si="7"/>
        <v>L</v>
      </c>
      <c r="AM10" s="4" t="str">
        <f ca="1">VLOOKUP(INDEX(INDIRECT("'"&amp;AM$1&amp;"'!"&amp;"$A:$C"),MATCH('Schedule Optimizer'!$A10,INDIRECT("'"&amp;AM$1&amp;"'!"&amp;"A:A"),0),MATCH('Schedule Optimizer'!AM$2,INDIRECT("'"&amp;AM$1&amp;"'!"&amp;"$A$1:$C$1"))),$A$3:$B$14,2,FALSE)</f>
        <v>Dave</v>
      </c>
      <c r="AN10" s="4">
        <f ca="1">INDEX('Points For'!$B$1:$R$14,MATCH(AM10,'Points For'!$B$1:$B$14,0),MATCH(AM$1,'Points For'!$B$1:$R$1,0))</f>
        <v>99.8</v>
      </c>
      <c r="AO10" s="4">
        <f ca="1">INDEX('Points For'!$B$1:$R$14,MATCH($B$16,'Points For'!$B$1:$B$14,0),MATCH(AM$1,'Points For'!$B$1:$R$1,0))</f>
        <v>102.8</v>
      </c>
      <c r="AP10" s="4" t="str">
        <f t="shared" ca="1" si="8"/>
        <v>W</v>
      </c>
      <c r="AQ10" s="4" t="str">
        <f ca="1">VLOOKUP(INDEX(INDIRECT("'"&amp;AQ$1&amp;"'!"&amp;"$A:$C"),MATCH('Schedule Optimizer'!$A10,INDIRECT("'"&amp;AQ$1&amp;"'!"&amp;"A:A"),0),MATCH('Schedule Optimizer'!AQ$2,INDIRECT("'"&amp;AQ$1&amp;"'!"&amp;"$A$1:$C$1"))),$A$3:$B$14,2,FALSE)</f>
        <v>Sam</v>
      </c>
      <c r="AR10" s="4">
        <f ca="1">INDEX('Points For'!$B$1:$R$14,MATCH(AQ10,'Points For'!$B$1:$B$14,0),MATCH(AQ$1,'Points For'!$B$1:$R$1,0))</f>
        <v>123.4</v>
      </c>
      <c r="AS10" s="4">
        <f ca="1">INDEX('Points For'!$B$1:$R$14,MATCH($B$16,'Points For'!$B$1:$B$14,0),MATCH(AQ$1,'Points For'!$B$1:$R$1,0))</f>
        <v>65.599999999999994</v>
      </c>
      <c r="AT10" s="4" t="str">
        <f t="shared" ca="1" si="9"/>
        <v>L</v>
      </c>
      <c r="AU10" s="4" t="str">
        <f ca="1">VLOOKUP(INDEX(INDIRECT("'"&amp;AU$1&amp;"'!"&amp;"$A:$C"),MATCH('Schedule Optimizer'!$A10,INDIRECT("'"&amp;AU$1&amp;"'!"&amp;"A:A"),0),MATCH('Schedule Optimizer'!AU$2,INDIRECT("'"&amp;AU$1&amp;"'!"&amp;"$A$1:$C$1"))),$A$3:$B$14,2,FALSE)</f>
        <v>Catina</v>
      </c>
      <c r="AV10" s="4">
        <f ca="1">INDEX('Points For'!$B$1:$R$14,MATCH(AU10,'Points For'!$B$1:$B$14,0),MATCH(AU$1,'Points For'!$B$1:$R$1,0))</f>
        <v>100.6</v>
      </c>
      <c r="AW10" s="4">
        <f ca="1">INDEX('Points For'!$B$1:$R$14,MATCH($B$16,'Points For'!$B$1:$B$14,0),MATCH(AU$1,'Points For'!$B$1:$R$1,0))</f>
        <v>100.6</v>
      </c>
      <c r="AX10" s="4" t="str">
        <f t="shared" ca="1" si="10"/>
        <v>N/A</v>
      </c>
      <c r="AY10" s="4" t="str">
        <f ca="1">VLOOKUP(INDEX(INDIRECT("'"&amp;AY$1&amp;"'!"&amp;"$A:$C"),MATCH('Schedule Optimizer'!$A10,INDIRECT("'"&amp;AY$1&amp;"'!"&amp;"A:A"),0),MATCH('Schedule Optimizer'!AY$2,INDIRECT("'"&amp;AY$1&amp;"'!"&amp;"$A$1:$C$1"))),$A$3:$B$14,2,FALSE)</f>
        <v>Steve</v>
      </c>
      <c r="AZ10" s="4">
        <f ca="1">INDEX('Points For'!$B$1:$R$14,MATCH(AY10,'Points For'!$B$1:$B$14,0),MATCH(AY$1,'Points For'!$B$1:$R$1,0))</f>
        <v>75.8</v>
      </c>
      <c r="BA10" s="4">
        <f ca="1">INDEX('Points For'!$B$1:$R$14,MATCH($B$16,'Points For'!$B$1:$B$14,0),MATCH(AY$1,'Points For'!$B$1:$R$1,0))</f>
        <v>121.6</v>
      </c>
      <c r="BB10" s="4" t="str">
        <f t="shared" ca="1" si="11"/>
        <v>W</v>
      </c>
      <c r="BC10" s="4" t="str">
        <f ca="1">VLOOKUP(INDEX(INDIRECT("'"&amp;BC$1&amp;"'!"&amp;"$A:$C"),MATCH('Schedule Optimizer'!$A10,INDIRECT("'"&amp;BC$1&amp;"'!"&amp;"A:A"),0),MATCH('Schedule Optimizer'!BC$2,INDIRECT("'"&amp;BC$1&amp;"'!"&amp;"$A$1:$C$1"))),$A$3:$B$14,2,FALSE)</f>
        <v>Tres</v>
      </c>
      <c r="BD10" s="4">
        <f ca="1">INDEX('Points For'!$B$1:$R$14,MATCH(BC10,'Points For'!$B$1:$B$14,0),MATCH(BC$1,'Points For'!$B$1:$R$1,0))</f>
        <v>72.7</v>
      </c>
      <c r="BE10" s="4">
        <f ca="1">INDEX('Points For'!$B$1:$R$14,MATCH($B$16,'Points For'!$B$1:$B$14,0),MATCH(BC$1,'Points For'!$B$1:$R$1,0))</f>
        <v>79.400000000000006</v>
      </c>
      <c r="BF10" s="4" t="str">
        <f t="shared" ca="1" si="12"/>
        <v>W</v>
      </c>
      <c r="BG10" s="4" t="str">
        <f ca="1">VLOOKUP(INDEX(INDIRECT("'"&amp;BG$1&amp;"'!"&amp;"$A:$C"),MATCH('Schedule Optimizer'!$A10,INDIRECT("'"&amp;BG$1&amp;"'!"&amp;"A:A"),0),MATCH('Schedule Optimizer'!BG$2,INDIRECT("'"&amp;BG$1&amp;"'!"&amp;"$A$1:$C$1"))),$A$3:$B$14,2,FALSE)</f>
        <v>Dave</v>
      </c>
      <c r="BH10" s="4">
        <f ca="1">INDEX('Points For'!$B$1:$R$14,MATCH(BG10,'Points For'!$B$1:$B$14,0),MATCH(BG$1,'Points For'!$B$1:$R$1,0))</f>
        <v>92.6</v>
      </c>
      <c r="BI10" s="4">
        <f ca="1">INDEX('Points For'!$B$1:$R$14,MATCH($B$16,'Points For'!$B$1:$B$14,0),MATCH(BG$1,'Points For'!$B$1:$R$1,0))</f>
        <v>102.6</v>
      </c>
      <c r="BJ10" s="4" t="str">
        <f t="shared" ca="1" si="13"/>
        <v>W</v>
      </c>
      <c r="BK10" s="4" t="str">
        <f ca="1">VLOOKUP(INDEX(INDIRECT("'"&amp;BK$1&amp;"'!"&amp;"$A:$C"),MATCH('Schedule Optimizer'!$A10,INDIRECT("'"&amp;BK$1&amp;"'!"&amp;"A:A"),0),MATCH('Schedule Optimizer'!BK$2,INDIRECT("'"&amp;BK$1&amp;"'!"&amp;"$A$1:$C$1"))),$A$3:$B$14,2,FALSE)</f>
        <v>Ed</v>
      </c>
      <c r="BL10" s="4">
        <f ca="1">INDEX('Points For'!$B$1:$R$14,MATCH(BK10,'Points For'!$B$1:$B$14,0),MATCH(BK$1,'Points For'!$B$1:$R$1,0))</f>
        <v>152.80000000000001</v>
      </c>
      <c r="BM10" s="4">
        <f ca="1">INDEX('Points For'!$B$1:$R$14,MATCH($B$16,'Points For'!$B$1:$B$14,0),MATCH(BK$1,'Points For'!$B$1:$R$1,0))</f>
        <v>138.30000000000001</v>
      </c>
      <c r="BN10" s="4" t="str">
        <f t="shared" ca="1" si="14"/>
        <v>L</v>
      </c>
      <c r="BO10" s="4" t="str">
        <f ca="1">VLOOKUP(INDEX(INDIRECT("'"&amp;BO$1&amp;"'!"&amp;"$A:$C"),MATCH('Schedule Optimizer'!$A10,INDIRECT("'"&amp;BO$1&amp;"'!"&amp;"A:A"),0),MATCH('Schedule Optimizer'!BO$2,INDIRECT("'"&amp;BO$1&amp;"'!"&amp;"$A$1:$C$1"))),$A$3:$B$14,2,FALSE)</f>
        <v>Nicole</v>
      </c>
      <c r="BP10" s="4">
        <f ca="1">INDEX('Points For'!$B$1:$R$14,MATCH(BO10,'Points For'!$B$1:$B$14,0),MATCH(BO$1,'Points For'!$B$1:$R$1,0))</f>
        <v>98.5</v>
      </c>
      <c r="BQ10" s="4">
        <f ca="1">INDEX('Points For'!$B$1:$R$14,MATCH($B$16,'Points For'!$B$1:$B$14,0),MATCH(BO$1,'Points For'!$B$1:$R$1,0))</f>
        <v>163.1</v>
      </c>
      <c r="BR10" s="4" t="str">
        <f t="shared" ca="1" si="15"/>
        <v>W</v>
      </c>
    </row>
    <row r="11" spans="1:70" ht="16.25" thickTop="1" thickBot="1" x14ac:dyDescent="0.9">
      <c r="A11" s="4" t="s">
        <v>21</v>
      </c>
      <c r="B11" s="4" t="s">
        <v>170</v>
      </c>
      <c r="C11" s="9">
        <f t="shared" ca="1" si="16"/>
        <v>2</v>
      </c>
      <c r="D11" s="9">
        <f t="shared" ca="1" si="17"/>
        <v>9</v>
      </c>
      <c r="E11" s="9">
        <f t="shared" ca="1" si="18"/>
        <v>2</v>
      </c>
      <c r="F11" s="9">
        <f t="shared" ca="1" si="19"/>
        <v>1</v>
      </c>
      <c r="G11" s="4" t="str">
        <f ca="1">VLOOKUP(INDEX(INDIRECT("'"&amp;G$1&amp;"'!"&amp;"$A:$C"),MATCH('Schedule Optimizer'!$A11,INDIRECT("'"&amp;G$1&amp;"'!"&amp;"A:A"),0),MATCH('Schedule Optimizer'!G$2,INDIRECT("'"&amp;G$1&amp;"'!"&amp;"$A$1:$C$1"))),$A$3:$B$14,2,FALSE)</f>
        <v>Nicole</v>
      </c>
      <c r="H11" s="4">
        <f ca="1">INDEX('Points For'!$B$1:$R$14,MATCH(G11,'Points For'!$B$1:$B$14,0),MATCH(G$1,'Points For'!$B$1:$R$1,0))</f>
        <v>93.6</v>
      </c>
      <c r="I11" s="4">
        <f ca="1">INDEX('Points For'!$B$1:$R$14,MATCH($B$16,'Points For'!$B$1:$B$14,0),MATCH(G$1,'Points For'!$B$1:$R$1,0))</f>
        <v>81</v>
      </c>
      <c r="J11" s="4" t="str">
        <f t="shared" ca="1" si="0"/>
        <v>L</v>
      </c>
      <c r="K11" s="4" t="str">
        <f ca="1">VLOOKUP(INDEX(INDIRECT("'"&amp;K$1&amp;"'!"&amp;"$A:$C"),MATCH('Schedule Optimizer'!$A11,INDIRECT("'"&amp;K$1&amp;"'!"&amp;"A:A"),0),MATCH('Schedule Optimizer'!K$2,INDIRECT("'"&amp;K$1&amp;"'!"&amp;"$A$1:$C$1"))),$A$3:$B$14,2,FALSE)</f>
        <v>Jake</v>
      </c>
      <c r="L11" s="4">
        <f ca="1">INDEX('Points For'!$B$1:$R$14,MATCH(K11,'Points For'!$B$1:$B$14,0),MATCH(K$1,'Points For'!$B$1:$R$1,0))</f>
        <v>96</v>
      </c>
      <c r="M11" s="4">
        <f ca="1">INDEX('Points For'!$B$1:$R$14,MATCH($B$16,'Points For'!$B$1:$B$14,0),MATCH(K$1,'Points For'!$B$1:$R$1,0))</f>
        <v>91.1</v>
      </c>
      <c r="N11" s="4" t="str">
        <f t="shared" ca="1" si="1"/>
        <v>L</v>
      </c>
      <c r="O11" s="4" t="str">
        <f ca="1">VLOOKUP(INDEX(INDIRECT("'"&amp;O$1&amp;"'!"&amp;"$A:$C"),MATCH('Schedule Optimizer'!$A11,INDIRECT("'"&amp;O$1&amp;"'!"&amp;"A:A"),0),MATCH('Schedule Optimizer'!O$2,INDIRECT("'"&amp;O$1&amp;"'!"&amp;"$A$1:$C$1"))),$A$3:$B$14,2,FALSE)</f>
        <v>Jesse</v>
      </c>
      <c r="P11" s="4">
        <f ca="1">INDEX('Points For'!$B$1:$R$14,MATCH(O11,'Points For'!$B$1:$B$14,0),MATCH(O$1,'Points For'!$B$1:$R$1,0))</f>
        <v>137.9</v>
      </c>
      <c r="Q11" s="4">
        <f ca="1">INDEX('Points For'!$B$1:$R$14,MATCH($B$16,'Points For'!$B$1:$B$14,0),MATCH(O$1,'Points For'!$B$1:$R$1,0))</f>
        <v>95.9</v>
      </c>
      <c r="R11" s="4" t="str">
        <f t="shared" ca="1" si="2"/>
        <v>L</v>
      </c>
      <c r="S11" s="4" t="str">
        <f ca="1">VLOOKUP(INDEX(INDIRECT("'"&amp;S$1&amp;"'!"&amp;"$A:$C"),MATCH('Schedule Optimizer'!$A11,INDIRECT("'"&amp;S$1&amp;"'!"&amp;"A:A"),0),MATCH('Schedule Optimizer'!S$2,INDIRECT("'"&amp;S$1&amp;"'!"&amp;"$A$1:$C$1"))),$A$3:$B$14,2,FALSE)</f>
        <v>Catina</v>
      </c>
      <c r="T11" s="4">
        <f ca="1">INDEX('Points For'!$B$1:$R$14,MATCH(S11,'Points For'!$B$1:$B$14,0),MATCH(S$1,'Points For'!$B$1:$R$1,0))</f>
        <v>86</v>
      </c>
      <c r="U11" s="4">
        <f ca="1">INDEX('Points For'!$B$1:$R$14,MATCH($B$16,'Points For'!$B$1:$B$14,0),MATCH(S$1,'Points For'!$B$1:$R$1,0))</f>
        <v>86</v>
      </c>
      <c r="V11" s="4" t="str">
        <f t="shared" ca="1" si="3"/>
        <v>N/A</v>
      </c>
      <c r="W11" s="4" t="str">
        <f ca="1">VLOOKUP(INDEX(INDIRECT("'"&amp;W$1&amp;"'!"&amp;"$A:$C"),MATCH('Schedule Optimizer'!$A11,INDIRECT("'"&amp;W$1&amp;"'!"&amp;"A:A"),0),MATCH('Schedule Optimizer'!W$2,INDIRECT("'"&amp;W$1&amp;"'!"&amp;"$A$1:$C$1"))),$A$3:$B$14,2,FALSE)</f>
        <v>Dave</v>
      </c>
      <c r="X11" s="4">
        <f ca="1">INDEX('Points For'!$B$1:$R$14,MATCH(W11,'Points For'!$B$1:$B$14,0),MATCH(W$1,'Points For'!$B$1:$R$1,0))</f>
        <v>70.900000000000006</v>
      </c>
      <c r="Y11" s="4">
        <f ca="1">INDEX('Points For'!$B$1:$R$14,MATCH($B$16,'Points For'!$B$1:$B$14,0),MATCH(W$1,'Points For'!$B$1:$R$1,0))</f>
        <v>65.5</v>
      </c>
      <c r="Z11" s="4" t="str">
        <f t="shared" ca="1" si="4"/>
        <v>L</v>
      </c>
      <c r="AA11" s="4" t="str">
        <f ca="1">VLOOKUP(INDEX(INDIRECT("'"&amp;AA$1&amp;"'!"&amp;"$A:$C"),MATCH('Schedule Optimizer'!$A11,INDIRECT("'"&amp;AA$1&amp;"'!"&amp;"A:A"),0),MATCH('Schedule Optimizer'!AA$2,INDIRECT("'"&amp;AA$1&amp;"'!"&amp;"$A$1:$C$1"))),$A$3:$B$14,2,FALSE)</f>
        <v>Binder</v>
      </c>
      <c r="AB11" s="4">
        <f ca="1">INDEX('Points For'!$B$1:$R$14,MATCH(AA11,'Points For'!$B$1:$B$14,0),MATCH(AA$1,'Points For'!$B$1:$R$1,0))</f>
        <v>112.6</v>
      </c>
      <c r="AC11" s="4">
        <f ca="1">INDEX('Points For'!$B$1:$R$14,MATCH($B$16,'Points For'!$B$1:$B$14,0),MATCH(AA$1,'Points For'!$B$1:$R$1,0))</f>
        <v>85.8</v>
      </c>
      <c r="AD11" s="4" t="str">
        <f t="shared" ca="1" si="5"/>
        <v>L</v>
      </c>
      <c r="AE11" s="4" t="str">
        <f ca="1">VLOOKUP(INDEX(INDIRECT("'"&amp;AE$1&amp;"'!"&amp;"$A:$C"),MATCH('Schedule Optimizer'!$A11,INDIRECT("'"&amp;AE$1&amp;"'!"&amp;"A:A"),0),MATCH('Schedule Optimizer'!AE$2,INDIRECT("'"&amp;AE$1&amp;"'!"&amp;"$A$1:$C$1"))),$A$3:$B$14,2,FALSE)</f>
        <v>Tres</v>
      </c>
      <c r="AF11" s="4">
        <f ca="1">INDEX('Points For'!$B$1:$R$14,MATCH(AE11,'Points For'!$B$1:$B$14,0),MATCH(AE$1,'Points For'!$B$1:$R$1,0))</f>
        <v>108.9</v>
      </c>
      <c r="AG11" s="4">
        <f ca="1">INDEX('Points For'!$B$1:$R$14,MATCH($B$16,'Points For'!$B$1:$B$14,0),MATCH(AE$1,'Points For'!$B$1:$R$1,0))</f>
        <v>91.3</v>
      </c>
      <c r="AH11" s="4" t="str">
        <f t="shared" ca="1" si="6"/>
        <v>L</v>
      </c>
      <c r="AI11" s="4" t="str">
        <f ca="1">VLOOKUP(INDEX(INDIRECT("'"&amp;AI$1&amp;"'!"&amp;"$A:$C"),MATCH('Schedule Optimizer'!$A11,INDIRECT("'"&amp;AI$1&amp;"'!"&amp;"A:A"),0),MATCH('Schedule Optimizer'!AI$2,INDIRECT("'"&amp;AI$1&amp;"'!"&amp;"$A$1:$C$1"))),$A$3:$B$14,2,FALSE)</f>
        <v>Sam</v>
      </c>
      <c r="AJ11" s="4">
        <f ca="1">INDEX('Points For'!$B$1:$R$14,MATCH(AI11,'Points For'!$B$1:$B$14,0),MATCH(AI$1,'Points For'!$B$1:$R$1,0))</f>
        <v>89.3</v>
      </c>
      <c r="AK11" s="4">
        <f ca="1">INDEX('Points For'!$B$1:$R$14,MATCH($B$16,'Points For'!$B$1:$B$14,0),MATCH(AI$1,'Points For'!$B$1:$R$1,0))</f>
        <v>82.8</v>
      </c>
      <c r="AL11" s="4" t="str">
        <f t="shared" ca="1" si="7"/>
        <v>L</v>
      </c>
      <c r="AM11" s="4" t="str">
        <f ca="1">VLOOKUP(INDEX(INDIRECT("'"&amp;AM$1&amp;"'!"&amp;"$A:$C"),MATCH('Schedule Optimizer'!$A11,INDIRECT("'"&amp;AM$1&amp;"'!"&amp;"A:A"),0),MATCH('Schedule Optimizer'!AM$2,INDIRECT("'"&amp;AM$1&amp;"'!"&amp;"$A$1:$C$1"))),$A$3:$B$14,2,FALSE)</f>
        <v>Cody</v>
      </c>
      <c r="AN11" s="4">
        <f ca="1">INDEX('Points For'!$B$1:$R$14,MATCH(AM11,'Points For'!$B$1:$B$14,0),MATCH(AM$1,'Points For'!$B$1:$R$1,0))</f>
        <v>84.7</v>
      </c>
      <c r="AO11" s="4">
        <f ca="1">INDEX('Points For'!$B$1:$R$14,MATCH($B$16,'Points For'!$B$1:$B$14,0),MATCH(AM$1,'Points For'!$B$1:$R$1,0))</f>
        <v>102.8</v>
      </c>
      <c r="AP11" s="4" t="str">
        <f t="shared" ca="1" si="8"/>
        <v>W</v>
      </c>
      <c r="AQ11" s="4" t="str">
        <f ca="1">VLOOKUP(INDEX(INDIRECT("'"&amp;AQ$1&amp;"'!"&amp;"$A:$C"),MATCH('Schedule Optimizer'!$A11,INDIRECT("'"&amp;AQ$1&amp;"'!"&amp;"A:A"),0),MATCH('Schedule Optimizer'!AQ$2,INDIRECT("'"&amp;AQ$1&amp;"'!"&amp;"$A$1:$C$1"))),$A$3:$B$14,2,FALSE)</f>
        <v>Ed</v>
      </c>
      <c r="AR11" s="4">
        <f ca="1">INDEX('Points For'!$B$1:$R$14,MATCH(AQ11,'Points For'!$B$1:$B$14,0),MATCH(AQ$1,'Points For'!$B$1:$R$1,0))</f>
        <v>79.8</v>
      </c>
      <c r="AS11" s="4">
        <f ca="1">INDEX('Points For'!$B$1:$R$14,MATCH($B$16,'Points For'!$B$1:$B$14,0),MATCH(AQ$1,'Points For'!$B$1:$R$1,0))</f>
        <v>65.599999999999994</v>
      </c>
      <c r="AT11" s="4" t="str">
        <f t="shared" ca="1" si="9"/>
        <v>L</v>
      </c>
      <c r="AU11" s="4" t="str">
        <f ca="1">VLOOKUP(INDEX(INDIRECT("'"&amp;AU$1&amp;"'!"&amp;"$A:$C"),MATCH('Schedule Optimizer'!$A11,INDIRECT("'"&amp;AU$1&amp;"'!"&amp;"A:A"),0),MATCH('Schedule Optimizer'!AU$2,INDIRECT("'"&amp;AU$1&amp;"'!"&amp;"$A$1:$C$1"))),$A$3:$B$14,2,FALSE)</f>
        <v>Sara</v>
      </c>
      <c r="AV11" s="4">
        <f ca="1">INDEX('Points For'!$B$1:$R$14,MATCH(AU11,'Points For'!$B$1:$B$14,0),MATCH(AU$1,'Points For'!$B$1:$R$1,0))</f>
        <v>105.2</v>
      </c>
      <c r="AW11" s="4">
        <f ca="1">INDEX('Points For'!$B$1:$R$14,MATCH($B$16,'Points For'!$B$1:$B$14,0),MATCH(AU$1,'Points For'!$B$1:$R$1,0))</f>
        <v>100.6</v>
      </c>
      <c r="AX11" s="4" t="str">
        <f t="shared" ca="1" si="10"/>
        <v>L</v>
      </c>
      <c r="AY11" s="4" t="str">
        <f ca="1">VLOOKUP(INDEX(INDIRECT("'"&amp;AY$1&amp;"'!"&amp;"$A:$C"),MATCH('Schedule Optimizer'!$A11,INDIRECT("'"&amp;AY$1&amp;"'!"&amp;"A:A"),0),MATCH('Schedule Optimizer'!AY$2,INDIRECT("'"&amp;AY$1&amp;"'!"&amp;"$A$1:$C$1"))),$A$3:$B$14,2,FALSE)</f>
        <v>Jesse</v>
      </c>
      <c r="AZ11" s="4">
        <f ca="1">INDEX('Points For'!$B$1:$R$14,MATCH(AY11,'Points For'!$B$1:$B$14,0),MATCH(AY$1,'Points For'!$B$1:$R$1,0))</f>
        <v>96.6</v>
      </c>
      <c r="BA11" s="4">
        <f ca="1">INDEX('Points For'!$B$1:$R$14,MATCH($B$16,'Points For'!$B$1:$B$14,0),MATCH(AY$1,'Points For'!$B$1:$R$1,0))</f>
        <v>121.6</v>
      </c>
      <c r="BB11" s="4" t="str">
        <f t="shared" ca="1" si="11"/>
        <v>W</v>
      </c>
      <c r="BC11" s="4" t="str">
        <f ca="1">VLOOKUP(INDEX(INDIRECT("'"&amp;BC$1&amp;"'!"&amp;"$A:$C"),MATCH('Schedule Optimizer'!$A11,INDIRECT("'"&amp;BC$1&amp;"'!"&amp;"A:A"),0),MATCH('Schedule Optimizer'!BC$2,INDIRECT("'"&amp;BC$1&amp;"'!"&amp;"$A$1:$C$1"))),$A$3:$B$14,2,FALSE)</f>
        <v>Catina</v>
      </c>
      <c r="BD11" s="4">
        <f ca="1">INDEX('Points For'!$B$1:$R$14,MATCH(BC11,'Points For'!$B$1:$B$14,0),MATCH(BC$1,'Points For'!$B$1:$R$1,0))</f>
        <v>79.400000000000006</v>
      </c>
      <c r="BE11" s="4">
        <f ca="1">INDEX('Points For'!$B$1:$R$14,MATCH($B$16,'Points For'!$B$1:$B$14,0),MATCH(BC$1,'Points For'!$B$1:$R$1,0))</f>
        <v>79.400000000000006</v>
      </c>
      <c r="BF11" s="4" t="str">
        <f t="shared" ca="1" si="12"/>
        <v>N/A</v>
      </c>
      <c r="BG11" s="4" t="str">
        <f ca="1">VLOOKUP(INDEX(INDIRECT("'"&amp;BG$1&amp;"'!"&amp;"$A:$C"),MATCH('Schedule Optimizer'!$A11,INDIRECT("'"&amp;BG$1&amp;"'!"&amp;"A:A"),0),MATCH('Schedule Optimizer'!BG$2,INDIRECT("'"&amp;BG$1&amp;"'!"&amp;"$A$1:$C$1"))),$A$3:$B$14,2,FALSE)</f>
        <v>Tres</v>
      </c>
      <c r="BH11" s="4">
        <f ca="1">INDEX('Points For'!$B$1:$R$14,MATCH(BG11,'Points For'!$B$1:$B$14,0),MATCH(BG$1,'Points For'!$B$1:$R$1,0))</f>
        <v>118.8</v>
      </c>
      <c r="BI11" s="4">
        <f ca="1">INDEX('Points For'!$B$1:$R$14,MATCH($B$16,'Points For'!$B$1:$B$14,0),MATCH(BG$1,'Points For'!$B$1:$R$1,0))</f>
        <v>102.6</v>
      </c>
      <c r="BJ11" s="4" t="str">
        <f t="shared" ca="1" si="13"/>
        <v>L</v>
      </c>
      <c r="BK11" s="4" t="str">
        <f ca="1">VLOOKUP(INDEX(INDIRECT("'"&amp;BK$1&amp;"'!"&amp;"$A:$C"),MATCH('Schedule Optimizer'!$A11,INDIRECT("'"&amp;BK$1&amp;"'!"&amp;"A:A"),0),MATCH('Schedule Optimizer'!BK$2,INDIRECT("'"&amp;BK$1&amp;"'!"&amp;"$A$1:$C$1"))),$A$3:$B$14,2,FALSE)</f>
        <v>Binder</v>
      </c>
      <c r="BL11" s="4">
        <f ca="1">INDEX('Points For'!$B$1:$R$14,MATCH(BK11,'Points For'!$B$1:$B$14,0),MATCH(BK$1,'Points For'!$B$1:$R$1,0))</f>
        <v>73.900000000000006</v>
      </c>
      <c r="BM11" s="4">
        <f ca="1">INDEX('Points For'!$B$1:$R$14,MATCH($B$16,'Points For'!$B$1:$B$14,0),MATCH(BK$1,'Points For'!$B$1:$R$1,0))</f>
        <v>138.30000000000001</v>
      </c>
      <c r="BN11" s="4" t="str">
        <f t="shared" ca="1" si="14"/>
        <v>W</v>
      </c>
      <c r="BO11" s="4" t="str">
        <f ca="1">VLOOKUP(INDEX(INDIRECT("'"&amp;BO$1&amp;"'!"&amp;"$A:$C"),MATCH('Schedule Optimizer'!$A11,INDIRECT("'"&amp;BO$1&amp;"'!"&amp;"A:A"),0),MATCH('Schedule Optimizer'!BO$2,INDIRECT("'"&amp;BO$1&amp;"'!"&amp;"$A$1:$C$1"))),$A$3:$B$14,2,FALSE)</f>
        <v>Sara</v>
      </c>
      <c r="BP11" s="4">
        <f ca="1">INDEX('Points For'!$B$1:$R$14,MATCH(BO11,'Points For'!$B$1:$B$14,0),MATCH(BO$1,'Points For'!$B$1:$R$1,0))</f>
        <v>107.3</v>
      </c>
      <c r="BQ11" s="4">
        <f ca="1">INDEX('Points For'!$B$1:$R$14,MATCH($B$16,'Points For'!$B$1:$B$14,0),MATCH(BO$1,'Points For'!$B$1:$R$1,0))</f>
        <v>163.1</v>
      </c>
      <c r="BR11" s="4" t="str">
        <f t="shared" ca="1" si="15"/>
        <v>W</v>
      </c>
    </row>
    <row r="12" spans="1:70" ht="16.25" thickTop="1" thickBot="1" x14ac:dyDescent="0.9">
      <c r="A12" s="4" t="s">
        <v>23</v>
      </c>
      <c r="B12" s="4" t="s">
        <v>171</v>
      </c>
      <c r="C12" s="9">
        <f t="shared" ca="1" si="16"/>
        <v>5</v>
      </c>
      <c r="D12" s="9">
        <f t="shared" ca="1" si="17"/>
        <v>7</v>
      </c>
      <c r="E12" s="9">
        <f t="shared" ca="1" si="18"/>
        <v>2</v>
      </c>
      <c r="F12" s="9">
        <f t="shared" ca="1" si="19"/>
        <v>0</v>
      </c>
      <c r="G12" s="4" t="str">
        <f ca="1">VLOOKUP(INDEX(INDIRECT("'"&amp;G$1&amp;"'!"&amp;"$A:$C"),MATCH('Schedule Optimizer'!$A12,INDIRECT("'"&amp;G$1&amp;"'!"&amp;"A:A"),0),MATCH('Schedule Optimizer'!G$2,INDIRECT("'"&amp;G$1&amp;"'!"&amp;"$A$1:$C$1"))),$A$3:$B$14,2,FALSE)</f>
        <v>Steve</v>
      </c>
      <c r="H12" s="4">
        <f ca="1">INDEX('Points For'!$B$1:$R$14,MATCH(G12,'Points For'!$B$1:$B$14,0),MATCH(G$1,'Points For'!$B$1:$R$1,0))</f>
        <v>90.8</v>
      </c>
      <c r="I12" s="4">
        <f ca="1">INDEX('Points For'!$B$1:$R$14,MATCH($B$16,'Points For'!$B$1:$B$14,0),MATCH(G$1,'Points For'!$B$1:$R$1,0))</f>
        <v>81</v>
      </c>
      <c r="J12" s="4" t="str">
        <f t="shared" ca="1" si="0"/>
        <v>L</v>
      </c>
      <c r="K12" s="4" t="str">
        <f ca="1">VLOOKUP(INDEX(INDIRECT("'"&amp;K$1&amp;"'!"&amp;"$A:$C"),MATCH('Schedule Optimizer'!$A12,INDIRECT("'"&amp;K$1&amp;"'!"&amp;"A:A"),0),MATCH('Schedule Optimizer'!K$2,INDIRECT("'"&amp;K$1&amp;"'!"&amp;"$A$1:$C$1"))),$A$3:$B$14,2,FALSE)</f>
        <v>Binder</v>
      </c>
      <c r="L12" s="4">
        <f ca="1">INDEX('Points For'!$B$1:$R$14,MATCH(K12,'Points For'!$B$1:$B$14,0),MATCH(K$1,'Points For'!$B$1:$R$1,0))</f>
        <v>112</v>
      </c>
      <c r="M12" s="4">
        <f ca="1">INDEX('Points For'!$B$1:$R$14,MATCH($B$16,'Points For'!$B$1:$B$14,0),MATCH(K$1,'Points For'!$B$1:$R$1,0))</f>
        <v>91.1</v>
      </c>
      <c r="N12" s="4" t="str">
        <f t="shared" ca="1" si="1"/>
        <v>L</v>
      </c>
      <c r="O12" s="4" t="str">
        <f ca="1">VLOOKUP(INDEX(INDIRECT("'"&amp;O$1&amp;"'!"&amp;"$A:$C"),MATCH('Schedule Optimizer'!$A12,INDIRECT("'"&amp;O$1&amp;"'!"&amp;"A:A"),0),MATCH('Schedule Optimizer'!O$2,INDIRECT("'"&amp;O$1&amp;"'!"&amp;"$A$1:$C$1"))),$A$3:$B$14,2,FALSE)</f>
        <v>Sara</v>
      </c>
      <c r="P12" s="4">
        <f ca="1">INDEX('Points For'!$B$1:$R$14,MATCH(O12,'Points For'!$B$1:$B$14,0),MATCH(O$1,'Points For'!$B$1:$R$1,0))</f>
        <v>71.599999999999994</v>
      </c>
      <c r="Q12" s="4">
        <f ca="1">INDEX('Points For'!$B$1:$R$14,MATCH($B$16,'Points For'!$B$1:$B$14,0),MATCH(O$1,'Points For'!$B$1:$R$1,0))</f>
        <v>95.9</v>
      </c>
      <c r="R12" s="4" t="str">
        <f t="shared" ca="1" si="2"/>
        <v>W</v>
      </c>
      <c r="S12" s="4" t="str">
        <f ca="1">VLOOKUP(INDEX(INDIRECT("'"&amp;S$1&amp;"'!"&amp;"$A:$C"),MATCH('Schedule Optimizer'!$A12,INDIRECT("'"&amp;S$1&amp;"'!"&amp;"A:A"),0),MATCH('Schedule Optimizer'!S$2,INDIRECT("'"&amp;S$1&amp;"'!"&amp;"$A$1:$C$1"))),$A$3:$B$14,2,FALSE)</f>
        <v>Jake</v>
      </c>
      <c r="T12" s="4">
        <f ca="1">INDEX('Points For'!$B$1:$R$14,MATCH(S12,'Points For'!$B$1:$B$14,0),MATCH(S$1,'Points For'!$B$1:$R$1,0))</f>
        <v>59.9</v>
      </c>
      <c r="U12" s="4">
        <f ca="1">INDEX('Points For'!$B$1:$R$14,MATCH($B$16,'Points For'!$B$1:$B$14,0),MATCH(S$1,'Points For'!$B$1:$R$1,0))</f>
        <v>86</v>
      </c>
      <c r="V12" s="4" t="str">
        <f t="shared" ca="1" si="3"/>
        <v>W</v>
      </c>
      <c r="W12" s="4" t="str">
        <f ca="1">VLOOKUP(INDEX(INDIRECT("'"&amp;W$1&amp;"'!"&amp;"$A:$C"),MATCH('Schedule Optimizer'!$A12,INDIRECT("'"&amp;W$1&amp;"'!"&amp;"A:A"),0),MATCH('Schedule Optimizer'!W$2,INDIRECT("'"&amp;W$1&amp;"'!"&amp;"$A$1:$C$1"))),$A$3:$B$14,2,FALSE)</f>
        <v>Catina</v>
      </c>
      <c r="X12" s="4">
        <f ca="1">INDEX('Points For'!$B$1:$R$14,MATCH(W12,'Points For'!$B$1:$B$14,0),MATCH(W$1,'Points For'!$B$1:$R$1,0))</f>
        <v>65.5</v>
      </c>
      <c r="Y12" s="4">
        <f ca="1">INDEX('Points For'!$B$1:$R$14,MATCH($B$16,'Points For'!$B$1:$B$14,0),MATCH(W$1,'Points For'!$B$1:$R$1,0))</f>
        <v>65.5</v>
      </c>
      <c r="Z12" s="4" t="str">
        <f t="shared" ca="1" si="4"/>
        <v>N/A</v>
      </c>
      <c r="AA12" s="4" t="str">
        <f ca="1">VLOOKUP(INDEX(INDIRECT("'"&amp;AA$1&amp;"'!"&amp;"$A:$C"),MATCH('Schedule Optimizer'!$A12,INDIRECT("'"&amp;AA$1&amp;"'!"&amp;"A:A"),0),MATCH('Schedule Optimizer'!AA$2,INDIRECT("'"&amp;AA$1&amp;"'!"&amp;"$A$1:$C$1"))),$A$3:$B$14,2,FALSE)</f>
        <v>Jesse</v>
      </c>
      <c r="AB12" s="4">
        <f ca="1">INDEX('Points For'!$B$1:$R$14,MATCH(AA12,'Points For'!$B$1:$B$14,0),MATCH(AA$1,'Points For'!$B$1:$R$1,0))</f>
        <v>101.6</v>
      </c>
      <c r="AC12" s="4">
        <f ca="1">INDEX('Points For'!$B$1:$R$14,MATCH($B$16,'Points For'!$B$1:$B$14,0),MATCH(AA$1,'Points For'!$B$1:$R$1,0))</f>
        <v>85.8</v>
      </c>
      <c r="AD12" s="4" t="str">
        <f t="shared" ca="1" si="5"/>
        <v>L</v>
      </c>
      <c r="AE12" s="4" t="str">
        <f ca="1">VLOOKUP(INDEX(INDIRECT("'"&amp;AE$1&amp;"'!"&amp;"$A:$C"),MATCH('Schedule Optimizer'!$A12,INDIRECT("'"&amp;AE$1&amp;"'!"&amp;"A:A"),0),MATCH('Schedule Optimizer'!AE$2,INDIRECT("'"&amp;AE$1&amp;"'!"&amp;"$A$1:$C$1"))),$A$3:$B$14,2,FALSE)</f>
        <v>Cody</v>
      </c>
      <c r="AF12" s="4">
        <f ca="1">INDEX('Points For'!$B$1:$R$14,MATCH(AE12,'Points For'!$B$1:$B$14,0),MATCH(AE$1,'Points For'!$B$1:$R$1,0))</f>
        <v>141.1</v>
      </c>
      <c r="AG12" s="4">
        <f ca="1">INDEX('Points For'!$B$1:$R$14,MATCH($B$16,'Points For'!$B$1:$B$14,0),MATCH(AE$1,'Points For'!$B$1:$R$1,0))</f>
        <v>91.3</v>
      </c>
      <c r="AH12" s="4" t="str">
        <f t="shared" ca="1" si="6"/>
        <v>L</v>
      </c>
      <c r="AI12" s="4" t="str">
        <f ca="1">VLOOKUP(INDEX(INDIRECT("'"&amp;AI$1&amp;"'!"&amp;"$A:$C"),MATCH('Schedule Optimizer'!$A12,INDIRECT("'"&amp;AI$1&amp;"'!"&amp;"A:A"),0),MATCH('Schedule Optimizer'!AI$2,INDIRECT("'"&amp;AI$1&amp;"'!"&amp;"$A$1:$C$1"))),$A$3:$B$14,2,FALSE)</f>
        <v>Tres</v>
      </c>
      <c r="AJ12" s="4">
        <f ca="1">INDEX('Points For'!$B$1:$R$14,MATCH(AI12,'Points For'!$B$1:$B$14,0),MATCH(AI$1,'Points For'!$B$1:$R$1,0))</f>
        <v>59.7</v>
      </c>
      <c r="AK12" s="4">
        <f ca="1">INDEX('Points For'!$B$1:$R$14,MATCH($B$16,'Points For'!$B$1:$B$14,0),MATCH(AI$1,'Points For'!$B$1:$R$1,0))</f>
        <v>82.8</v>
      </c>
      <c r="AL12" s="4" t="str">
        <f t="shared" ca="1" si="7"/>
        <v>W</v>
      </c>
      <c r="AM12" s="4" t="str">
        <f ca="1">VLOOKUP(INDEX(INDIRECT("'"&amp;AM$1&amp;"'!"&amp;"$A:$C"),MATCH('Schedule Optimizer'!$A12,INDIRECT("'"&amp;AM$1&amp;"'!"&amp;"A:A"),0),MATCH('Schedule Optimizer'!AM$2,INDIRECT("'"&amp;AM$1&amp;"'!"&amp;"$A$1:$C$1"))),$A$3:$B$14,2,FALSE)</f>
        <v>Sam</v>
      </c>
      <c r="AN12" s="4">
        <f ca="1">INDEX('Points For'!$B$1:$R$14,MATCH(AM12,'Points For'!$B$1:$B$14,0),MATCH(AM$1,'Points For'!$B$1:$R$1,0))</f>
        <v>85.5</v>
      </c>
      <c r="AO12" s="4">
        <f ca="1">INDEX('Points For'!$B$1:$R$14,MATCH($B$16,'Points For'!$B$1:$B$14,0),MATCH(AM$1,'Points For'!$B$1:$R$1,0))</f>
        <v>102.8</v>
      </c>
      <c r="AP12" s="4" t="str">
        <f t="shared" ca="1" si="8"/>
        <v>W</v>
      </c>
      <c r="AQ12" s="4" t="str">
        <f ca="1">VLOOKUP(INDEX(INDIRECT("'"&amp;AQ$1&amp;"'!"&amp;"$A:$C"),MATCH('Schedule Optimizer'!$A12,INDIRECT("'"&amp;AQ$1&amp;"'!"&amp;"A:A"),0),MATCH('Schedule Optimizer'!AQ$2,INDIRECT("'"&amp;AQ$1&amp;"'!"&amp;"$A$1:$C$1"))),$A$3:$B$14,2,FALSE)</f>
        <v>Dave</v>
      </c>
      <c r="AR12" s="4">
        <f ca="1">INDEX('Points For'!$B$1:$R$14,MATCH(AQ12,'Points For'!$B$1:$B$14,0),MATCH(AQ$1,'Points For'!$B$1:$R$1,0))</f>
        <v>83.6</v>
      </c>
      <c r="AS12" s="4">
        <f ca="1">INDEX('Points For'!$B$1:$R$14,MATCH($B$16,'Points For'!$B$1:$B$14,0),MATCH(AQ$1,'Points For'!$B$1:$R$1,0))</f>
        <v>65.599999999999994</v>
      </c>
      <c r="AT12" s="4" t="str">
        <f t="shared" ca="1" si="9"/>
        <v>L</v>
      </c>
      <c r="AU12" s="4" t="str">
        <f ca="1">VLOOKUP(INDEX(INDIRECT("'"&amp;AU$1&amp;"'!"&amp;"$A:$C"),MATCH('Schedule Optimizer'!$A12,INDIRECT("'"&amp;AU$1&amp;"'!"&amp;"A:A"),0),MATCH('Schedule Optimizer'!AU$2,INDIRECT("'"&amp;AU$1&amp;"'!"&amp;"$A$1:$C$1"))),$A$3:$B$14,2,FALSE)</f>
        <v>Ed</v>
      </c>
      <c r="AV12" s="4">
        <f ca="1">INDEX('Points For'!$B$1:$R$14,MATCH(AU12,'Points For'!$B$1:$B$14,0),MATCH(AU$1,'Points For'!$B$1:$R$1,0))</f>
        <v>119.8</v>
      </c>
      <c r="AW12" s="4">
        <f ca="1">INDEX('Points For'!$B$1:$R$14,MATCH($B$16,'Points For'!$B$1:$B$14,0),MATCH(AU$1,'Points For'!$B$1:$R$1,0))</f>
        <v>100.6</v>
      </c>
      <c r="AX12" s="4" t="str">
        <f t="shared" ca="1" si="10"/>
        <v>L</v>
      </c>
      <c r="AY12" s="4" t="str">
        <f ca="1">VLOOKUP(INDEX(INDIRECT("'"&amp;AY$1&amp;"'!"&amp;"$A:$C"),MATCH('Schedule Optimizer'!$A12,INDIRECT("'"&amp;AY$1&amp;"'!"&amp;"A:A"),0),MATCH('Schedule Optimizer'!AY$2,INDIRECT("'"&amp;AY$1&amp;"'!"&amp;"$A$1:$C$1"))),$A$3:$B$14,2,FALSE)</f>
        <v>Sara</v>
      </c>
      <c r="AZ12" s="4">
        <f ca="1">INDEX('Points For'!$B$1:$R$14,MATCH(AY12,'Points For'!$B$1:$B$14,0),MATCH(AY$1,'Points For'!$B$1:$R$1,0))</f>
        <v>64.400000000000006</v>
      </c>
      <c r="BA12" s="4">
        <f ca="1">INDEX('Points For'!$B$1:$R$14,MATCH($B$16,'Points For'!$B$1:$B$14,0),MATCH(AY$1,'Points For'!$B$1:$R$1,0))</f>
        <v>121.6</v>
      </c>
      <c r="BB12" s="4" t="str">
        <f t="shared" ca="1" si="11"/>
        <v>W</v>
      </c>
      <c r="BC12" s="4" t="str">
        <f ca="1">VLOOKUP(INDEX(INDIRECT("'"&amp;BC$1&amp;"'!"&amp;"$A:$C"),MATCH('Schedule Optimizer'!$A12,INDIRECT("'"&amp;BC$1&amp;"'!"&amp;"A:A"),0),MATCH('Schedule Optimizer'!BC$2,INDIRECT("'"&amp;BC$1&amp;"'!"&amp;"$A$1:$C$1"))),$A$3:$B$14,2,FALSE)</f>
        <v>Jake</v>
      </c>
      <c r="BD12" s="4">
        <f ca="1">INDEX('Points For'!$B$1:$R$14,MATCH(BC12,'Points For'!$B$1:$B$14,0),MATCH(BC$1,'Points For'!$B$1:$R$1,0))</f>
        <v>96.4</v>
      </c>
      <c r="BE12" s="4">
        <f ca="1">INDEX('Points For'!$B$1:$R$14,MATCH($B$16,'Points For'!$B$1:$B$14,0),MATCH(BC$1,'Points For'!$B$1:$R$1,0))</f>
        <v>79.400000000000006</v>
      </c>
      <c r="BF12" s="4" t="str">
        <f t="shared" ca="1" si="12"/>
        <v>L</v>
      </c>
      <c r="BG12" s="4" t="e">
        <f ca="1">VLOOKUP(INDEX(INDIRECT("'"&amp;BG$1&amp;"'!"&amp;"$A:$C"),MATCH('Schedule Optimizer'!$A12,INDIRECT("'"&amp;BG$1&amp;"'!"&amp;"A:A"),0),MATCH('Schedule Optimizer'!BG$2,INDIRECT("'"&amp;BG$1&amp;"'!"&amp;"$A$1:$C$1"))),$A$3:$B$14,2,FALSE)</f>
        <v>#N/A</v>
      </c>
      <c r="BH12" s="4" t="e">
        <f ca="1">INDEX('Points For'!$B$1:$R$14,MATCH(BG12,'Points For'!$B$1:$B$14,0),MATCH(BG$1,'Points For'!$B$1:$R$1,0))</f>
        <v>#N/A</v>
      </c>
      <c r="BI12" s="4">
        <f ca="1">INDEX('Points For'!$B$1:$R$14,MATCH($B$16,'Points For'!$B$1:$B$14,0),MATCH(BG$1,'Points For'!$B$1:$R$1,0))</f>
        <v>102.6</v>
      </c>
      <c r="BJ12" s="4" t="e">
        <f t="shared" ca="1" si="13"/>
        <v>#N/A</v>
      </c>
      <c r="BK12" s="4" t="str">
        <f ca="1">VLOOKUP(INDEX(INDIRECT("'"&amp;BK$1&amp;"'!"&amp;"$A:$C"),MATCH('Schedule Optimizer'!$A12,INDIRECT("'"&amp;BK$1&amp;"'!"&amp;"A:A"),0),MATCH('Schedule Optimizer'!BK$2,INDIRECT("'"&amp;BK$1&amp;"'!"&amp;"$A$1:$C$1"))),$A$3:$B$14,2,FALSE)</f>
        <v>Jake</v>
      </c>
      <c r="BL12" s="4">
        <f ca="1">INDEX('Points For'!$B$1:$R$14,MATCH(BK12,'Points For'!$B$1:$B$14,0),MATCH(BK$1,'Points For'!$B$1:$R$1,0))</f>
        <v>94</v>
      </c>
      <c r="BM12" s="4">
        <f ca="1">INDEX('Points For'!$B$1:$R$14,MATCH($B$16,'Points For'!$B$1:$B$14,0),MATCH(BK$1,'Points For'!$B$1:$R$1,0))</f>
        <v>138.30000000000001</v>
      </c>
      <c r="BN12" s="4" t="str">
        <f t="shared" ca="1" si="14"/>
        <v>W</v>
      </c>
      <c r="BO12" s="4" t="str">
        <f ca="1">VLOOKUP(INDEX(INDIRECT("'"&amp;BO$1&amp;"'!"&amp;"$A:$C"),MATCH('Schedule Optimizer'!$A12,INDIRECT("'"&amp;BO$1&amp;"'!"&amp;"A:A"),0),MATCH('Schedule Optimizer'!BO$2,INDIRECT("'"&amp;BO$1&amp;"'!"&amp;"$A$1:$C$1"))),$A$3:$B$14,2,FALSE)</f>
        <v>Jesse</v>
      </c>
      <c r="BP12" s="4">
        <f ca="1">INDEX('Points For'!$B$1:$R$14,MATCH(BO12,'Points For'!$B$1:$B$14,0),MATCH(BO$1,'Points For'!$B$1:$R$1,0))</f>
        <v>86.9</v>
      </c>
      <c r="BQ12" s="4">
        <f ca="1">INDEX('Points For'!$B$1:$R$14,MATCH($B$16,'Points For'!$B$1:$B$14,0),MATCH(BO$1,'Points For'!$B$1:$R$1,0))</f>
        <v>163.1</v>
      </c>
      <c r="BR12" s="4" t="str">
        <f t="shared" ca="1" si="15"/>
        <v>W</v>
      </c>
    </row>
    <row r="13" spans="1:70" ht="16.25" thickTop="1" thickBot="1" x14ac:dyDescent="0.9">
      <c r="A13" s="4" t="s">
        <v>26</v>
      </c>
      <c r="B13" s="4" t="s">
        <v>172</v>
      </c>
      <c r="C13" s="9">
        <f t="shared" ca="1" si="16"/>
        <v>5</v>
      </c>
      <c r="D13" s="9">
        <f t="shared" ca="1" si="17"/>
        <v>7</v>
      </c>
      <c r="E13" s="9">
        <f t="shared" ca="1" si="18"/>
        <v>2</v>
      </c>
      <c r="F13" s="9">
        <f t="shared" ca="1" si="19"/>
        <v>0</v>
      </c>
      <c r="G13" s="4" t="str">
        <f ca="1">VLOOKUP(INDEX(INDIRECT("'"&amp;G$1&amp;"'!"&amp;"$A:$C"),MATCH('Schedule Optimizer'!$A13,INDIRECT("'"&amp;G$1&amp;"'!"&amp;"A:A"),0),MATCH('Schedule Optimizer'!G$2,INDIRECT("'"&amp;G$1&amp;"'!"&amp;"$A$1:$C$1"))),$A$3:$B$14,2,FALSE)</f>
        <v>Binder</v>
      </c>
      <c r="H13" s="4">
        <f ca="1">INDEX('Points For'!$B$1:$R$14,MATCH(G13,'Points For'!$B$1:$B$14,0),MATCH(G$1,'Points For'!$B$1:$R$1,0))</f>
        <v>83.3</v>
      </c>
      <c r="I13" s="4">
        <f ca="1">INDEX('Points For'!$B$1:$R$14,MATCH($B$16,'Points For'!$B$1:$B$14,0),MATCH(G$1,'Points For'!$B$1:$R$1,0))</f>
        <v>81</v>
      </c>
      <c r="J13" s="4" t="str">
        <f t="shared" ca="1" si="0"/>
        <v>L</v>
      </c>
      <c r="K13" s="4" t="str">
        <f ca="1">VLOOKUP(INDEX(INDIRECT("'"&amp;K$1&amp;"'!"&amp;"$A:$C"),MATCH('Schedule Optimizer'!$A13,INDIRECT("'"&amp;K$1&amp;"'!"&amp;"A:A"),0),MATCH('Schedule Optimizer'!K$2,INDIRECT("'"&amp;K$1&amp;"'!"&amp;"$A$1:$C$1"))),$A$3:$B$14,2,FALSE)</f>
        <v>Jesse</v>
      </c>
      <c r="L13" s="4">
        <f ca="1">INDEX('Points For'!$B$1:$R$14,MATCH(K13,'Points For'!$B$1:$B$14,0),MATCH(K$1,'Points For'!$B$1:$R$1,0))</f>
        <v>92.2</v>
      </c>
      <c r="M13" s="4">
        <f ca="1">INDEX('Points For'!$B$1:$R$14,MATCH($B$16,'Points For'!$B$1:$B$14,0),MATCH(K$1,'Points For'!$B$1:$R$1,0))</f>
        <v>91.1</v>
      </c>
      <c r="N13" s="4" t="str">
        <f t="shared" ca="1" si="1"/>
        <v>L</v>
      </c>
      <c r="O13" s="4" t="str">
        <f ca="1">VLOOKUP(INDEX(INDIRECT("'"&amp;O$1&amp;"'!"&amp;"$A:$C"),MATCH('Schedule Optimizer'!$A13,INDIRECT("'"&amp;O$1&amp;"'!"&amp;"A:A"),0),MATCH('Schedule Optimizer'!O$2,INDIRECT("'"&amp;O$1&amp;"'!"&amp;"$A$1:$C$1"))),$A$3:$B$14,2,FALSE)</f>
        <v>Dave</v>
      </c>
      <c r="P13" s="4">
        <f ca="1">INDEX('Points For'!$B$1:$R$14,MATCH(O13,'Points For'!$B$1:$B$14,0),MATCH(O$1,'Points For'!$B$1:$R$1,0))</f>
        <v>129.80000000000001</v>
      </c>
      <c r="Q13" s="4">
        <f ca="1">INDEX('Points For'!$B$1:$R$14,MATCH($B$16,'Points For'!$B$1:$B$14,0),MATCH(O$1,'Points For'!$B$1:$R$1,0))</f>
        <v>95.9</v>
      </c>
      <c r="R13" s="4" t="str">
        <f t="shared" ca="1" si="2"/>
        <v>L</v>
      </c>
      <c r="S13" s="4" t="str">
        <f ca="1">VLOOKUP(INDEX(INDIRECT("'"&amp;S$1&amp;"'!"&amp;"$A:$C"),MATCH('Schedule Optimizer'!$A13,INDIRECT("'"&amp;S$1&amp;"'!"&amp;"A:A"),0),MATCH('Schedule Optimizer'!S$2,INDIRECT("'"&amp;S$1&amp;"'!"&amp;"$A$1:$C$1"))),$A$3:$B$14,2,FALSE)</f>
        <v>Cody</v>
      </c>
      <c r="T13" s="4">
        <f ca="1">INDEX('Points For'!$B$1:$R$14,MATCH(S13,'Points For'!$B$1:$B$14,0),MATCH(S$1,'Points For'!$B$1:$R$1,0))</f>
        <v>127</v>
      </c>
      <c r="U13" s="4">
        <f ca="1">INDEX('Points For'!$B$1:$R$14,MATCH($B$16,'Points For'!$B$1:$B$14,0),MATCH(S$1,'Points For'!$B$1:$R$1,0))</f>
        <v>86</v>
      </c>
      <c r="V13" s="4" t="str">
        <f t="shared" ca="1" si="3"/>
        <v>L</v>
      </c>
      <c r="W13" s="4" t="str">
        <f ca="1">VLOOKUP(INDEX(INDIRECT("'"&amp;W$1&amp;"'!"&amp;"$A:$C"),MATCH('Schedule Optimizer'!$A13,INDIRECT("'"&amp;W$1&amp;"'!"&amp;"A:A"),0),MATCH('Schedule Optimizer'!W$2,INDIRECT("'"&amp;W$1&amp;"'!"&amp;"$A$1:$C$1"))),$A$3:$B$14,2,FALSE)</f>
        <v>Sam</v>
      </c>
      <c r="X13" s="4">
        <f ca="1">INDEX('Points For'!$B$1:$R$14,MATCH(W13,'Points For'!$B$1:$B$14,0),MATCH(W$1,'Points For'!$B$1:$R$1,0))</f>
        <v>63.7</v>
      </c>
      <c r="Y13" s="4">
        <f ca="1">INDEX('Points For'!$B$1:$R$14,MATCH($B$16,'Points For'!$B$1:$B$14,0),MATCH(W$1,'Points For'!$B$1:$R$1,0))</f>
        <v>65.5</v>
      </c>
      <c r="Z13" s="4" t="str">
        <f t="shared" ca="1" si="4"/>
        <v>W</v>
      </c>
      <c r="AA13" s="4" t="str">
        <f ca="1">VLOOKUP(INDEX(INDIRECT("'"&amp;AA$1&amp;"'!"&amp;"$A:$C"),MATCH('Schedule Optimizer'!$A13,INDIRECT("'"&amp;AA$1&amp;"'!"&amp;"A:A"),0),MATCH('Schedule Optimizer'!AA$2,INDIRECT("'"&amp;AA$1&amp;"'!"&amp;"$A$1:$C$1"))),$A$3:$B$14,2,FALSE)</f>
        <v>Tres</v>
      </c>
      <c r="AB13" s="4">
        <f ca="1">INDEX('Points For'!$B$1:$R$14,MATCH(AA13,'Points For'!$B$1:$B$14,0),MATCH(AA$1,'Points For'!$B$1:$R$1,0))</f>
        <v>57</v>
      </c>
      <c r="AC13" s="4">
        <f ca="1">INDEX('Points For'!$B$1:$R$14,MATCH($B$16,'Points For'!$B$1:$B$14,0),MATCH(AA$1,'Points For'!$B$1:$R$1,0))</f>
        <v>85.8</v>
      </c>
      <c r="AD13" s="4" t="str">
        <f t="shared" ca="1" si="5"/>
        <v>W</v>
      </c>
      <c r="AE13" s="4" t="str">
        <f ca="1">VLOOKUP(INDEX(INDIRECT("'"&amp;AE$1&amp;"'!"&amp;"$A:$C"),MATCH('Schedule Optimizer'!$A13,INDIRECT("'"&amp;AE$1&amp;"'!"&amp;"A:A"),0),MATCH('Schedule Optimizer'!AE$2,INDIRECT("'"&amp;AE$1&amp;"'!"&amp;"$A$1:$C$1"))),$A$3:$B$14,2,FALSE)</f>
        <v>Jake</v>
      </c>
      <c r="AF13" s="4">
        <f ca="1">INDEX('Points For'!$B$1:$R$14,MATCH(AE13,'Points For'!$B$1:$B$14,0),MATCH(AE$1,'Points For'!$B$1:$R$1,0))</f>
        <v>88.5</v>
      </c>
      <c r="AG13" s="4">
        <f ca="1">INDEX('Points For'!$B$1:$R$14,MATCH($B$16,'Points For'!$B$1:$B$14,0),MATCH(AE$1,'Points For'!$B$1:$R$1,0))</f>
        <v>91.3</v>
      </c>
      <c r="AH13" s="4" t="str">
        <f t="shared" ca="1" si="6"/>
        <v>W</v>
      </c>
      <c r="AI13" s="4" t="str">
        <f ca="1">VLOOKUP(INDEX(INDIRECT("'"&amp;AI$1&amp;"'!"&amp;"$A:$C"),MATCH('Schedule Optimizer'!$A13,INDIRECT("'"&amp;AI$1&amp;"'!"&amp;"A:A"),0),MATCH('Schedule Optimizer'!AI$2,INDIRECT("'"&amp;AI$1&amp;"'!"&amp;"$A$1:$C$1"))),$A$3:$B$14,2,FALSE)</f>
        <v>Sara</v>
      </c>
      <c r="AJ13" s="4">
        <f ca="1">INDEX('Points For'!$B$1:$R$14,MATCH(AI13,'Points For'!$B$1:$B$14,0),MATCH(AI$1,'Points For'!$B$1:$R$1,0))</f>
        <v>111.4</v>
      </c>
      <c r="AK13" s="4">
        <f ca="1">INDEX('Points For'!$B$1:$R$14,MATCH($B$16,'Points For'!$B$1:$B$14,0),MATCH(AI$1,'Points For'!$B$1:$R$1,0))</f>
        <v>82.8</v>
      </c>
      <c r="AL13" s="4" t="str">
        <f t="shared" ca="1" si="7"/>
        <v>L</v>
      </c>
      <c r="AM13" s="4" t="str">
        <f ca="1">VLOOKUP(INDEX(INDIRECT("'"&amp;AM$1&amp;"'!"&amp;"$A:$C"),MATCH('Schedule Optimizer'!$A13,INDIRECT("'"&amp;AM$1&amp;"'!"&amp;"A:A"),0),MATCH('Schedule Optimizer'!AM$2,INDIRECT("'"&amp;AM$1&amp;"'!"&amp;"$A$1:$C$1"))),$A$3:$B$14,2,FALSE)</f>
        <v>Catina</v>
      </c>
      <c r="AN13" s="4">
        <f ca="1">INDEX('Points For'!$B$1:$R$14,MATCH(AM13,'Points For'!$B$1:$B$14,0),MATCH(AM$1,'Points For'!$B$1:$R$1,0))</f>
        <v>102.8</v>
      </c>
      <c r="AO13" s="4">
        <f ca="1">INDEX('Points For'!$B$1:$R$14,MATCH($B$16,'Points For'!$B$1:$B$14,0),MATCH(AM$1,'Points For'!$B$1:$R$1,0))</f>
        <v>102.8</v>
      </c>
      <c r="AP13" s="4" t="str">
        <f t="shared" ca="1" si="8"/>
        <v>N/A</v>
      </c>
      <c r="AQ13" s="4" t="str">
        <f ca="1">VLOOKUP(INDEX(INDIRECT("'"&amp;AQ$1&amp;"'!"&amp;"$A:$C"),MATCH('Schedule Optimizer'!$A13,INDIRECT("'"&amp;AQ$1&amp;"'!"&amp;"A:A"),0),MATCH('Schedule Optimizer'!AQ$2,INDIRECT("'"&amp;AQ$1&amp;"'!"&amp;"$A$1:$C$1"))),$A$3:$B$14,2,FALSE)</f>
        <v>Steve</v>
      </c>
      <c r="AR13" s="4">
        <f ca="1">INDEX('Points For'!$B$1:$R$14,MATCH(AQ13,'Points For'!$B$1:$B$14,0),MATCH(AQ$1,'Points For'!$B$1:$R$1,0))</f>
        <v>74.900000000000006</v>
      </c>
      <c r="AS13" s="4">
        <f ca="1">INDEX('Points For'!$B$1:$R$14,MATCH($B$16,'Points For'!$B$1:$B$14,0),MATCH(AQ$1,'Points For'!$B$1:$R$1,0))</f>
        <v>65.599999999999994</v>
      </c>
      <c r="AT13" s="4" t="str">
        <f t="shared" ca="1" si="9"/>
        <v>L</v>
      </c>
      <c r="AU13" s="4" t="str">
        <f ca="1">VLOOKUP(INDEX(INDIRECT("'"&amp;AU$1&amp;"'!"&amp;"$A:$C"),MATCH('Schedule Optimizer'!$A13,INDIRECT("'"&amp;AU$1&amp;"'!"&amp;"A:A"),0),MATCH('Schedule Optimizer'!AU$2,INDIRECT("'"&amp;AU$1&amp;"'!"&amp;"$A$1:$C$1"))),$A$3:$B$14,2,FALSE)</f>
        <v>Nicole</v>
      </c>
      <c r="AV13" s="4">
        <f ca="1">INDEX('Points For'!$B$1:$R$14,MATCH(AU13,'Points For'!$B$1:$B$14,0),MATCH(AU$1,'Points For'!$B$1:$R$1,0))</f>
        <v>103.8</v>
      </c>
      <c r="AW13" s="4">
        <f ca="1">INDEX('Points For'!$B$1:$R$14,MATCH($B$16,'Points For'!$B$1:$B$14,0),MATCH(AU$1,'Points For'!$B$1:$R$1,0))</f>
        <v>100.6</v>
      </c>
      <c r="AX13" s="4" t="str">
        <f t="shared" ca="1" si="10"/>
        <v>L</v>
      </c>
      <c r="AY13" s="4" t="str">
        <f ca="1">VLOOKUP(INDEX(INDIRECT("'"&amp;AY$1&amp;"'!"&amp;"$A:$C"),MATCH('Schedule Optimizer'!$A13,INDIRECT("'"&amp;AY$1&amp;"'!"&amp;"A:A"),0),MATCH('Schedule Optimizer'!AY$2,INDIRECT("'"&amp;AY$1&amp;"'!"&amp;"$A$1:$C$1"))),$A$3:$B$14,2,FALSE)</f>
        <v>Dave</v>
      </c>
      <c r="AZ13" s="4">
        <f ca="1">INDEX('Points For'!$B$1:$R$14,MATCH(AY13,'Points For'!$B$1:$B$14,0),MATCH(AY$1,'Points For'!$B$1:$R$1,0))</f>
        <v>89</v>
      </c>
      <c r="BA13" s="4">
        <f ca="1">INDEX('Points For'!$B$1:$R$14,MATCH($B$16,'Points For'!$B$1:$B$14,0),MATCH(AY$1,'Points For'!$B$1:$R$1,0))</f>
        <v>121.6</v>
      </c>
      <c r="BB13" s="4" t="str">
        <f t="shared" ca="1" si="11"/>
        <v>W</v>
      </c>
      <c r="BC13" s="4" t="str">
        <f ca="1">VLOOKUP(INDEX(INDIRECT("'"&amp;BC$1&amp;"'!"&amp;"$A:$C"),MATCH('Schedule Optimizer'!$A13,INDIRECT("'"&amp;BC$1&amp;"'!"&amp;"A:A"),0),MATCH('Schedule Optimizer'!BC$2,INDIRECT("'"&amp;BC$1&amp;"'!"&amp;"$A$1:$C$1"))),$A$3:$B$14,2,FALSE)</f>
        <v>Cody</v>
      </c>
      <c r="BD13" s="4">
        <f ca="1">INDEX('Points For'!$B$1:$R$14,MATCH(BC13,'Points For'!$B$1:$B$14,0),MATCH(BC$1,'Points For'!$B$1:$R$1,0))</f>
        <v>77.2</v>
      </c>
      <c r="BE13" s="4">
        <f ca="1">INDEX('Points For'!$B$1:$R$14,MATCH($B$16,'Points For'!$B$1:$B$14,0),MATCH(BC$1,'Points For'!$B$1:$R$1,0))</f>
        <v>79.400000000000006</v>
      </c>
      <c r="BF13" s="4" t="str">
        <f t="shared" ca="1" si="12"/>
        <v>W</v>
      </c>
      <c r="BG13" s="4" t="e">
        <f ca="1">VLOOKUP(INDEX(INDIRECT("'"&amp;BG$1&amp;"'!"&amp;"$A:$C"),MATCH('Schedule Optimizer'!$A13,INDIRECT("'"&amp;BG$1&amp;"'!"&amp;"A:A"),0),MATCH('Schedule Optimizer'!BG$2,INDIRECT("'"&amp;BG$1&amp;"'!"&amp;"$A$1:$C$1"))),$A$3:$B$14,2,FALSE)</f>
        <v>#N/A</v>
      </c>
      <c r="BH13" s="4" t="e">
        <f ca="1">INDEX('Points For'!$B$1:$R$14,MATCH(BG13,'Points For'!$B$1:$B$14,0),MATCH(BG$1,'Points For'!$B$1:$R$1,0))</f>
        <v>#N/A</v>
      </c>
      <c r="BI13" s="4">
        <f ca="1">INDEX('Points For'!$B$1:$R$14,MATCH($B$16,'Points For'!$B$1:$B$14,0),MATCH(BG$1,'Points For'!$B$1:$R$1,0))</f>
        <v>102.6</v>
      </c>
      <c r="BJ13" s="4" t="e">
        <f t="shared" ca="1" si="13"/>
        <v>#N/A</v>
      </c>
      <c r="BK13" s="4" t="str">
        <f ca="1">VLOOKUP(INDEX(INDIRECT("'"&amp;BK$1&amp;"'!"&amp;"$A:$C"),MATCH('Schedule Optimizer'!$A13,INDIRECT("'"&amp;BK$1&amp;"'!"&amp;"A:A"),0),MATCH('Schedule Optimizer'!BK$2,INDIRECT("'"&amp;BK$1&amp;"'!"&amp;"$A$1:$C$1"))),$A$3:$B$14,2,FALSE)</f>
        <v>Jesse</v>
      </c>
      <c r="BL13" s="4">
        <f ca="1">INDEX('Points For'!$B$1:$R$14,MATCH(BK13,'Points For'!$B$1:$B$14,0),MATCH(BK$1,'Points For'!$B$1:$R$1,0))</f>
        <v>96.4</v>
      </c>
      <c r="BM13" s="4">
        <f ca="1">INDEX('Points For'!$B$1:$R$14,MATCH($B$16,'Points For'!$B$1:$B$14,0),MATCH(BK$1,'Points For'!$B$1:$R$1,0))</f>
        <v>138.30000000000001</v>
      </c>
      <c r="BN13" s="4" t="str">
        <f t="shared" ca="1" si="14"/>
        <v>W</v>
      </c>
      <c r="BO13" s="4" t="str">
        <f ca="1">VLOOKUP(INDEX(INDIRECT("'"&amp;BO$1&amp;"'!"&amp;"$A:$C"),MATCH('Schedule Optimizer'!$A13,INDIRECT("'"&amp;BO$1&amp;"'!"&amp;"A:A"),0),MATCH('Schedule Optimizer'!BO$2,INDIRECT("'"&amp;BO$1&amp;"'!"&amp;"$A$1:$C$1"))),$A$3:$B$14,2,FALSE)</f>
        <v>Jake</v>
      </c>
      <c r="BP13" s="4">
        <f ca="1">INDEX('Points For'!$B$1:$R$14,MATCH(BO13,'Points For'!$B$1:$B$14,0),MATCH(BO$1,'Points For'!$B$1:$R$1,0))</f>
        <v>62.9</v>
      </c>
      <c r="BQ13" s="4">
        <f ca="1">INDEX('Points For'!$B$1:$R$14,MATCH($B$16,'Points For'!$B$1:$B$14,0),MATCH(BO$1,'Points For'!$B$1:$R$1,0))</f>
        <v>163.1</v>
      </c>
      <c r="BR13" s="4" t="str">
        <f t="shared" ca="1" si="15"/>
        <v>W</v>
      </c>
    </row>
    <row r="14" spans="1:70" ht="16.25" thickTop="1" thickBot="1" x14ac:dyDescent="0.9">
      <c r="A14" s="4" t="s">
        <v>28</v>
      </c>
      <c r="B14" s="4" t="s">
        <v>173</v>
      </c>
      <c r="C14" s="9">
        <f t="shared" ca="1" si="16"/>
        <v>5</v>
      </c>
      <c r="D14" s="9">
        <f t="shared" ca="1" si="17"/>
        <v>7</v>
      </c>
      <c r="E14" s="9">
        <f t="shared" ca="1" si="18"/>
        <v>2</v>
      </c>
      <c r="F14" s="9">
        <f t="shared" ca="1" si="19"/>
        <v>0</v>
      </c>
      <c r="G14" s="4" t="str">
        <f ca="1">VLOOKUP(INDEX(INDIRECT("'"&amp;G$1&amp;"'!"&amp;"$A:$C"),MATCH('Schedule Optimizer'!$A14,INDIRECT("'"&amp;G$1&amp;"'!"&amp;"A:A"),0),MATCH('Schedule Optimizer'!G$2,INDIRECT("'"&amp;G$1&amp;"'!"&amp;"$A$1:$C$1"))),$A$3:$B$14,2,FALSE)</f>
        <v>Ed</v>
      </c>
      <c r="H14" s="4">
        <f ca="1">INDEX('Points For'!$B$1:$R$14,MATCH(G14,'Points For'!$B$1:$B$14,0),MATCH(G$1,'Points For'!$B$1:$R$1,0))</f>
        <v>132.19999999999999</v>
      </c>
      <c r="I14" s="4">
        <f ca="1">INDEX('Points For'!$B$1:$R$14,MATCH($B$16,'Points For'!$B$1:$B$14,0),MATCH(G$1,'Points For'!$B$1:$R$1,0))</f>
        <v>81</v>
      </c>
      <c r="J14" s="4" t="str">
        <f t="shared" ca="1" si="0"/>
        <v>L</v>
      </c>
      <c r="K14" s="4" t="str">
        <f ca="1">VLOOKUP(INDEX(INDIRECT("'"&amp;K$1&amp;"'!"&amp;"$A:$C"),MATCH('Schedule Optimizer'!$A14,INDIRECT("'"&amp;K$1&amp;"'!"&amp;"A:A"),0),MATCH('Schedule Optimizer'!K$2,INDIRECT("'"&amp;K$1&amp;"'!"&amp;"$A$1:$C$1"))),$A$3:$B$14,2,FALSE)</f>
        <v>Nicole</v>
      </c>
      <c r="L14" s="4">
        <f ca="1">INDEX('Points For'!$B$1:$R$14,MATCH(K14,'Points For'!$B$1:$B$14,0),MATCH(K$1,'Points For'!$B$1:$R$1,0))</f>
        <v>79.3</v>
      </c>
      <c r="M14" s="4">
        <f ca="1">INDEX('Points For'!$B$1:$R$14,MATCH($B$16,'Points For'!$B$1:$B$14,0),MATCH(K$1,'Points For'!$B$1:$R$1,0))</f>
        <v>91.1</v>
      </c>
      <c r="N14" s="4" t="str">
        <f t="shared" ca="1" si="1"/>
        <v>W</v>
      </c>
      <c r="O14" s="4" t="str">
        <f ca="1">VLOOKUP(INDEX(INDIRECT("'"&amp;O$1&amp;"'!"&amp;"$A:$C"),MATCH('Schedule Optimizer'!$A14,INDIRECT("'"&amp;O$1&amp;"'!"&amp;"A:A"),0),MATCH('Schedule Optimizer'!O$2,INDIRECT("'"&amp;O$1&amp;"'!"&amp;"$A$1:$C$1"))),$A$3:$B$14,2,FALSE)</f>
        <v>Sam</v>
      </c>
      <c r="P14" s="4">
        <f ca="1">INDEX('Points For'!$B$1:$R$14,MATCH(O14,'Points For'!$B$1:$B$14,0),MATCH(O$1,'Points For'!$B$1:$R$1,0))</f>
        <v>58.6</v>
      </c>
      <c r="Q14" s="4">
        <f ca="1">INDEX('Points For'!$B$1:$R$14,MATCH($B$16,'Points For'!$B$1:$B$14,0),MATCH(O$1,'Points For'!$B$1:$R$1,0))</f>
        <v>95.9</v>
      </c>
      <c r="R14" s="4" t="str">
        <f t="shared" ca="1" si="2"/>
        <v>W</v>
      </c>
      <c r="S14" s="4" t="str">
        <f ca="1">VLOOKUP(INDEX(INDIRECT("'"&amp;S$1&amp;"'!"&amp;"$A:$C"),MATCH('Schedule Optimizer'!$A14,INDIRECT("'"&amp;S$1&amp;"'!"&amp;"A:A"),0),MATCH('Schedule Optimizer'!S$2,INDIRECT("'"&amp;S$1&amp;"'!"&amp;"$A$1:$C$1"))),$A$3:$B$14,2,FALSE)</f>
        <v>Dave</v>
      </c>
      <c r="T14" s="4">
        <f ca="1">INDEX('Points For'!$B$1:$R$14,MATCH(S14,'Points For'!$B$1:$B$14,0),MATCH(S$1,'Points For'!$B$1:$R$1,0))</f>
        <v>97.1</v>
      </c>
      <c r="U14" s="4">
        <f ca="1">INDEX('Points For'!$B$1:$R$14,MATCH($B$16,'Points For'!$B$1:$B$14,0),MATCH(S$1,'Points For'!$B$1:$R$1,0))</f>
        <v>86</v>
      </c>
      <c r="V14" s="4" t="str">
        <f t="shared" ca="1" si="3"/>
        <v>L</v>
      </c>
      <c r="W14" s="4" t="str">
        <f ca="1">VLOOKUP(INDEX(INDIRECT("'"&amp;W$1&amp;"'!"&amp;"$A:$C"),MATCH('Schedule Optimizer'!$A14,INDIRECT("'"&amp;W$1&amp;"'!"&amp;"A:A"),0),MATCH('Schedule Optimizer'!W$2,INDIRECT("'"&amp;W$1&amp;"'!"&amp;"$A$1:$C$1"))),$A$3:$B$14,2,FALSE)</f>
        <v>Sara</v>
      </c>
      <c r="X14" s="4">
        <f ca="1">INDEX('Points For'!$B$1:$R$14,MATCH(W14,'Points For'!$B$1:$B$14,0),MATCH(W$1,'Points For'!$B$1:$R$1,0))</f>
        <v>93.9</v>
      </c>
      <c r="Y14" s="4">
        <f ca="1">INDEX('Points For'!$B$1:$R$14,MATCH($B$16,'Points For'!$B$1:$B$14,0),MATCH(W$1,'Points For'!$B$1:$R$1,0))</f>
        <v>65.5</v>
      </c>
      <c r="Z14" s="4" t="str">
        <f t="shared" ca="1" si="4"/>
        <v>L</v>
      </c>
      <c r="AA14" s="4" t="str">
        <f ca="1">VLOOKUP(INDEX(INDIRECT("'"&amp;AA$1&amp;"'!"&amp;"$A:$C"),MATCH('Schedule Optimizer'!$A14,INDIRECT("'"&amp;AA$1&amp;"'!"&amp;"A:A"),0),MATCH('Schedule Optimizer'!AA$2,INDIRECT("'"&amp;AA$1&amp;"'!"&amp;"$A$1:$C$1"))),$A$3:$B$14,2,FALSE)</f>
        <v>Steve</v>
      </c>
      <c r="AB14" s="4">
        <f ca="1">INDEX('Points For'!$B$1:$R$14,MATCH(AA14,'Points For'!$B$1:$B$14,0),MATCH(AA$1,'Points For'!$B$1:$R$1,0))</f>
        <v>79.099999999999994</v>
      </c>
      <c r="AC14" s="4">
        <f ca="1">INDEX('Points For'!$B$1:$R$14,MATCH($B$16,'Points For'!$B$1:$B$14,0),MATCH(AA$1,'Points For'!$B$1:$R$1,0))</f>
        <v>85.8</v>
      </c>
      <c r="AD14" s="4" t="str">
        <f t="shared" ca="1" si="5"/>
        <v>W</v>
      </c>
      <c r="AE14" s="4" t="str">
        <f ca="1">VLOOKUP(INDEX(INDIRECT("'"&amp;AE$1&amp;"'!"&amp;"$A:$C"),MATCH('Schedule Optimizer'!$A14,INDIRECT("'"&amp;AE$1&amp;"'!"&amp;"A:A"),0),MATCH('Schedule Optimizer'!AE$2,INDIRECT("'"&amp;AE$1&amp;"'!"&amp;"$A$1:$C$1"))),$A$3:$B$14,2,FALSE)</f>
        <v>Catina</v>
      </c>
      <c r="AF14" s="4">
        <f ca="1">INDEX('Points For'!$B$1:$R$14,MATCH(AE14,'Points For'!$B$1:$B$14,0),MATCH(AE$1,'Points For'!$B$1:$R$1,0))</f>
        <v>91.3</v>
      </c>
      <c r="AG14" s="4">
        <f ca="1">INDEX('Points For'!$B$1:$R$14,MATCH($B$16,'Points For'!$B$1:$B$14,0),MATCH(AE$1,'Points For'!$B$1:$R$1,0))</f>
        <v>91.3</v>
      </c>
      <c r="AH14" s="4" t="str">
        <f t="shared" ca="1" si="6"/>
        <v>N/A</v>
      </c>
      <c r="AI14" s="4" t="str">
        <f ca="1">VLOOKUP(INDEX(INDIRECT("'"&amp;AI$1&amp;"'!"&amp;"$A:$C"),MATCH('Schedule Optimizer'!$A14,INDIRECT("'"&amp;AI$1&amp;"'!"&amp;"A:A"),0),MATCH('Schedule Optimizer'!AI$2,INDIRECT("'"&amp;AI$1&amp;"'!"&amp;"$A$1:$C$1"))),$A$3:$B$14,2,FALSE)</f>
        <v>Jesse</v>
      </c>
      <c r="AJ14" s="4">
        <f ca="1">INDEX('Points For'!$B$1:$R$14,MATCH(AI14,'Points For'!$B$1:$B$14,0),MATCH(AI$1,'Points For'!$B$1:$R$1,0))</f>
        <v>101.1</v>
      </c>
      <c r="AK14" s="4">
        <f ca="1">INDEX('Points For'!$B$1:$R$14,MATCH($B$16,'Points For'!$B$1:$B$14,0),MATCH(AI$1,'Points For'!$B$1:$R$1,0))</f>
        <v>82.8</v>
      </c>
      <c r="AL14" s="4" t="str">
        <f t="shared" ca="1" si="7"/>
        <v>L</v>
      </c>
      <c r="AM14" s="4" t="str">
        <f ca="1">VLOOKUP(INDEX(INDIRECT("'"&amp;AM$1&amp;"'!"&amp;"$A:$C"),MATCH('Schedule Optimizer'!$A14,INDIRECT("'"&amp;AM$1&amp;"'!"&amp;"A:A"),0),MATCH('Schedule Optimizer'!AM$2,INDIRECT("'"&amp;AM$1&amp;"'!"&amp;"$A$1:$C$1"))),$A$3:$B$14,2,FALSE)</f>
        <v>Tres</v>
      </c>
      <c r="AN14" s="4">
        <f ca="1">INDEX('Points For'!$B$1:$R$14,MATCH(AM14,'Points For'!$B$1:$B$14,0),MATCH(AM$1,'Points For'!$B$1:$R$1,0))</f>
        <v>108.1</v>
      </c>
      <c r="AO14" s="4">
        <f ca="1">INDEX('Points For'!$B$1:$R$14,MATCH($B$16,'Points For'!$B$1:$B$14,0),MATCH(AM$1,'Points For'!$B$1:$R$1,0))</f>
        <v>102.8</v>
      </c>
      <c r="AP14" s="4" t="str">
        <f t="shared" ca="1" si="8"/>
        <v>L</v>
      </c>
      <c r="AQ14" s="4" t="str">
        <f ca="1">VLOOKUP(INDEX(INDIRECT("'"&amp;AQ$1&amp;"'!"&amp;"$A:$C"),MATCH('Schedule Optimizer'!$A14,INDIRECT("'"&amp;AQ$1&amp;"'!"&amp;"A:A"),0),MATCH('Schedule Optimizer'!AQ$2,INDIRECT("'"&amp;AQ$1&amp;"'!"&amp;"$A$1:$C$1"))),$A$3:$B$14,2,FALSE)</f>
        <v>Cody</v>
      </c>
      <c r="AR14" s="4">
        <f ca="1">INDEX('Points For'!$B$1:$R$14,MATCH(AQ14,'Points For'!$B$1:$B$14,0),MATCH(AQ$1,'Points For'!$B$1:$R$1,0))</f>
        <v>64.3</v>
      </c>
      <c r="AS14" s="4">
        <f ca="1">INDEX('Points For'!$B$1:$R$14,MATCH($B$16,'Points For'!$B$1:$B$14,0),MATCH(AQ$1,'Points For'!$B$1:$R$1,0))</f>
        <v>65.599999999999994</v>
      </c>
      <c r="AT14" s="4" t="str">
        <f t="shared" ca="1" si="9"/>
        <v>W</v>
      </c>
      <c r="AU14" s="4" t="str">
        <f ca="1">VLOOKUP(INDEX(INDIRECT("'"&amp;AU$1&amp;"'!"&amp;"$A:$C"),MATCH('Schedule Optimizer'!$A14,INDIRECT("'"&amp;AU$1&amp;"'!"&amp;"A:A"),0),MATCH('Schedule Optimizer'!AU$2,INDIRECT("'"&amp;AU$1&amp;"'!"&amp;"$A$1:$C$1"))),$A$3:$B$14,2,FALSE)</f>
        <v>Jake</v>
      </c>
      <c r="AV14" s="4">
        <f ca="1">INDEX('Points For'!$B$1:$R$14,MATCH(AU14,'Points For'!$B$1:$B$14,0),MATCH(AU$1,'Points For'!$B$1:$R$1,0))</f>
        <v>130.1</v>
      </c>
      <c r="AW14" s="4">
        <f ca="1">INDEX('Points For'!$B$1:$R$14,MATCH($B$16,'Points For'!$B$1:$B$14,0),MATCH(AU$1,'Points For'!$B$1:$R$1,0))</f>
        <v>100.6</v>
      </c>
      <c r="AX14" s="4" t="str">
        <f t="shared" ca="1" si="10"/>
        <v>L</v>
      </c>
      <c r="AY14" s="4" t="str">
        <f ca="1">VLOOKUP(INDEX(INDIRECT("'"&amp;AY$1&amp;"'!"&amp;"$A:$C"),MATCH('Schedule Optimizer'!$A14,INDIRECT("'"&amp;AY$1&amp;"'!"&amp;"A:A"),0),MATCH('Schedule Optimizer'!AY$2,INDIRECT("'"&amp;AY$1&amp;"'!"&amp;"$A$1:$C$1"))),$A$3:$B$14,2,FALSE)</f>
        <v>Sam</v>
      </c>
      <c r="AZ14" s="4">
        <f ca="1">INDEX('Points For'!$B$1:$R$14,MATCH(AY14,'Points For'!$B$1:$B$14,0),MATCH(AY$1,'Points For'!$B$1:$R$1,0))</f>
        <v>86.2</v>
      </c>
      <c r="BA14" s="4">
        <f ca="1">INDEX('Points For'!$B$1:$R$14,MATCH($B$16,'Points For'!$B$1:$B$14,0),MATCH(AY$1,'Points For'!$B$1:$R$1,0))</f>
        <v>121.6</v>
      </c>
      <c r="BB14" s="4" t="str">
        <f t="shared" ca="1" si="11"/>
        <v>W</v>
      </c>
      <c r="BC14" s="4" t="str">
        <f ca="1">VLOOKUP(INDEX(INDIRECT("'"&amp;BC$1&amp;"'!"&amp;"$A:$C"),MATCH('Schedule Optimizer'!$A14,INDIRECT("'"&amp;BC$1&amp;"'!"&amp;"A:A"),0),MATCH('Schedule Optimizer'!BC$2,INDIRECT("'"&amp;BC$1&amp;"'!"&amp;"$A$1:$C$1"))),$A$3:$B$14,2,FALSE)</f>
        <v>Dave</v>
      </c>
      <c r="BD14" s="4">
        <f ca="1">INDEX('Points For'!$B$1:$R$14,MATCH(BC14,'Points For'!$B$1:$B$14,0),MATCH(BC$1,'Points For'!$B$1:$R$1,0))</f>
        <v>121</v>
      </c>
      <c r="BE14" s="4">
        <f ca="1">INDEX('Points For'!$B$1:$R$14,MATCH($B$16,'Points For'!$B$1:$B$14,0),MATCH(BC$1,'Points For'!$B$1:$R$1,0))</f>
        <v>79.400000000000006</v>
      </c>
      <c r="BF14" s="4" t="str">
        <f t="shared" ca="1" si="12"/>
        <v>L</v>
      </c>
      <c r="BG14" s="4" t="str">
        <f ca="1">VLOOKUP(INDEX(INDIRECT("'"&amp;BG$1&amp;"'!"&amp;"$A:$C"),MATCH('Schedule Optimizer'!$A14,INDIRECT("'"&amp;BG$1&amp;"'!"&amp;"A:A"),0),MATCH('Schedule Optimizer'!BG$2,INDIRECT("'"&amp;BG$1&amp;"'!"&amp;"$A$1:$C$1"))),$A$3:$B$14,2,FALSE)</f>
        <v>Catina</v>
      </c>
      <c r="BH14" s="4">
        <f ca="1">INDEX('Points For'!$B$1:$R$14,MATCH(BG14,'Points For'!$B$1:$B$14,0),MATCH(BG$1,'Points For'!$B$1:$R$1,0))</f>
        <v>102.6</v>
      </c>
      <c r="BI14" s="4">
        <f ca="1">INDEX('Points For'!$B$1:$R$14,MATCH($B$16,'Points For'!$B$1:$B$14,0),MATCH(BG$1,'Points For'!$B$1:$R$1,0))</f>
        <v>102.6</v>
      </c>
      <c r="BJ14" s="4" t="str">
        <f t="shared" ca="1" si="13"/>
        <v>N/A</v>
      </c>
      <c r="BK14" s="4" t="str">
        <f ca="1">VLOOKUP(INDEX(INDIRECT("'"&amp;BK$1&amp;"'!"&amp;"$A:$C"),MATCH('Schedule Optimizer'!$A14,INDIRECT("'"&amp;BK$1&amp;"'!"&amp;"A:A"),0),MATCH('Schedule Optimizer'!BK$2,INDIRECT("'"&amp;BK$1&amp;"'!"&amp;"$A$1:$C$1"))),$A$3:$B$14,2,FALSE)</f>
        <v>Steve</v>
      </c>
      <c r="BL14" s="4">
        <f ca="1">INDEX('Points For'!$B$1:$R$14,MATCH(BK14,'Points For'!$B$1:$B$14,0),MATCH(BK$1,'Points For'!$B$1:$R$1,0))</f>
        <v>69.5</v>
      </c>
      <c r="BM14" s="4">
        <f ca="1">INDEX('Points For'!$B$1:$R$14,MATCH($B$16,'Points For'!$B$1:$B$14,0),MATCH(BK$1,'Points For'!$B$1:$R$1,0))</f>
        <v>138.30000000000001</v>
      </c>
      <c r="BN14" s="4" t="str">
        <f t="shared" ca="1" si="14"/>
        <v>W</v>
      </c>
      <c r="BO14" s="4" t="str">
        <f ca="1">VLOOKUP(INDEX(INDIRECT("'"&amp;BO$1&amp;"'!"&amp;"$A:$C"),MATCH('Schedule Optimizer'!$A14,INDIRECT("'"&amp;BO$1&amp;"'!"&amp;"A:A"),0),MATCH('Schedule Optimizer'!BO$2,INDIRECT("'"&amp;BO$1&amp;"'!"&amp;"$A$1:$C$1"))),$A$3:$B$14,2,FALSE)</f>
        <v>Sam</v>
      </c>
      <c r="BP14" s="4">
        <f ca="1">INDEX('Points For'!$B$1:$R$14,MATCH(BO14,'Points For'!$B$1:$B$14,0),MATCH(BO$1,'Points For'!$B$1:$R$1,0))</f>
        <v>77.099999999999994</v>
      </c>
      <c r="BQ14" s="4">
        <f ca="1">INDEX('Points For'!$B$1:$R$14,MATCH($B$16,'Points For'!$B$1:$B$14,0),MATCH(BO$1,'Points For'!$B$1:$R$1,0))</f>
        <v>163.1</v>
      </c>
      <c r="BR14" s="4" t="str">
        <f t="shared" ca="1" si="15"/>
        <v>W</v>
      </c>
    </row>
    <row r="15" spans="1:70" ht="15.5" thickTop="1" x14ac:dyDescent="0.75"/>
    <row r="16" spans="1:70" x14ac:dyDescent="0.75">
      <c r="A16" s="1" t="s">
        <v>235</v>
      </c>
      <c r="B16" s="1" t="s">
        <v>165</v>
      </c>
    </row>
  </sheetData>
  <mergeCells count="18">
    <mergeCell ref="AA1:AD1"/>
    <mergeCell ref="AE1:AH1"/>
    <mergeCell ref="AI1:AL1"/>
    <mergeCell ref="AM1:AP1"/>
    <mergeCell ref="BO1:BR1"/>
    <mergeCell ref="C1:D1"/>
    <mergeCell ref="E1:F1"/>
    <mergeCell ref="AQ1:AT1"/>
    <mergeCell ref="AU1:AX1"/>
    <mergeCell ref="AY1:BB1"/>
    <mergeCell ref="BC1:BF1"/>
    <mergeCell ref="BG1:BJ1"/>
    <mergeCell ref="BK1:BN1"/>
    <mergeCell ref="G1:J1"/>
    <mergeCell ref="K1:N1"/>
    <mergeCell ref="O1:R1"/>
    <mergeCell ref="S1:V1"/>
    <mergeCell ref="W1:Z1"/>
  </mergeCells>
  <conditionalFormatting sqref="J3:J14">
    <cfRule type="containsText" dxfId="31" priority="38" operator="containsText" text="W">
      <formula>NOT(ISERROR(SEARCH("W",J3)))</formula>
    </cfRule>
    <cfRule type="containsText" dxfId="30" priority="39" operator="containsText" text="L">
      <formula>NOT(ISERROR(SEARCH("L",J3)))</formula>
    </cfRule>
  </conditionalFormatting>
  <conditionalFormatting sqref="N3:N14">
    <cfRule type="containsText" dxfId="29" priority="33" operator="containsText" text="W">
      <formula>NOT(ISERROR(SEARCH("W",N3)))</formula>
    </cfRule>
    <cfRule type="containsText" dxfId="28" priority="34" operator="containsText" text="L">
      <formula>NOT(ISERROR(SEARCH("L",N3)))</formula>
    </cfRule>
  </conditionalFormatting>
  <conditionalFormatting sqref="R3:R14">
    <cfRule type="containsText" dxfId="27" priority="31" operator="containsText" text="W">
      <formula>NOT(ISERROR(SEARCH("W",R3)))</formula>
    </cfRule>
    <cfRule type="containsText" dxfId="26" priority="32" operator="containsText" text="L">
      <formula>NOT(ISERROR(SEARCH("L",R3)))</formula>
    </cfRule>
  </conditionalFormatting>
  <conditionalFormatting sqref="V3:V14">
    <cfRule type="containsText" dxfId="25" priority="29" operator="containsText" text="W">
      <formula>NOT(ISERROR(SEARCH("W",V3)))</formula>
    </cfRule>
    <cfRule type="containsText" dxfId="24" priority="30" operator="containsText" text="L">
      <formula>NOT(ISERROR(SEARCH("L",V3)))</formula>
    </cfRule>
  </conditionalFormatting>
  <conditionalFormatting sqref="Z3:Z14">
    <cfRule type="containsText" dxfId="23" priority="27" operator="containsText" text="W">
      <formula>NOT(ISERROR(SEARCH("W",Z3)))</formula>
    </cfRule>
    <cfRule type="containsText" dxfId="22" priority="28" operator="containsText" text="L">
      <formula>NOT(ISERROR(SEARCH("L",Z3)))</formula>
    </cfRule>
  </conditionalFormatting>
  <conditionalFormatting sqref="AD3:AD14">
    <cfRule type="containsText" dxfId="21" priority="25" operator="containsText" text="W">
      <formula>NOT(ISERROR(SEARCH("W",AD3)))</formula>
    </cfRule>
    <cfRule type="containsText" dxfId="20" priority="26" operator="containsText" text="L">
      <formula>NOT(ISERROR(SEARCH("L",AD3)))</formula>
    </cfRule>
  </conditionalFormatting>
  <conditionalFormatting sqref="AH3:AH14">
    <cfRule type="containsText" dxfId="19" priority="23" operator="containsText" text="W">
      <formula>NOT(ISERROR(SEARCH("W",AH3)))</formula>
    </cfRule>
    <cfRule type="containsText" dxfId="18" priority="24" operator="containsText" text="L">
      <formula>NOT(ISERROR(SEARCH("L",AH3)))</formula>
    </cfRule>
  </conditionalFormatting>
  <conditionalFormatting sqref="AL3:AL14">
    <cfRule type="containsText" dxfId="17" priority="21" operator="containsText" text="W">
      <formula>NOT(ISERROR(SEARCH("W",AL3)))</formula>
    </cfRule>
    <cfRule type="containsText" dxfId="16" priority="22" operator="containsText" text="L">
      <formula>NOT(ISERROR(SEARCH("L",AL3)))</formula>
    </cfRule>
  </conditionalFormatting>
  <conditionalFormatting sqref="AP3:AP14">
    <cfRule type="containsText" dxfId="15" priority="19" operator="containsText" text="W">
      <formula>NOT(ISERROR(SEARCH("W",AP3)))</formula>
    </cfRule>
    <cfRule type="containsText" dxfId="14" priority="20" operator="containsText" text="L">
      <formula>NOT(ISERROR(SEARCH("L",AP3)))</formula>
    </cfRule>
  </conditionalFormatting>
  <conditionalFormatting sqref="AT3:AT14">
    <cfRule type="containsText" dxfId="13" priority="17" operator="containsText" text="W">
      <formula>NOT(ISERROR(SEARCH("W",AT3)))</formula>
    </cfRule>
    <cfRule type="containsText" dxfId="12" priority="18" operator="containsText" text="L">
      <formula>NOT(ISERROR(SEARCH("L",AT3)))</formula>
    </cfRule>
  </conditionalFormatting>
  <conditionalFormatting sqref="AX3:AX14">
    <cfRule type="containsText" dxfId="11" priority="15" operator="containsText" text="W">
      <formula>NOT(ISERROR(SEARCH("W",AX3)))</formula>
    </cfRule>
    <cfRule type="containsText" dxfId="10" priority="16" operator="containsText" text="L">
      <formula>NOT(ISERROR(SEARCH("L",AX3)))</formula>
    </cfRule>
  </conditionalFormatting>
  <conditionalFormatting sqref="BB3:BB14">
    <cfRule type="containsText" dxfId="9" priority="13" operator="containsText" text="W">
      <formula>NOT(ISERROR(SEARCH("W",BB3)))</formula>
    </cfRule>
    <cfRule type="containsText" dxfId="8" priority="14" operator="containsText" text="L">
      <formula>NOT(ISERROR(SEARCH("L",BB3)))</formula>
    </cfRule>
  </conditionalFormatting>
  <conditionalFormatting sqref="BF3:BF14">
    <cfRule type="containsText" dxfId="7" priority="11" operator="containsText" text="W">
      <formula>NOT(ISERROR(SEARCH("W",BF3)))</formula>
    </cfRule>
    <cfRule type="containsText" dxfId="6" priority="12" operator="containsText" text="L">
      <formula>NOT(ISERROR(SEARCH("L",BF3)))</formula>
    </cfRule>
  </conditionalFormatting>
  <conditionalFormatting sqref="BJ3:BJ14">
    <cfRule type="containsText" dxfId="5" priority="9" operator="containsText" text="W">
      <formula>NOT(ISERROR(SEARCH("W",BJ3)))</formula>
    </cfRule>
    <cfRule type="containsText" dxfId="4" priority="10" operator="containsText" text="L">
      <formula>NOT(ISERROR(SEARCH("L",BJ3)))</formula>
    </cfRule>
  </conditionalFormatting>
  <conditionalFormatting sqref="BN3:BN14">
    <cfRule type="containsText" dxfId="3" priority="7" operator="containsText" text="W">
      <formula>NOT(ISERROR(SEARCH("W",BN3)))</formula>
    </cfRule>
    <cfRule type="containsText" dxfId="2" priority="8" operator="containsText" text="L">
      <formula>NOT(ISERROR(SEARCH("L",BN3)))</formula>
    </cfRule>
  </conditionalFormatting>
  <conditionalFormatting sqref="BR3:BR14">
    <cfRule type="containsText" dxfId="1" priority="5" operator="containsText" text="W">
      <formula>NOT(ISERROR(SEARCH("W",BR3)))</formula>
    </cfRule>
    <cfRule type="containsText" dxfId="0" priority="6" operator="containsText" text="L">
      <formula>NOT(ISERROR(SEARCH("L",BR3)))</formula>
    </cfRule>
  </conditionalFormatting>
  <conditionalFormatting sqref="C3:C1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40540A-A185-4233-9464-47E234B07EE6}">
          <x14:formula1>
            <xm:f>Key!$A$17:$A$28</xm:f>
          </x14:formula1>
          <xm:sqref>B16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zoomScale="85" zoomScaleNormal="85" workbookViewId="0">
      <selection activeCell="D1" sqref="D1"/>
    </sheetView>
  </sheetViews>
  <sheetFormatPr defaultRowHeight="14.75" x14ac:dyDescent="0.75"/>
  <cols>
    <col min="1" max="1" width="21.04296875" customWidth="1"/>
    <col min="2" max="2" width="9.7265625" style="2" customWidth="1"/>
    <col min="3" max="3" width="16.54296875" bestFit="1" customWidth="1"/>
    <col min="4" max="4" width="12.17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s="2" t="s">
        <v>2</v>
      </c>
      <c r="C2" t="str">
        <f t="shared" ref="C2:C23" si="0">IF(A2="","",IF(MID(A2,1,FIND(" ", A2,1)-1)="Matchup","",IF(A3&lt;&gt;"",A3,IF(MID(A1,1,FIND(" ", A1,1)-1)&lt;&gt;"Matchup",A1))))</f>
        <v>King Goffrey</v>
      </c>
    </row>
    <row r="3" spans="1:3" x14ac:dyDescent="0.75">
      <c r="A3" t="s">
        <v>3</v>
      </c>
      <c r="B3" s="2" t="s">
        <v>4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s="2" t="s">
        <v>7</v>
      </c>
      <c r="C6" t="str">
        <f t="shared" si="0"/>
        <v>Queen B</v>
      </c>
    </row>
    <row r="7" spans="1:3" x14ac:dyDescent="0.75">
      <c r="A7" t="s">
        <v>8</v>
      </c>
      <c r="B7" s="2" t="s">
        <v>9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11</v>
      </c>
      <c r="B10" s="2" t="s">
        <v>12</v>
      </c>
      <c r="C10" t="str">
        <f t="shared" si="0"/>
        <v>Pitts Likes Dicks</v>
      </c>
    </row>
    <row r="11" spans="1:3" x14ac:dyDescent="0.75">
      <c r="A11" t="s">
        <v>13</v>
      </c>
      <c r="B11" s="2" t="s">
        <v>14</v>
      </c>
      <c r="C11" t="str">
        <f t="shared" si="0"/>
        <v>Team Ratliff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16</v>
      </c>
      <c r="B14" s="2" t="s">
        <v>17</v>
      </c>
      <c r="C14" t="str">
        <f t="shared" si="0"/>
        <v>Team No Trades</v>
      </c>
    </row>
    <row r="15" spans="1:3" x14ac:dyDescent="0.75">
      <c r="A15" t="s">
        <v>18</v>
      </c>
      <c r="B15" s="2" t="s">
        <v>19</v>
      </c>
      <c r="C15" t="str">
        <f t="shared" si="0"/>
        <v>The Dictator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21</v>
      </c>
      <c r="B18" s="2" t="s">
        <v>22</v>
      </c>
      <c r="C18" t="str">
        <f t="shared" si="0"/>
        <v>Team Quintanilla</v>
      </c>
    </row>
    <row r="19" spans="1:3" x14ac:dyDescent="0.75">
      <c r="A19" t="s">
        <v>23</v>
      </c>
      <c r="B19" s="2" t="s">
        <v>24</v>
      </c>
      <c r="C19" t="str">
        <f t="shared" si="0"/>
        <v>Team capt queef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26</v>
      </c>
      <c r="B22" s="2" t="s">
        <v>27</v>
      </c>
      <c r="C22" t="str">
        <f t="shared" si="0"/>
        <v>Team Binder</v>
      </c>
    </row>
    <row r="23" spans="1:3" x14ac:dyDescent="0.75">
      <c r="A23" t="s">
        <v>28</v>
      </c>
      <c r="B23" s="2" t="s">
        <v>29</v>
      </c>
      <c r="C23" t="str">
        <f t="shared" si="0"/>
        <v>The Last Jedi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F403-345C-4254-95FB-31E526F96F6D}">
  <sheetPr codeName="Sheet9"/>
  <dimension ref="A1:C23"/>
  <sheetViews>
    <sheetView zoomScale="70" zoomScaleNormal="70" workbookViewId="0">
      <selection activeCell="F24" sqref="F24"/>
    </sheetView>
  </sheetViews>
  <sheetFormatPr defaultRowHeight="14.75" x14ac:dyDescent="0.75"/>
  <cols>
    <col min="1" max="1" width="16.7265625" customWidth="1"/>
    <col min="2" max="2" width="8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6</v>
      </c>
      <c r="B2" t="s">
        <v>29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78</v>
      </c>
      <c r="C3" t="str">
        <f t="shared" si="0"/>
        <v>5 INT 7-8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3</v>
      </c>
      <c r="B6" t="s">
        <v>79</v>
      </c>
      <c r="C6" t="str">
        <f t="shared" si="0"/>
        <v>Team Ratliff</v>
      </c>
    </row>
    <row r="7" spans="1:3" x14ac:dyDescent="0.75">
      <c r="A7" t="s">
        <v>11</v>
      </c>
      <c r="B7" t="s">
        <v>80</v>
      </c>
      <c r="C7" t="str">
        <f t="shared" si="0"/>
        <v>King Goffrey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81</v>
      </c>
      <c r="C10" t="str">
        <f t="shared" si="0"/>
        <v>The Dictator</v>
      </c>
    </row>
    <row r="11" spans="1:3" x14ac:dyDescent="0.75">
      <c r="A11" t="s">
        <v>16</v>
      </c>
      <c r="B11" t="s">
        <v>82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13</v>
      </c>
      <c r="B14" t="s">
        <v>83</v>
      </c>
      <c r="C14" t="str">
        <f t="shared" si="0"/>
        <v>Team capt queef</v>
      </c>
    </row>
    <row r="15" spans="1:3" x14ac:dyDescent="0.75">
      <c r="A15" t="s">
        <v>21</v>
      </c>
      <c r="B15" t="s">
        <v>84</v>
      </c>
      <c r="C15" t="str">
        <f t="shared" si="0"/>
        <v>Pitts Likes Dicks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18</v>
      </c>
      <c r="B18" t="s">
        <v>85</v>
      </c>
      <c r="C18" t="str">
        <f t="shared" si="0"/>
        <v>The Last Jedi</v>
      </c>
    </row>
    <row r="19" spans="1:3" x14ac:dyDescent="0.75">
      <c r="A19" t="s">
        <v>26</v>
      </c>
      <c r="B19" t="s">
        <v>86</v>
      </c>
      <c r="C19" t="str">
        <f t="shared" si="0"/>
        <v>Team No Trades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87</v>
      </c>
      <c r="C22" t="str">
        <f t="shared" si="0"/>
        <v>Team Binder</v>
      </c>
    </row>
    <row r="23" spans="1:3" x14ac:dyDescent="0.75">
      <c r="A23" t="s">
        <v>28</v>
      </c>
      <c r="B23" t="s">
        <v>88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61E9-A656-44C2-AC2E-35D4309927EF}">
  <sheetPr codeName="Sheet8"/>
  <dimension ref="A1:C23"/>
  <sheetViews>
    <sheetView zoomScale="70" zoomScaleNormal="70" workbookViewId="0">
      <selection activeCell="C1" sqref="C1:C1048576"/>
    </sheetView>
  </sheetViews>
  <sheetFormatPr defaultRowHeight="14.75" x14ac:dyDescent="0.75"/>
  <cols>
    <col min="1" max="1" width="17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89</v>
      </c>
      <c r="C2" t="str">
        <f t="shared" ref="C2:C23" si="0">IF(A2="","",IF(MID(A2,1,FIND(" ", A2,1)-1)="Matchup","",IF(A3&lt;&gt;"",A3,IF(MID(A1,1,FIND(" ", A1,1)-1)&lt;&gt;"Matchup",A1))))</f>
        <v>Queen B</v>
      </c>
    </row>
    <row r="3" spans="1:3" x14ac:dyDescent="0.75">
      <c r="A3" t="s">
        <v>8</v>
      </c>
      <c r="B3" t="s">
        <v>90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28</v>
      </c>
      <c r="B6" t="s">
        <v>91</v>
      </c>
      <c r="C6" t="str">
        <f t="shared" si="0"/>
        <v>5 INT 7-8</v>
      </c>
    </row>
    <row r="7" spans="1:3" x14ac:dyDescent="0.75">
      <c r="A7" t="s">
        <v>6</v>
      </c>
      <c r="B7" t="s">
        <v>92</v>
      </c>
      <c r="C7" t="str">
        <f t="shared" si="0"/>
        <v>Team Binder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21</v>
      </c>
      <c r="B10" t="s">
        <v>93</v>
      </c>
      <c r="C10" t="str">
        <f t="shared" si="0"/>
        <v>Team No Trades</v>
      </c>
    </row>
    <row r="11" spans="1:3" x14ac:dyDescent="0.75">
      <c r="A11" t="s">
        <v>18</v>
      </c>
      <c r="B11" t="s">
        <v>94</v>
      </c>
      <c r="C11" t="str">
        <f t="shared" si="0"/>
        <v>Team capt queef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95</v>
      </c>
      <c r="C14" t="str">
        <f t="shared" si="0"/>
        <v>Team Ratliff</v>
      </c>
    </row>
    <row r="15" spans="1:3" x14ac:dyDescent="0.75">
      <c r="A15" t="s">
        <v>11</v>
      </c>
      <c r="B15" t="s">
        <v>96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16</v>
      </c>
      <c r="B18" t="s">
        <v>97</v>
      </c>
      <c r="C18" t="str">
        <f t="shared" si="0"/>
        <v>Pitts Likes Dicks</v>
      </c>
    </row>
    <row r="19" spans="1:3" x14ac:dyDescent="0.75">
      <c r="A19" t="s">
        <v>13</v>
      </c>
      <c r="B19" t="s">
        <v>68</v>
      </c>
      <c r="C19" t="str">
        <f t="shared" si="0"/>
        <v>The Dictator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98</v>
      </c>
      <c r="C22" t="str">
        <f t="shared" si="0"/>
        <v>King Goffrey</v>
      </c>
    </row>
    <row r="23" spans="1:3" x14ac:dyDescent="0.75">
      <c r="A23" t="s">
        <v>3</v>
      </c>
      <c r="B23" t="s">
        <v>99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86EB2-059F-4DE9-B4D3-B2DA3306D459}">
  <sheetPr codeName="Sheet7"/>
  <dimension ref="A1:C23"/>
  <sheetViews>
    <sheetView workbookViewId="0">
      <selection activeCell="C1" sqref="C1:C1048576"/>
    </sheetView>
  </sheetViews>
  <sheetFormatPr defaultRowHeight="14.75" x14ac:dyDescent="0.75"/>
  <cols>
    <col min="1" max="1" width="21.7265625" customWidth="1"/>
    <col min="2" max="2" width="7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100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101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11</v>
      </c>
      <c r="B6" t="s">
        <v>102</v>
      </c>
      <c r="C6" t="str">
        <f t="shared" si="0"/>
        <v>Team Binder</v>
      </c>
    </row>
    <row r="7" spans="1:3" x14ac:dyDescent="0.75">
      <c r="A7" t="s">
        <v>28</v>
      </c>
      <c r="B7" t="s">
        <v>103</v>
      </c>
      <c r="C7" t="str">
        <f t="shared" si="0"/>
        <v>Team Ratliff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104</v>
      </c>
      <c r="C10" t="str">
        <f t="shared" si="0"/>
        <v>King Goffrey</v>
      </c>
    </row>
    <row r="11" spans="1:3" x14ac:dyDescent="0.75">
      <c r="A11" t="s">
        <v>3</v>
      </c>
      <c r="B11" t="s">
        <v>105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106</v>
      </c>
      <c r="C14" t="str">
        <f t="shared" si="0"/>
        <v>The Dictator</v>
      </c>
    </row>
    <row r="15" spans="1:3" x14ac:dyDescent="0.75">
      <c r="A15" t="s">
        <v>16</v>
      </c>
      <c r="B15" t="s">
        <v>107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108</v>
      </c>
      <c r="C18" t="str">
        <f t="shared" si="0"/>
        <v>Team capt queef</v>
      </c>
    </row>
    <row r="19" spans="1:3" x14ac:dyDescent="0.75">
      <c r="A19" t="s">
        <v>21</v>
      </c>
      <c r="B19" t="s">
        <v>109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110</v>
      </c>
      <c r="C22" t="str">
        <f t="shared" si="0"/>
        <v>Team Quintanilla</v>
      </c>
    </row>
    <row r="23" spans="1:3" x14ac:dyDescent="0.75">
      <c r="A23" t="s">
        <v>23</v>
      </c>
      <c r="B23" t="s">
        <v>9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CEFE3-061D-4D45-87AE-E978F61C398B}">
  <sheetPr codeName="Sheet6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48</v>
      </c>
      <c r="C2" t="str">
        <f t="shared" ref="C2:C23" si="0">IF(A2="","",IF(MID(A2,1,FIND(" ", A2,1)-1)="Matchup","",IF(A3&lt;&gt;"",A3,IF(MID(A1,1,FIND(" ", A1,1)-1)&lt;&gt;"Matchup",A1))))</f>
        <v>The Dictator</v>
      </c>
    </row>
    <row r="3" spans="1:3" x14ac:dyDescent="0.75">
      <c r="A3" t="s">
        <v>16</v>
      </c>
      <c r="B3" t="s">
        <v>111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26</v>
      </c>
      <c r="B6" t="s">
        <v>112</v>
      </c>
      <c r="C6" t="str">
        <f t="shared" si="0"/>
        <v>5 INT 7-8</v>
      </c>
    </row>
    <row r="7" spans="1:3" x14ac:dyDescent="0.75">
      <c r="A7" t="s">
        <v>6</v>
      </c>
      <c r="B7" t="s">
        <v>113</v>
      </c>
      <c r="C7" t="str">
        <f t="shared" si="0"/>
        <v>The Last Jedi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21</v>
      </c>
      <c r="B10" t="s">
        <v>114</v>
      </c>
      <c r="C10" t="str">
        <f t="shared" si="0"/>
        <v>Team Ratliff</v>
      </c>
    </row>
    <row r="11" spans="1:3" x14ac:dyDescent="0.75">
      <c r="A11" t="s">
        <v>11</v>
      </c>
      <c r="B11" t="s">
        <v>115</v>
      </c>
      <c r="C11" t="str">
        <f t="shared" si="0"/>
        <v>Team capt queef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3</v>
      </c>
      <c r="B14" t="s">
        <v>4</v>
      </c>
      <c r="C14" t="str">
        <f t="shared" si="0"/>
        <v>Team Binder</v>
      </c>
    </row>
    <row r="15" spans="1:3" x14ac:dyDescent="0.75">
      <c r="A15" t="s">
        <v>28</v>
      </c>
      <c r="B15" t="s">
        <v>71</v>
      </c>
      <c r="C15" t="str">
        <f t="shared" si="0"/>
        <v>King Goffrey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116</v>
      </c>
      <c r="C18" t="str">
        <f t="shared" si="0"/>
        <v>Team Quintanilla</v>
      </c>
    </row>
    <row r="19" spans="1:3" x14ac:dyDescent="0.75">
      <c r="A19" t="s">
        <v>23</v>
      </c>
      <c r="B19" t="s">
        <v>60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117</v>
      </c>
      <c r="C22" t="str">
        <f t="shared" si="0"/>
        <v>Team No Trades</v>
      </c>
    </row>
    <row r="23" spans="1:3" x14ac:dyDescent="0.75">
      <c r="A23" t="s">
        <v>18</v>
      </c>
      <c r="B23" t="s">
        <v>118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8D94-1D4B-4913-B726-D1E512CBB566}">
  <sheetPr codeName="Sheet5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26</v>
      </c>
      <c r="B2" t="s">
        <v>119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120</v>
      </c>
      <c r="C3" t="str">
        <f t="shared" si="0"/>
        <v>The Last Jedi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21</v>
      </c>
      <c r="B6" t="s">
        <v>121</v>
      </c>
      <c r="C6" t="str">
        <f t="shared" si="0"/>
        <v>Team Binder</v>
      </c>
    </row>
    <row r="7" spans="1:3" x14ac:dyDescent="0.75">
      <c r="A7" t="s">
        <v>28</v>
      </c>
      <c r="B7" t="s">
        <v>122</v>
      </c>
      <c r="C7" t="str">
        <f t="shared" si="0"/>
        <v>Team capt queef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123</v>
      </c>
      <c r="C10" t="str">
        <f t="shared" si="0"/>
        <v>King Goffrey</v>
      </c>
    </row>
    <row r="11" spans="1:3" x14ac:dyDescent="0.75">
      <c r="A11" t="s">
        <v>3</v>
      </c>
      <c r="B11" t="s">
        <v>124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11</v>
      </c>
      <c r="B14" t="s">
        <v>46</v>
      </c>
      <c r="C14" t="str">
        <f t="shared" si="0"/>
        <v>Queen B</v>
      </c>
    </row>
    <row r="15" spans="1:3" x14ac:dyDescent="0.75">
      <c r="A15" t="s">
        <v>8</v>
      </c>
      <c r="B15" t="s">
        <v>125</v>
      </c>
      <c r="C15" t="str">
        <f t="shared" si="0"/>
        <v>Team Ratliff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6</v>
      </c>
      <c r="B18" t="s">
        <v>126</v>
      </c>
      <c r="C18" t="str">
        <f t="shared" si="0"/>
        <v>Pitts Likes Dicks</v>
      </c>
    </row>
    <row r="19" spans="1:3" x14ac:dyDescent="0.75">
      <c r="A19" t="s">
        <v>13</v>
      </c>
      <c r="B19" t="s">
        <v>127</v>
      </c>
      <c r="C19" t="str">
        <f t="shared" si="0"/>
        <v>5 INT 7-8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23</v>
      </c>
      <c r="B22" t="s">
        <v>128</v>
      </c>
      <c r="C22" t="str">
        <f t="shared" si="0"/>
        <v>Team No Trades</v>
      </c>
    </row>
    <row r="23" spans="1:3" x14ac:dyDescent="0.75">
      <c r="A23" t="s">
        <v>18</v>
      </c>
      <c r="B23" t="s">
        <v>30</v>
      </c>
      <c r="C23" t="str">
        <f t="shared" si="0"/>
        <v>Team Quintanilla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3AF3D-AD0F-463E-B6A9-27B793A9F796}">
  <sheetPr codeName="Sheet4"/>
  <dimension ref="A1:C23"/>
  <sheetViews>
    <sheetView workbookViewId="0">
      <selection activeCell="C1" sqref="C1:C1048576"/>
    </sheetView>
  </sheetViews>
  <sheetFormatPr defaultRowHeight="14.75" x14ac:dyDescent="0.75"/>
  <cols>
    <col min="1" max="1" width="19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129</v>
      </c>
      <c r="C2" t="str">
        <f t="shared" ref="C2:C23" si="0">IF(A2="","",IF(MID(A2,1,FIND(" ", A2,1)-1)="Matchup","",IF(A3&lt;&gt;"",A3,IF(MID(A1,1,FIND(" ", A1,1)-1)&lt;&gt;"Matchup",A1))))</f>
        <v>Team capt queef</v>
      </c>
    </row>
    <row r="3" spans="1:3" x14ac:dyDescent="0.75">
      <c r="A3" t="s">
        <v>21</v>
      </c>
      <c r="B3" t="s">
        <v>130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13</v>
      </c>
      <c r="B6" t="s">
        <v>131</v>
      </c>
      <c r="C6" t="str">
        <f t="shared" si="0"/>
        <v>The Last Jedi</v>
      </c>
    </row>
    <row r="7" spans="1:3" x14ac:dyDescent="0.75">
      <c r="A7" t="s">
        <v>26</v>
      </c>
      <c r="B7" t="s">
        <v>132</v>
      </c>
      <c r="C7" t="str">
        <f t="shared" si="0"/>
        <v>Pitts Likes Dicks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133</v>
      </c>
      <c r="C10" t="str">
        <f t="shared" si="0"/>
        <v>Team Binder</v>
      </c>
    </row>
    <row r="11" spans="1:3" x14ac:dyDescent="0.75">
      <c r="A11" t="s">
        <v>28</v>
      </c>
      <c r="B11" t="s">
        <v>134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23</v>
      </c>
      <c r="B14" t="s">
        <v>132</v>
      </c>
      <c r="C14" t="str">
        <f t="shared" si="0"/>
        <v>The Dictator</v>
      </c>
    </row>
    <row r="15" spans="1:3" x14ac:dyDescent="0.75">
      <c r="A15" t="s">
        <v>16</v>
      </c>
      <c r="B15" t="s">
        <v>135</v>
      </c>
      <c r="C15" t="str">
        <f t="shared" si="0"/>
        <v>Team Quintanilla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6</v>
      </c>
      <c r="B18" t="s">
        <v>136</v>
      </c>
      <c r="C18" t="str">
        <f t="shared" si="0"/>
        <v>Team Ratliff</v>
      </c>
    </row>
    <row r="19" spans="1:3" x14ac:dyDescent="0.75">
      <c r="A19" t="s">
        <v>11</v>
      </c>
      <c r="B19" t="s">
        <v>137</v>
      </c>
      <c r="C19" t="str">
        <f t="shared" si="0"/>
        <v>5 INT 7-8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3</v>
      </c>
      <c r="B22" t="s">
        <v>138</v>
      </c>
      <c r="C22" t="str">
        <f t="shared" si="0"/>
        <v>Team No Trades</v>
      </c>
    </row>
    <row r="23" spans="1:3" x14ac:dyDescent="0.75">
      <c r="A23" t="s">
        <v>18</v>
      </c>
      <c r="B23" t="s">
        <v>139</v>
      </c>
      <c r="C23" t="str">
        <f t="shared" si="0"/>
        <v>King Goffrey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59568-6206-45F4-8EE5-75EE6D202AFE}">
  <sheetPr codeName="Sheet3"/>
  <dimension ref="A1:C23"/>
  <sheetViews>
    <sheetView workbookViewId="0">
      <selection activeCell="C1" sqref="C1:C1048576"/>
    </sheetView>
  </sheetViews>
  <sheetFormatPr defaultRowHeight="14.75" x14ac:dyDescent="0.75"/>
  <cols>
    <col min="1" max="1" width="14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23</v>
      </c>
      <c r="B2" t="s">
        <v>39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140</v>
      </c>
      <c r="C3" t="str">
        <f t="shared" si="0"/>
        <v>Team Quintanilla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28</v>
      </c>
      <c r="B6" t="s">
        <v>141</v>
      </c>
      <c r="C6" t="str">
        <f t="shared" si="0"/>
        <v>Team No Trades</v>
      </c>
    </row>
    <row r="7" spans="1:3" x14ac:dyDescent="0.75">
      <c r="A7" t="s">
        <v>18</v>
      </c>
      <c r="B7" t="s">
        <v>142</v>
      </c>
      <c r="C7" t="str">
        <f t="shared" si="0"/>
        <v>Team Binder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26</v>
      </c>
      <c r="B10" t="s">
        <v>143</v>
      </c>
      <c r="C10" t="str">
        <f t="shared" si="0"/>
        <v>King Goffrey</v>
      </c>
    </row>
    <row r="11" spans="1:3" x14ac:dyDescent="0.75">
      <c r="A11" t="s">
        <v>3</v>
      </c>
      <c r="B11" t="s">
        <v>144</v>
      </c>
      <c r="C11" t="str">
        <f t="shared" si="0"/>
        <v>The Last Jedi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11</v>
      </c>
      <c r="B14" t="s">
        <v>76</v>
      </c>
      <c r="C14" t="str">
        <f t="shared" si="0"/>
        <v>The Dictator</v>
      </c>
    </row>
    <row r="15" spans="1:3" x14ac:dyDescent="0.75">
      <c r="A15" t="s">
        <v>16</v>
      </c>
      <c r="B15" t="s">
        <v>145</v>
      </c>
      <c r="C15" t="str">
        <f t="shared" si="0"/>
        <v>Team Ratliff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8</v>
      </c>
      <c r="B18" t="s">
        <v>146</v>
      </c>
      <c r="C18" t="str">
        <f t="shared" si="0"/>
        <v>Pitts Likes Dicks</v>
      </c>
    </row>
    <row r="19" spans="1:3" x14ac:dyDescent="0.75">
      <c r="A19" t="s">
        <v>13</v>
      </c>
      <c r="B19" t="s">
        <v>147</v>
      </c>
      <c r="C19" t="str">
        <f t="shared" si="0"/>
        <v>Queen B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148</v>
      </c>
      <c r="C22" t="str">
        <f t="shared" si="0"/>
        <v>5 INT 7-8</v>
      </c>
    </row>
    <row r="23" spans="1:3" x14ac:dyDescent="0.75">
      <c r="A23" t="s">
        <v>6</v>
      </c>
      <c r="B23" t="s">
        <v>149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2AA28-661A-45B7-A86B-E691AB4E0C62}">
  <sheetPr codeName="Sheet2"/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150</v>
      </c>
      <c r="C2" t="str">
        <f t="shared" ref="C2:C23" si="0">IF(A2="","",IF(MID(A2,1,FIND(" ", A2,1)-1)="Matchup","",IF(A3&lt;&gt;"",A3,IF(MID(A1,1,FIND(" ", A1,1)-1)&lt;&gt;"Matchup",A1))))</f>
        <v>Team Binder</v>
      </c>
    </row>
    <row r="3" spans="1:3" x14ac:dyDescent="0.75">
      <c r="A3" t="s">
        <v>28</v>
      </c>
      <c r="B3" t="s">
        <v>151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t="s">
        <v>152</v>
      </c>
      <c r="C6" t="str">
        <f t="shared" si="0"/>
        <v>Team Quintanilla</v>
      </c>
    </row>
    <row r="7" spans="1:3" x14ac:dyDescent="0.75">
      <c r="A7" t="s">
        <v>23</v>
      </c>
      <c r="B7" t="s">
        <v>153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8</v>
      </c>
      <c r="B10" t="s">
        <v>154</v>
      </c>
      <c r="C10" t="str">
        <f t="shared" si="0"/>
        <v>The Last Jedi</v>
      </c>
    </row>
    <row r="11" spans="1:3" x14ac:dyDescent="0.75">
      <c r="A11" t="s">
        <v>26</v>
      </c>
      <c r="B11" t="s">
        <v>155</v>
      </c>
      <c r="C11" t="str">
        <f t="shared" si="0"/>
        <v>Queen B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3</v>
      </c>
      <c r="B14" t="s">
        <v>156</v>
      </c>
      <c r="C14" t="str">
        <f t="shared" si="0"/>
        <v>Pitts Likes Dicks</v>
      </c>
    </row>
    <row r="15" spans="1:3" x14ac:dyDescent="0.75">
      <c r="A15" t="s">
        <v>13</v>
      </c>
      <c r="B15" t="s">
        <v>157</v>
      </c>
      <c r="C15" t="str">
        <f t="shared" si="0"/>
        <v>King Goffrey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18</v>
      </c>
      <c r="B18" t="s">
        <v>150</v>
      </c>
      <c r="C18" t="str">
        <f t="shared" si="0"/>
        <v>Team Ratliff</v>
      </c>
    </row>
    <row r="19" spans="1:3" x14ac:dyDescent="0.75">
      <c r="A19" t="s">
        <v>11</v>
      </c>
      <c r="B19" t="s">
        <v>158</v>
      </c>
      <c r="C19" t="str">
        <f t="shared" si="0"/>
        <v>Team No Trades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159</v>
      </c>
      <c r="C22" t="str">
        <f t="shared" si="0"/>
        <v>The Dictator</v>
      </c>
    </row>
    <row r="23" spans="1:3" x14ac:dyDescent="0.75">
      <c r="A23" t="s">
        <v>16</v>
      </c>
      <c r="B23" t="s">
        <v>160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E1255-50B5-4BD7-9233-1D2B26EF0742}">
  <sheetPr codeName="Sheet14"/>
  <dimension ref="A1:C23"/>
  <sheetViews>
    <sheetView workbookViewId="0">
      <selection activeCell="C1" sqref="C1:C1048576"/>
    </sheetView>
  </sheetViews>
  <sheetFormatPr defaultRowHeight="14.75" x14ac:dyDescent="0.75"/>
  <cols>
    <col min="1" max="1" width="12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13</v>
      </c>
      <c r="B2" t="s">
        <v>30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31</v>
      </c>
      <c r="C3" t="str">
        <f t="shared" si="0"/>
        <v>Pitts Likes Dicks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18</v>
      </c>
      <c r="B6" t="s">
        <v>32</v>
      </c>
      <c r="C6" t="str">
        <f t="shared" si="0"/>
        <v>5 INT 7-8</v>
      </c>
    </row>
    <row r="7" spans="1:3" x14ac:dyDescent="0.75">
      <c r="A7" t="s">
        <v>6</v>
      </c>
      <c r="B7" t="s">
        <v>33</v>
      </c>
      <c r="C7" t="str">
        <f t="shared" si="0"/>
        <v>Team No Trades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23</v>
      </c>
      <c r="B10" t="s">
        <v>34</v>
      </c>
      <c r="C10" t="str">
        <f t="shared" si="0"/>
        <v>Team Ratliff</v>
      </c>
    </row>
    <row r="11" spans="1:3" x14ac:dyDescent="0.75">
      <c r="A11" t="s">
        <v>11</v>
      </c>
      <c r="B11" t="s">
        <v>35</v>
      </c>
      <c r="C11" t="str">
        <f t="shared" si="0"/>
        <v>Team Quintanilla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28</v>
      </c>
      <c r="B14" t="s">
        <v>36</v>
      </c>
      <c r="C14" t="str">
        <f t="shared" si="0"/>
        <v>The Dictator</v>
      </c>
    </row>
    <row r="15" spans="1:3" x14ac:dyDescent="0.75">
      <c r="A15" t="s">
        <v>16</v>
      </c>
      <c r="B15" t="s">
        <v>37</v>
      </c>
      <c r="C15" t="str">
        <f t="shared" si="0"/>
        <v>Team Binder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26</v>
      </c>
      <c r="B18" t="s">
        <v>38</v>
      </c>
      <c r="C18" t="str">
        <f t="shared" si="0"/>
        <v>Team capt queef</v>
      </c>
    </row>
    <row r="19" spans="1:3" x14ac:dyDescent="0.75">
      <c r="A19" t="s">
        <v>21</v>
      </c>
      <c r="B19" t="s">
        <v>39</v>
      </c>
      <c r="C19" t="str">
        <f t="shared" si="0"/>
        <v>The Last Jedi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3</v>
      </c>
      <c r="B22" t="s">
        <v>40</v>
      </c>
      <c r="C22" t="str">
        <f t="shared" si="0"/>
        <v>Queen B</v>
      </c>
    </row>
    <row r="23" spans="1:3" x14ac:dyDescent="0.75">
      <c r="A23" t="s">
        <v>8</v>
      </c>
      <c r="B23" t="s">
        <v>41</v>
      </c>
      <c r="C23" t="str">
        <f t="shared" si="0"/>
        <v>King Goffrey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26658-B6E2-43BB-B81F-977E7FBCBEFF}">
  <sheetPr codeName="Sheet13"/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42</v>
      </c>
      <c r="C2" t="str">
        <f t="shared" ref="C2:C23" si="0">IF(A2="","",IF(MID(A2,1,FIND(" ", A2,1)-1)="Matchup","",IF(A3&lt;&gt;"",A3,IF(MID(A1,1,FIND(" ", A1,1)-1)&lt;&gt;"Matchup",A1))))</f>
        <v>Team Ratliff</v>
      </c>
    </row>
    <row r="3" spans="1:3" x14ac:dyDescent="0.75">
      <c r="A3" t="s">
        <v>11</v>
      </c>
      <c r="B3" t="s">
        <v>43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26</v>
      </c>
      <c r="B6" t="s">
        <v>44</v>
      </c>
      <c r="C6" t="str">
        <f t="shared" si="0"/>
        <v>Team Quintanilla</v>
      </c>
    </row>
    <row r="7" spans="1:3" x14ac:dyDescent="0.75">
      <c r="A7" t="s">
        <v>23</v>
      </c>
      <c r="B7" t="s">
        <v>45</v>
      </c>
      <c r="C7" t="str">
        <f t="shared" si="0"/>
        <v>The Last Jedi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46</v>
      </c>
      <c r="C10" t="str">
        <f t="shared" si="0"/>
        <v>The Dictator</v>
      </c>
    </row>
    <row r="11" spans="1:3" x14ac:dyDescent="0.75">
      <c r="A11" t="s">
        <v>16</v>
      </c>
      <c r="B11" t="s">
        <v>47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48</v>
      </c>
      <c r="C14" t="str">
        <f t="shared" si="0"/>
        <v>Team No Trades</v>
      </c>
    </row>
    <row r="15" spans="1:3" x14ac:dyDescent="0.75">
      <c r="A15" t="s">
        <v>18</v>
      </c>
      <c r="B15" t="s">
        <v>49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13</v>
      </c>
      <c r="B18" t="s">
        <v>50</v>
      </c>
      <c r="C18" t="str">
        <f t="shared" si="0"/>
        <v>Team Binder</v>
      </c>
    </row>
    <row r="19" spans="1:3" x14ac:dyDescent="0.75">
      <c r="A19" t="s">
        <v>28</v>
      </c>
      <c r="B19" t="s">
        <v>51</v>
      </c>
      <c r="C19" t="str">
        <f t="shared" si="0"/>
        <v>Pitts Likes Dicks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52</v>
      </c>
      <c r="C22" t="str">
        <f t="shared" si="0"/>
        <v>King Goffrey</v>
      </c>
    </row>
    <row r="23" spans="1:3" x14ac:dyDescent="0.75">
      <c r="A23" t="s">
        <v>3</v>
      </c>
      <c r="B23" t="s">
        <v>53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8FD22-9537-43EA-9713-2C12E6FA3EB4}">
  <sheetPr codeName="Sheet12"/>
  <dimension ref="A1:C23"/>
  <sheetViews>
    <sheetView workbookViewId="0">
      <selection activeCell="C1" sqref="C1:C1048576"/>
    </sheetView>
  </sheetViews>
  <sheetFormatPr defaultRowHeight="14.75" x14ac:dyDescent="0.75"/>
  <cols>
    <col min="1" max="1" width="16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8</v>
      </c>
      <c r="B2" t="s">
        <v>54</v>
      </c>
      <c r="C2" t="str">
        <f t="shared" ref="C2:C23" si="0">IF(A2="","",IF(MID(A2,1,FIND(" ", A2,1)-1)="Matchup","",IF(A3&lt;&gt;"",A3,IF(MID(A1,1,FIND(" ", A1,1)-1)&lt;&gt;"Matchup",A1))))</f>
        <v>Octobers Very Own</v>
      </c>
    </row>
    <row r="3" spans="1:3" x14ac:dyDescent="0.75">
      <c r="A3" t="s">
        <v>1</v>
      </c>
      <c r="B3" t="s">
        <v>55</v>
      </c>
      <c r="C3" t="str">
        <f t="shared" si="0"/>
        <v>Queen B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21</v>
      </c>
      <c r="B6" t="s">
        <v>56</v>
      </c>
      <c r="C6" t="str">
        <f t="shared" si="0"/>
        <v>Team No Trades</v>
      </c>
    </row>
    <row r="7" spans="1:3" x14ac:dyDescent="0.75">
      <c r="A7" t="s">
        <v>18</v>
      </c>
      <c r="B7" t="s">
        <v>57</v>
      </c>
      <c r="C7" t="str">
        <f t="shared" si="0"/>
        <v>Team capt queef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13</v>
      </c>
      <c r="B10" t="s">
        <v>58</v>
      </c>
      <c r="C10" t="str">
        <f t="shared" si="0"/>
        <v>The Dictator</v>
      </c>
    </row>
    <row r="11" spans="1:3" x14ac:dyDescent="0.75">
      <c r="A11" t="s">
        <v>16</v>
      </c>
      <c r="B11" t="s">
        <v>59</v>
      </c>
      <c r="C11" t="str">
        <f t="shared" si="0"/>
        <v>Pitts Likes Dicks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26</v>
      </c>
      <c r="B14" t="s">
        <v>60</v>
      </c>
      <c r="C14" t="str">
        <f t="shared" si="0"/>
        <v>Team Ratliff</v>
      </c>
    </row>
    <row r="15" spans="1:3" x14ac:dyDescent="0.75">
      <c r="A15" t="s">
        <v>11</v>
      </c>
      <c r="B15" t="s">
        <v>61</v>
      </c>
      <c r="C15" t="str">
        <f t="shared" si="0"/>
        <v>The Last Jedi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23</v>
      </c>
      <c r="B18" t="s">
        <v>62</v>
      </c>
      <c r="C18" t="str">
        <f t="shared" si="0"/>
        <v>King Goffrey</v>
      </c>
    </row>
    <row r="19" spans="1:3" x14ac:dyDescent="0.75">
      <c r="A19" t="s">
        <v>3</v>
      </c>
      <c r="B19" t="s">
        <v>63</v>
      </c>
      <c r="C19" t="str">
        <f t="shared" si="0"/>
        <v>Team Quintanilla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6</v>
      </c>
      <c r="B22" t="s">
        <v>64</v>
      </c>
      <c r="C22" t="str">
        <f t="shared" si="0"/>
        <v>Team Binder</v>
      </c>
    </row>
    <row r="23" spans="1:3" x14ac:dyDescent="0.75">
      <c r="A23" t="s">
        <v>28</v>
      </c>
      <c r="B23" t="s">
        <v>65</v>
      </c>
      <c r="C23" t="str">
        <f t="shared" si="0"/>
        <v>5 INT 7-8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060F-9DC5-4A89-A841-9F0864C15D30}">
  <sheetPr codeName="Sheet11"/>
  <dimension ref="A1:C23"/>
  <sheetViews>
    <sheetView zoomScale="70" zoomScaleNormal="70" workbookViewId="0">
      <selection activeCell="C1" sqref="C1:C1048576"/>
    </sheetView>
  </sheetViews>
  <sheetFormatPr defaultRowHeight="14.75" x14ac:dyDescent="0.75"/>
  <cols>
    <col min="1" max="1" width="21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</v>
      </c>
      <c r="B2" t="s">
        <v>66</v>
      </c>
      <c r="C2" t="str">
        <f t="shared" ref="C2:C23" si="0">IF(A2="","",IF(MID(A2,1,FIND(" ", A2,1)-1)="Matchup","",IF(A3&lt;&gt;"",A3,IF(MID(A1,1,FIND(" ", A1,1)-1)&lt;&gt;"Matchup",A1))))</f>
        <v>Team No Trades</v>
      </c>
    </row>
    <row r="3" spans="1:3" x14ac:dyDescent="0.75">
      <c r="A3" t="s">
        <v>18</v>
      </c>
      <c r="B3" t="s">
        <v>67</v>
      </c>
      <c r="C3" t="str">
        <f t="shared" si="0"/>
        <v>Octobers Very Own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6</v>
      </c>
      <c r="B6" t="s">
        <v>68</v>
      </c>
      <c r="C6" t="str">
        <f t="shared" si="0"/>
        <v>King Goffrey</v>
      </c>
    </row>
    <row r="7" spans="1:3" x14ac:dyDescent="0.75">
      <c r="A7" t="s">
        <v>3</v>
      </c>
      <c r="B7" t="s">
        <v>69</v>
      </c>
      <c r="C7" t="str">
        <f t="shared" si="0"/>
        <v>5 INT 7-8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70</v>
      </c>
      <c r="C10" t="str">
        <f t="shared" si="0"/>
        <v>The Last Jedi</v>
      </c>
    </row>
    <row r="11" spans="1:3" x14ac:dyDescent="0.75">
      <c r="A11" t="s">
        <v>26</v>
      </c>
      <c r="B11" t="s">
        <v>71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21</v>
      </c>
      <c r="B14" t="s">
        <v>72</v>
      </c>
      <c r="C14" t="str">
        <f t="shared" si="0"/>
        <v>Queen B</v>
      </c>
    </row>
    <row r="15" spans="1:3" x14ac:dyDescent="0.75">
      <c r="A15" t="s">
        <v>8</v>
      </c>
      <c r="B15" t="s">
        <v>73</v>
      </c>
      <c r="C15" t="str">
        <f t="shared" si="0"/>
        <v>Team capt queef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28</v>
      </c>
      <c r="B18" t="s">
        <v>74</v>
      </c>
      <c r="C18" t="str">
        <f t="shared" si="0"/>
        <v>Team Ratliff</v>
      </c>
    </row>
    <row r="19" spans="1:3" x14ac:dyDescent="0.75">
      <c r="A19" t="s">
        <v>11</v>
      </c>
      <c r="B19" t="s">
        <v>75</v>
      </c>
      <c r="C19" t="str">
        <f t="shared" si="0"/>
        <v>Team Binder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13</v>
      </c>
      <c r="B22" t="s">
        <v>76</v>
      </c>
      <c r="C22" t="str">
        <f t="shared" si="0"/>
        <v>Team Quintanilla</v>
      </c>
    </row>
    <row r="23" spans="1:3" x14ac:dyDescent="0.75">
      <c r="A23" t="s">
        <v>23</v>
      </c>
      <c r="B23" t="s">
        <v>77</v>
      </c>
      <c r="C23" t="str">
        <f t="shared" si="0"/>
        <v>Pitts Likes Dicks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44CE-EF3B-494B-9E99-C0B970ACEF68}">
  <sheetPr codeName="Sheet18"/>
  <dimension ref="A1:C23"/>
  <sheetViews>
    <sheetView workbookViewId="0">
      <selection activeCell="C1" sqref="C1:C1048576"/>
    </sheetView>
  </sheetViews>
  <sheetFormatPr defaultRowHeight="14.75" x14ac:dyDescent="0.75"/>
  <cols>
    <col min="1" max="1" width="22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150</v>
      </c>
      <c r="C2" t="str">
        <f t="shared" ref="C2:C23" si="0">IF(A2="","",IF(MID(A2,1,FIND(" ", A2,1)-1)="Matchup","",IF(A3&lt;&gt;"",A3,IF(MID(A1,1,FIND(" ", A1,1)-1)&lt;&gt;"Matchup",A1))))</f>
        <v>Team Ratliff</v>
      </c>
    </row>
    <row r="3" spans="1:3" x14ac:dyDescent="0.75">
      <c r="A3" t="s">
        <v>11</v>
      </c>
      <c r="B3" t="s">
        <v>205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16</v>
      </c>
      <c r="B6" t="s">
        <v>206</v>
      </c>
      <c r="C6" t="str">
        <f t="shared" si="0"/>
        <v>Pitts Likes Dicks</v>
      </c>
    </row>
    <row r="7" spans="1:3" x14ac:dyDescent="0.75">
      <c r="A7" t="s">
        <v>13</v>
      </c>
      <c r="B7" t="s">
        <v>207</v>
      </c>
      <c r="C7" t="str">
        <f t="shared" si="0"/>
        <v>The Dictator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6</v>
      </c>
      <c r="B10" t="s">
        <v>208</v>
      </c>
      <c r="C10" t="str">
        <f t="shared" si="0"/>
        <v>King Goffrey</v>
      </c>
    </row>
    <row r="11" spans="1:3" x14ac:dyDescent="0.75">
      <c r="A11" t="s">
        <v>3</v>
      </c>
      <c r="B11" t="s">
        <v>83</v>
      </c>
      <c r="C11" t="str">
        <f t="shared" si="0"/>
        <v>5 INT 7-8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209</v>
      </c>
      <c r="C14" t="str">
        <f t="shared" si="0"/>
        <v>Team Binder</v>
      </c>
    </row>
    <row r="15" spans="1:3" x14ac:dyDescent="0.75">
      <c r="A15" t="s">
        <v>28</v>
      </c>
      <c r="B15" t="s">
        <v>210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21</v>
      </c>
      <c r="B18" t="s">
        <v>211</v>
      </c>
      <c r="C18" t="str">
        <f t="shared" si="0"/>
        <v>Octobers Very Own</v>
      </c>
    </row>
    <row r="19" spans="1:3" x14ac:dyDescent="0.75">
      <c r="A19" t="s">
        <v>1</v>
      </c>
      <c r="B19" t="s">
        <v>212</v>
      </c>
      <c r="C19" t="str">
        <f t="shared" si="0"/>
        <v>Team capt queef</v>
      </c>
    </row>
    <row r="20" spans="1:3" x14ac:dyDescent="0.75">
      <c r="C20" t="str">
        <f t="shared" si="0"/>
        <v/>
      </c>
    </row>
    <row r="21" spans="1:3" x14ac:dyDescent="0.75">
      <c r="C21" t="str">
        <f t="shared" si="0"/>
        <v/>
      </c>
    </row>
    <row r="22" spans="1:3" x14ac:dyDescent="0.75">
      <c r="C22" t="str">
        <f t="shared" si="0"/>
        <v/>
      </c>
    </row>
    <row r="23" spans="1:3" x14ac:dyDescent="0.75">
      <c r="C23" t="str">
        <f t="shared" si="0"/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36D-FD1B-4537-B526-00AA36D6C78C}">
  <sheetPr codeName="Sheet19"/>
  <dimension ref="A1:C23"/>
  <sheetViews>
    <sheetView workbookViewId="0">
      <selection activeCell="C1" sqref="C1:C1048576"/>
    </sheetView>
  </sheetViews>
  <sheetFormatPr defaultRowHeight="14.75" x14ac:dyDescent="0.75"/>
  <cols>
    <col min="1" max="1" width="16.7265625" customWidth="1"/>
    <col min="2" max="2" width="9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18</v>
      </c>
      <c r="B2" t="s">
        <v>76</v>
      </c>
      <c r="C2" t="str">
        <f t="shared" ref="C2:C23" si="0">IF(A2="","",IF(MID(A2,1,FIND(" ", A2,1)-1)="Matchup","",IF(A3&lt;&gt;"",A3,IF(MID(A1,1,FIND(" ", A1,1)-1)&lt;&gt;"Matchup",A1))))</f>
        <v>The Last Jedi</v>
      </c>
    </row>
    <row r="3" spans="1:3" x14ac:dyDescent="0.75">
      <c r="A3" t="s">
        <v>26</v>
      </c>
      <c r="B3" t="s">
        <v>213</v>
      </c>
      <c r="C3" t="str">
        <f t="shared" si="0"/>
        <v>Team No Trades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13</v>
      </c>
      <c r="B6" t="s">
        <v>74</v>
      </c>
      <c r="C6" t="str">
        <f t="shared" si="0"/>
        <v>Team Quintanilla</v>
      </c>
    </row>
    <row r="7" spans="1:3" x14ac:dyDescent="0.75">
      <c r="A7" t="s">
        <v>23</v>
      </c>
      <c r="B7" t="s">
        <v>214</v>
      </c>
      <c r="C7" t="str">
        <f t="shared" si="0"/>
        <v>Pitts Likes Dicks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215</v>
      </c>
      <c r="C10" t="str">
        <f t="shared" si="0"/>
        <v>Team Ratliff</v>
      </c>
    </row>
    <row r="11" spans="1:3" x14ac:dyDescent="0.75">
      <c r="A11" t="s">
        <v>11</v>
      </c>
      <c r="B11" t="s">
        <v>216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8</v>
      </c>
      <c r="B14" t="s">
        <v>217</v>
      </c>
      <c r="C14" t="str">
        <f t="shared" si="0"/>
        <v>5 INT 7-8</v>
      </c>
    </row>
    <row r="15" spans="1:3" x14ac:dyDescent="0.75">
      <c r="A15" t="s">
        <v>6</v>
      </c>
      <c r="B15" t="s">
        <v>84</v>
      </c>
      <c r="C15" t="str">
        <f t="shared" si="0"/>
        <v>Queen B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1</v>
      </c>
      <c r="B18" t="s">
        <v>218</v>
      </c>
      <c r="C18" t="str">
        <f t="shared" si="0"/>
        <v>King Goffrey</v>
      </c>
    </row>
    <row r="19" spans="1:3" x14ac:dyDescent="0.75">
      <c r="A19" t="s">
        <v>3</v>
      </c>
      <c r="B19" t="s">
        <v>206</v>
      </c>
      <c r="C19" t="str">
        <f t="shared" si="0"/>
        <v>Octobers Very Own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219</v>
      </c>
      <c r="C22" t="str">
        <f t="shared" si="0"/>
        <v>Team Binder</v>
      </c>
    </row>
    <row r="23" spans="1:3" x14ac:dyDescent="0.75">
      <c r="A23" t="s">
        <v>28</v>
      </c>
      <c r="B23" t="s">
        <v>31</v>
      </c>
      <c r="C23" t="str">
        <f t="shared" si="0"/>
        <v>Team capt queef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21DFF-3AF6-4424-9A66-2DCD8FE457F7}">
  <sheetPr codeName="Sheet20"/>
  <dimension ref="A1:C23"/>
  <sheetViews>
    <sheetView workbookViewId="0">
      <selection activeCell="C1" sqref="C1:C1048576"/>
    </sheetView>
  </sheetViews>
  <sheetFormatPr defaultRowHeight="14.75" x14ac:dyDescent="0.75"/>
  <cols>
    <col min="1" max="1" width="17.7265625" customWidth="1"/>
    <col min="2" max="2" width="10.7265625" customWidth="1"/>
    <col min="3" max="3" width="16.54296875" bestFit="1" customWidth="1"/>
  </cols>
  <sheetData>
    <row r="1" spans="1:3" x14ac:dyDescent="0.75">
      <c r="A1" t="s">
        <v>0</v>
      </c>
      <c r="C1" t="s">
        <v>176</v>
      </c>
    </row>
    <row r="2" spans="1:3" x14ac:dyDescent="0.75">
      <c r="A2" t="s">
        <v>13</v>
      </c>
      <c r="B2" t="s">
        <v>220</v>
      </c>
      <c r="C2" t="str">
        <f t="shared" ref="C2:C23" si="0">IF(A2="","",IF(MID(A2,1,FIND(" ", A2,1)-1)="Matchup","",IF(A3&lt;&gt;"",A3,IF(MID(A1,1,FIND(" ", A1,1)-1)&lt;&gt;"Matchup",A1))))</f>
        <v>The Last Jedi</v>
      </c>
    </row>
    <row r="3" spans="1:3" x14ac:dyDescent="0.75">
      <c r="A3" t="s">
        <v>26</v>
      </c>
      <c r="B3" t="s">
        <v>154</v>
      </c>
      <c r="C3" t="str">
        <f t="shared" si="0"/>
        <v>Pitts Likes Dicks</v>
      </c>
    </row>
    <row r="4" spans="1:3" x14ac:dyDescent="0.75">
      <c r="C4" t="str">
        <f>IF(A4="","",IF(MID(A4,1,FIND(" ", A4,1)-1)="Matchup","",IF(A5&lt;&gt;"",A5,IF(MID(A3,1,FIND(" ", A3,1)-1)&lt;&gt;"Matchup",A3))))</f>
        <v/>
      </c>
    </row>
    <row r="5" spans="1:3" x14ac:dyDescent="0.75">
      <c r="A5" t="s">
        <v>5</v>
      </c>
      <c r="C5" t="str">
        <f t="shared" si="0"/>
        <v/>
      </c>
    </row>
    <row r="6" spans="1:3" x14ac:dyDescent="0.75">
      <c r="A6" t="s">
        <v>18</v>
      </c>
      <c r="B6" t="s">
        <v>67</v>
      </c>
      <c r="C6" t="str">
        <f t="shared" si="0"/>
        <v>Team Quintanilla</v>
      </c>
    </row>
    <row r="7" spans="1:3" x14ac:dyDescent="0.75">
      <c r="A7" t="s">
        <v>23</v>
      </c>
      <c r="B7" t="s">
        <v>34</v>
      </c>
      <c r="C7" t="str">
        <f t="shared" si="0"/>
        <v>Team No Trades</v>
      </c>
    </row>
    <row r="8" spans="1:3" x14ac:dyDescent="0.75">
      <c r="C8" t="str">
        <f t="shared" si="0"/>
        <v/>
      </c>
    </row>
    <row r="9" spans="1:3" x14ac:dyDescent="0.75">
      <c r="A9" t="s">
        <v>10</v>
      </c>
      <c r="C9" t="str">
        <f t="shared" si="0"/>
        <v/>
      </c>
    </row>
    <row r="10" spans="1:3" x14ac:dyDescent="0.75">
      <c r="A10" t="s">
        <v>16</v>
      </c>
      <c r="B10" t="s">
        <v>221</v>
      </c>
      <c r="C10" t="str">
        <f t="shared" si="0"/>
        <v>Team Ratliff</v>
      </c>
    </row>
    <row r="11" spans="1:3" x14ac:dyDescent="0.75">
      <c r="A11" t="s">
        <v>11</v>
      </c>
      <c r="B11" t="s">
        <v>156</v>
      </c>
      <c r="C11" t="str">
        <f t="shared" si="0"/>
        <v>The Dictator</v>
      </c>
    </row>
    <row r="12" spans="1:3" x14ac:dyDescent="0.75">
      <c r="C12" t="str">
        <f t="shared" si="0"/>
        <v/>
      </c>
    </row>
    <row r="13" spans="1:3" x14ac:dyDescent="0.75">
      <c r="A13" t="s">
        <v>15</v>
      </c>
      <c r="C13" t="str">
        <f t="shared" si="0"/>
        <v/>
      </c>
    </row>
    <row r="14" spans="1:3" x14ac:dyDescent="0.75">
      <c r="A14" t="s">
        <v>1</v>
      </c>
      <c r="B14" t="s">
        <v>222</v>
      </c>
      <c r="C14" t="str">
        <f t="shared" si="0"/>
        <v>Queen B</v>
      </c>
    </row>
    <row r="15" spans="1:3" x14ac:dyDescent="0.75">
      <c r="A15" t="s">
        <v>8</v>
      </c>
      <c r="B15" t="s">
        <v>223</v>
      </c>
      <c r="C15" t="str">
        <f t="shared" si="0"/>
        <v>Octobers Very Own</v>
      </c>
    </row>
    <row r="16" spans="1:3" x14ac:dyDescent="0.75">
      <c r="C16" t="str">
        <f t="shared" si="0"/>
        <v/>
      </c>
    </row>
    <row r="17" spans="1:3" x14ac:dyDescent="0.75">
      <c r="A17" t="s">
        <v>20</v>
      </c>
      <c r="C17" t="str">
        <f t="shared" si="0"/>
        <v/>
      </c>
    </row>
    <row r="18" spans="1:3" x14ac:dyDescent="0.75">
      <c r="A18" t="s">
        <v>28</v>
      </c>
      <c r="B18" t="s">
        <v>224</v>
      </c>
      <c r="C18" t="str">
        <f t="shared" si="0"/>
        <v>5 INT 7-8</v>
      </c>
    </row>
    <row r="19" spans="1:3" x14ac:dyDescent="0.75">
      <c r="A19" t="s">
        <v>6</v>
      </c>
      <c r="B19" t="s">
        <v>225</v>
      </c>
      <c r="C19" t="str">
        <f t="shared" si="0"/>
        <v>Team Binder</v>
      </c>
    </row>
    <row r="20" spans="1:3" x14ac:dyDescent="0.75">
      <c r="C20" t="str">
        <f t="shared" si="0"/>
        <v/>
      </c>
    </row>
    <row r="21" spans="1:3" x14ac:dyDescent="0.75">
      <c r="A21" t="s">
        <v>25</v>
      </c>
      <c r="C21" t="str">
        <f t="shared" si="0"/>
        <v/>
      </c>
    </row>
    <row r="22" spans="1:3" x14ac:dyDescent="0.75">
      <c r="A22" t="s">
        <v>21</v>
      </c>
      <c r="B22" t="s">
        <v>226</v>
      </c>
      <c r="C22" t="str">
        <f t="shared" si="0"/>
        <v>King Goffrey</v>
      </c>
    </row>
    <row r="23" spans="1:3" x14ac:dyDescent="0.75">
      <c r="A23" t="s">
        <v>3</v>
      </c>
      <c r="B23" t="s">
        <v>227</v>
      </c>
      <c r="C23" t="str">
        <f t="shared" si="0"/>
        <v>Team capt queef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Key</vt:lpstr>
      <vt:lpstr>Main</vt:lpstr>
      <vt:lpstr>Points For</vt:lpstr>
      <vt:lpstr>Schedule Optimizer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2018-02-02T20:08:36Z</dcterms:created>
  <dcterms:modified xsi:type="dcterms:W3CDTF">2018-07-01T13:54:36Z</dcterms:modified>
</cp:coreProperties>
</file>