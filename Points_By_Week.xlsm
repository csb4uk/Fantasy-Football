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36\projects\ESPN_Data\Master_Sheets\"/>
    </mc:Choice>
  </mc:AlternateContent>
  <xr:revisionPtr revIDLastSave="0" documentId="12_ncr:500000_{AFDB4546-0366-4262-8CD9-C644578DD5D9}" xr6:coauthVersionLast="31" xr6:coauthVersionMax="31" xr10:uidLastSave="{00000000-0000-0000-0000-000000000000}"/>
  <bookViews>
    <workbookView xWindow="240" yWindow="15" windowWidth="16095" windowHeight="9660" tabRatio="787" activeTab="1" xr2:uid="{00000000-000D-0000-FFFF-FFFF00000000}"/>
  </bookViews>
  <sheets>
    <sheet name="Key" sheetId="17" r:id="rId1"/>
    <sheet name="Main" sheetId="16" r:id="rId2"/>
    <sheet name="Points For" sheetId="21" r:id="rId3"/>
    <sheet name="Schedule Optimizer" sheetId="22" r:id="rId4"/>
    <sheet name="Week 1" sheetId="1" r:id="rId5"/>
    <sheet name="Week 2" sheetId="8" r:id="rId6"/>
    <sheet name="Week 3" sheetId="9" r:id="rId7"/>
    <sheet name="Week 4" sheetId="10" r:id="rId8"/>
    <sheet name="Week 5" sheetId="11" r:id="rId9"/>
    <sheet name="Week 6" sheetId="12" r:id="rId10"/>
    <sheet name="Week 7" sheetId="13" r:id="rId11"/>
    <sheet name="Week 8" sheetId="14" r:id="rId12"/>
    <sheet name="Week 9" sheetId="15" r:id="rId13"/>
    <sheet name="Week 10" sheetId="3" r:id="rId14"/>
    <sheet name="Week 11" sheetId="4" r:id="rId15"/>
    <sheet name="Week 12" sheetId="5" r:id="rId16"/>
    <sheet name="Week 13" sheetId="6" r:id="rId17"/>
    <sheet name="Week 14" sheetId="18" r:id="rId18"/>
    <sheet name="Week 15" sheetId="19" r:id="rId19"/>
    <sheet name="Week 16" sheetId="20" r:id="rId20"/>
  </sheets>
  <calcPr calcId="162913"/>
</workbook>
</file>

<file path=xl/calcChain.xml><?xml version="1.0" encoding="utf-8"?>
<calcChain xmlns="http://schemas.openxmlformats.org/spreadsheetml/2006/main">
  <c r="C23" i="20" l="1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" i="20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G7" i="22"/>
  <c r="BK12" i="22"/>
  <c r="P4" i="21"/>
  <c r="P7" i="21"/>
  <c r="K3" i="21"/>
  <c r="N10" i="21"/>
  <c r="D10" i="21"/>
  <c r="J13" i="21"/>
  <c r="BO12" i="22"/>
  <c r="BK14" i="22"/>
  <c r="P6" i="16"/>
  <c r="R8" i="21"/>
  <c r="R6" i="21"/>
  <c r="H6" i="21"/>
  <c r="I13" i="21"/>
  <c r="BK3" i="22"/>
  <c r="M10" i="21"/>
  <c r="M4" i="21"/>
  <c r="L8" i="21"/>
  <c r="E12" i="21"/>
  <c r="M11" i="21"/>
  <c r="H3" i="21"/>
  <c r="I11" i="21"/>
  <c r="BO3" i="22"/>
  <c r="K14" i="21"/>
  <c r="C4" i="21"/>
  <c r="BG10" i="22"/>
  <c r="BK9" i="22"/>
  <c r="D11" i="21"/>
  <c r="Q7" i="16"/>
  <c r="Q11" i="21"/>
  <c r="J11" i="21"/>
  <c r="M12" i="21"/>
  <c r="Q10" i="16"/>
  <c r="O8" i="21"/>
  <c r="D7" i="21"/>
  <c r="Q6" i="16"/>
  <c r="O9" i="21"/>
  <c r="L3" i="21"/>
  <c r="N12" i="21"/>
  <c r="I4" i="21"/>
  <c r="Q3" i="16"/>
  <c r="K4" i="21"/>
  <c r="I3" i="21"/>
  <c r="L5" i="21"/>
  <c r="O4" i="21"/>
  <c r="M9" i="21"/>
  <c r="Q5" i="21"/>
  <c r="C14" i="21"/>
  <c r="BO9" i="22"/>
  <c r="P11" i="16"/>
  <c r="N11" i="21"/>
  <c r="P9" i="21"/>
  <c r="Q7" i="21"/>
  <c r="P12" i="16"/>
  <c r="P10" i="21"/>
  <c r="R3" i="16"/>
  <c r="P14" i="21"/>
  <c r="G8" i="21"/>
  <c r="C3" i="21"/>
  <c r="O7" i="21"/>
  <c r="D4" i="21"/>
  <c r="BO7" i="22"/>
  <c r="K11" i="21"/>
  <c r="F3" i="21"/>
  <c r="D3" i="21"/>
  <c r="Q2" i="16"/>
  <c r="Q3" i="21"/>
  <c r="P8" i="21"/>
  <c r="D5" i="21"/>
  <c r="G10" i="21"/>
  <c r="K5" i="21"/>
  <c r="Q8" i="21"/>
  <c r="O5" i="21"/>
  <c r="F13" i="21"/>
  <c r="O14" i="21"/>
  <c r="D13" i="21"/>
  <c r="E8" i="21"/>
  <c r="F8" i="21"/>
  <c r="BK8" i="22"/>
  <c r="R10" i="16"/>
  <c r="C7" i="21"/>
  <c r="K10" i="21"/>
  <c r="C13" i="21"/>
  <c r="H4" i="21"/>
  <c r="J4" i="21"/>
  <c r="E5" i="21"/>
  <c r="BO6" i="22"/>
  <c r="H7" i="21"/>
  <c r="N5" i="21"/>
  <c r="E3" i="21"/>
  <c r="BK7" i="22"/>
  <c r="R13" i="16"/>
  <c r="C10" i="21"/>
  <c r="H10" i="21"/>
  <c r="J3" i="21"/>
  <c r="BO10" i="22"/>
  <c r="R2" i="16"/>
  <c r="BO14" i="22"/>
  <c r="BG4" i="22"/>
  <c r="R14" i="21"/>
  <c r="R4" i="16"/>
  <c r="G11" i="21"/>
  <c r="E9" i="21"/>
  <c r="C8" i="21"/>
  <c r="J8" i="21"/>
  <c r="E6" i="21"/>
  <c r="Q12" i="16"/>
  <c r="D6" i="21"/>
  <c r="Q4" i="16"/>
  <c r="P6" i="21"/>
  <c r="O11" i="21"/>
  <c r="BG9" i="22"/>
  <c r="BO13" i="22"/>
  <c r="I14" i="21"/>
  <c r="J7" i="21"/>
  <c r="Q13" i="21"/>
  <c r="K9" i="21"/>
  <c r="BG11" i="22"/>
  <c r="E10" i="21"/>
  <c r="M14" i="21"/>
  <c r="Q5" i="16"/>
  <c r="L10" i="21"/>
  <c r="R12" i="21"/>
  <c r="C6" i="21"/>
  <c r="P3" i="16"/>
  <c r="L14" i="21"/>
  <c r="P10" i="16"/>
  <c r="K7" i="21"/>
  <c r="Q11" i="16"/>
  <c r="I7" i="21"/>
  <c r="Q10" i="21"/>
  <c r="H14" i="21"/>
  <c r="L9" i="21"/>
  <c r="J12" i="21"/>
  <c r="N3" i="21"/>
  <c r="K12" i="21"/>
  <c r="J5" i="21"/>
  <c r="P11" i="21"/>
  <c r="M7" i="21"/>
  <c r="BK5" i="22"/>
  <c r="D14" i="21"/>
  <c r="Q6" i="21"/>
  <c r="R12" i="16"/>
  <c r="I5" i="21"/>
  <c r="H12" i="21"/>
  <c r="P3" i="21"/>
  <c r="N7" i="21"/>
  <c r="J6" i="21"/>
  <c r="L4" i="21"/>
  <c r="R7" i="16"/>
  <c r="J10" i="21"/>
  <c r="L13" i="21"/>
  <c r="Q12" i="21"/>
  <c r="Q8" i="16"/>
  <c r="F5" i="21"/>
  <c r="D9" i="21"/>
  <c r="BG8" i="22"/>
  <c r="BK6" i="22"/>
  <c r="K13" i="21"/>
  <c r="P12" i="21"/>
  <c r="R8" i="16"/>
  <c r="M5" i="21"/>
  <c r="C12" i="21"/>
  <c r="F7" i="21"/>
  <c r="J9" i="21"/>
  <c r="O3" i="21"/>
  <c r="BG5" i="22"/>
  <c r="BO4" i="22"/>
  <c r="R5" i="21"/>
  <c r="I8" i="21"/>
  <c r="O10" i="21"/>
  <c r="N4" i="21"/>
  <c r="P13" i="21"/>
  <c r="G9" i="21"/>
  <c r="P13" i="16"/>
  <c r="P4" i="16"/>
  <c r="N14" i="21"/>
  <c r="BK11" i="22"/>
  <c r="F6" i="21"/>
  <c r="F10" i="21"/>
  <c r="N6" i="21"/>
  <c r="L11" i="21"/>
  <c r="R9" i="21"/>
  <c r="I6" i="21"/>
  <c r="BG6" i="22"/>
  <c r="M3" i="21"/>
  <c r="BK10" i="22"/>
  <c r="D12" i="21"/>
  <c r="D8" i="21"/>
  <c r="O13" i="21"/>
  <c r="H5" i="21"/>
  <c r="C9" i="21"/>
  <c r="G5" i="21"/>
  <c r="BO8" i="22"/>
  <c r="C5" i="21"/>
  <c r="M13" i="21"/>
  <c r="R11" i="21"/>
  <c r="P5" i="16"/>
  <c r="R9" i="16"/>
  <c r="O6" i="21"/>
  <c r="E11" i="21"/>
  <c r="R13" i="21"/>
  <c r="N8" i="21"/>
  <c r="P2" i="16"/>
  <c r="G13" i="21"/>
  <c r="Q9" i="21"/>
  <c r="P9" i="16"/>
  <c r="E4" i="21"/>
  <c r="BG14" i="22"/>
  <c r="R4" i="21"/>
  <c r="Q9" i="16"/>
  <c r="F11" i="21"/>
  <c r="Q4" i="21"/>
  <c r="Q14" i="21"/>
  <c r="G14" i="21"/>
  <c r="H13" i="21"/>
  <c r="BK13" i="22"/>
  <c r="R6" i="16"/>
  <c r="BG3" i="22"/>
  <c r="G4" i="21"/>
  <c r="G6" i="21"/>
  <c r="I9" i="21"/>
  <c r="BO5" i="22"/>
  <c r="F4" i="21"/>
  <c r="K6" i="21"/>
  <c r="F14" i="21"/>
  <c r="H9" i="21"/>
  <c r="L7" i="21"/>
  <c r="R3" i="21"/>
  <c r="BK4" i="22"/>
  <c r="R5" i="16"/>
  <c r="BG13" i="22"/>
  <c r="Q13" i="16"/>
  <c r="E14" i="21"/>
  <c r="P5" i="21"/>
  <c r="O12" i="21"/>
  <c r="R11" i="16"/>
  <c r="M8" i="21"/>
  <c r="N13" i="21"/>
  <c r="BO11" i="22"/>
  <c r="I10" i="21"/>
  <c r="N9" i="21"/>
  <c r="K8" i="21"/>
  <c r="P8" i="16"/>
  <c r="R10" i="21"/>
  <c r="R7" i="21"/>
  <c r="G7" i="21"/>
  <c r="F9" i="21"/>
  <c r="F12" i="21"/>
  <c r="I12" i="21"/>
  <c r="L6" i="21"/>
  <c r="H11" i="21"/>
  <c r="E13" i="21"/>
  <c r="E7" i="21"/>
  <c r="M6" i="21"/>
  <c r="L12" i="21"/>
  <c r="J14" i="21"/>
  <c r="BG12" i="22"/>
  <c r="G12" i="21"/>
  <c r="P7" i="16"/>
  <c r="C11" i="21"/>
  <c r="G3" i="21"/>
  <c r="H8" i="21"/>
  <c r="Y7" i="21" l="1"/>
  <c r="T7" i="21"/>
  <c r="S7" i="21"/>
  <c r="BH5" i="22"/>
  <c r="BE10" i="22"/>
  <c r="BE12" i="22"/>
  <c r="BE5" i="22"/>
  <c r="BE6" i="22"/>
  <c r="BE3" i="22"/>
  <c r="BE13" i="22"/>
  <c r="BE14" i="22"/>
  <c r="BE8" i="22"/>
  <c r="BE7" i="22"/>
  <c r="BE4" i="22"/>
  <c r="BE11" i="22"/>
  <c r="BE9" i="22"/>
  <c r="BL5" i="22"/>
  <c r="S4" i="21"/>
  <c r="T4" i="21"/>
  <c r="Y4" i="21"/>
  <c r="Y12" i="21"/>
  <c r="S12" i="21"/>
  <c r="T12" i="21"/>
  <c r="BH3" i="22"/>
  <c r="BL13" i="22"/>
  <c r="BL3" i="22"/>
  <c r="BP12" i="22"/>
  <c r="BA4" i="22"/>
  <c r="BA14" i="22"/>
  <c r="BA7" i="22"/>
  <c r="BA12" i="22"/>
  <c r="BA11" i="22"/>
  <c r="BA8" i="22"/>
  <c r="BA3" i="22"/>
  <c r="BA6" i="22"/>
  <c r="BA5" i="22"/>
  <c r="BA13" i="22"/>
  <c r="BA9" i="22"/>
  <c r="BA10" i="22"/>
  <c r="W4" i="21"/>
  <c r="V4" i="21"/>
  <c r="V12" i="21"/>
  <c r="W12" i="21"/>
  <c r="BH11" i="22"/>
  <c r="BL7" i="22"/>
  <c r="BL11" i="22"/>
  <c r="BP13" i="22"/>
  <c r="BL4" i="22"/>
  <c r="T11" i="21"/>
  <c r="S11" i="21"/>
  <c r="Y11" i="21"/>
  <c r="W3" i="21"/>
  <c r="V3" i="21"/>
  <c r="BL10" i="22"/>
  <c r="U5" i="22"/>
  <c r="U10" i="22"/>
  <c r="U7" i="22"/>
  <c r="U11" i="22"/>
  <c r="U4" i="22"/>
  <c r="U3" i="22"/>
  <c r="U9" i="22"/>
  <c r="U14" i="22"/>
  <c r="U8" i="22"/>
  <c r="U13" i="22"/>
  <c r="U6" i="22"/>
  <c r="U12" i="22"/>
  <c r="BP5" i="22"/>
  <c r="Y3" i="21"/>
  <c r="T3" i="21"/>
  <c r="S3" i="21"/>
  <c r="W5" i="21"/>
  <c r="V5" i="21"/>
  <c r="V13" i="21"/>
  <c r="W13" i="21"/>
  <c r="W9" i="21"/>
  <c r="V9" i="21"/>
  <c r="BH14" i="22"/>
  <c r="BH9" i="22"/>
  <c r="BL12" i="22"/>
  <c r="BP14" i="22"/>
  <c r="BP10" i="22"/>
  <c r="BL9" i="22"/>
  <c r="V7" i="21"/>
  <c r="W7" i="21"/>
  <c r="W11" i="21"/>
  <c r="V11" i="21"/>
  <c r="BP8" i="22"/>
  <c r="T13" i="21"/>
  <c r="S13" i="21"/>
  <c r="Y13" i="21"/>
  <c r="BP9" i="22"/>
  <c r="T10" i="21"/>
  <c r="S10" i="21"/>
  <c r="Y10" i="21"/>
  <c r="AC4" i="22"/>
  <c r="AC8" i="22"/>
  <c r="AC5" i="22"/>
  <c r="AC12" i="22"/>
  <c r="AC3" i="22"/>
  <c r="AC14" i="22"/>
  <c r="AC9" i="22"/>
  <c r="AC6" i="22"/>
  <c r="AC13" i="22"/>
  <c r="AC11" i="22"/>
  <c r="AC10" i="22"/>
  <c r="AC7" i="22"/>
  <c r="AG6" i="22"/>
  <c r="AG14" i="22"/>
  <c r="AG5" i="22"/>
  <c r="AG11" i="22"/>
  <c r="AG7" i="22"/>
  <c r="AG3" i="22"/>
  <c r="AG4" i="22"/>
  <c r="AG13" i="22"/>
  <c r="AG8" i="22"/>
  <c r="AG9" i="22"/>
  <c r="AG10" i="22"/>
  <c r="AG12" i="22"/>
  <c r="AK10" i="22"/>
  <c r="AK13" i="22"/>
  <c r="AK5" i="22"/>
  <c r="AK14" i="22"/>
  <c r="AK9" i="22"/>
  <c r="AK12" i="22"/>
  <c r="AK6" i="22"/>
  <c r="AK7" i="22"/>
  <c r="AK11" i="22"/>
  <c r="AK3" i="22"/>
  <c r="AK8" i="22"/>
  <c r="AK4" i="22"/>
  <c r="I4" i="22"/>
  <c r="I11" i="22"/>
  <c r="T6" i="21"/>
  <c r="I12" i="22"/>
  <c r="I9" i="22"/>
  <c r="S6" i="21"/>
  <c r="I5" i="22"/>
  <c r="I10" i="22"/>
  <c r="I14" i="22"/>
  <c r="I13" i="22"/>
  <c r="I3" i="22"/>
  <c r="Y6" i="21"/>
  <c r="I6" i="22"/>
  <c r="I7" i="22"/>
  <c r="I8" i="22"/>
  <c r="S14" i="21"/>
  <c r="Y14" i="21"/>
  <c r="T14" i="21"/>
  <c r="M11" i="22"/>
  <c r="M14" i="22"/>
  <c r="M3" i="22"/>
  <c r="M9" i="22"/>
  <c r="M8" i="22"/>
  <c r="M7" i="22"/>
  <c r="M4" i="22"/>
  <c r="M13" i="22"/>
  <c r="M5" i="22"/>
  <c r="M10" i="22"/>
  <c r="M6" i="22"/>
  <c r="M12" i="22"/>
  <c r="Q11" i="22"/>
  <c r="Q4" i="22"/>
  <c r="Q12" i="22"/>
  <c r="Q8" i="22"/>
  <c r="Q9" i="22"/>
  <c r="Q10" i="22"/>
  <c r="Q13" i="22"/>
  <c r="Q3" i="22"/>
  <c r="Q5" i="22"/>
  <c r="Q7" i="22"/>
  <c r="Q14" i="22"/>
  <c r="Q6" i="22"/>
  <c r="BH7" i="22"/>
  <c r="BH4" i="22"/>
  <c r="BL6" i="22"/>
  <c r="BP7" i="22"/>
  <c r="BP3" i="22"/>
  <c r="BP6" i="22"/>
  <c r="BH10" i="22"/>
  <c r="Y8" i="21"/>
  <c r="S8" i="21"/>
  <c r="T8" i="21"/>
  <c r="V8" i="21"/>
  <c r="W8" i="21"/>
  <c r="Y9" i="21"/>
  <c r="T9" i="21"/>
  <c r="S9" i="21"/>
  <c r="Y5" i="21"/>
  <c r="T5" i="21"/>
  <c r="S5" i="21"/>
  <c r="BH6" i="22"/>
  <c r="BH13" i="22"/>
  <c r="BL8" i="22"/>
  <c r="Y4" i="22"/>
  <c r="Y11" i="22"/>
  <c r="Y3" i="22"/>
  <c r="Y13" i="22"/>
  <c r="Y9" i="22"/>
  <c r="Y12" i="22"/>
  <c r="Y14" i="22"/>
  <c r="Y5" i="22"/>
  <c r="Y8" i="22"/>
  <c r="Y6" i="22"/>
  <c r="Y10" i="22"/>
  <c r="Y7" i="22"/>
  <c r="BI10" i="22"/>
  <c r="V6" i="21"/>
  <c r="BI13" i="22"/>
  <c r="BI11" i="22"/>
  <c r="BI4" i="22"/>
  <c r="BI7" i="22"/>
  <c r="BI14" i="22"/>
  <c r="BI12" i="22"/>
  <c r="BI8" i="22"/>
  <c r="BI9" i="22"/>
  <c r="W6" i="21"/>
  <c r="BI3" i="22"/>
  <c r="BI6" i="22"/>
  <c r="BI5" i="22"/>
  <c r="BJ5" i="22" s="1"/>
  <c r="W14" i="21"/>
  <c r="V14" i="21"/>
  <c r="BM4" i="22"/>
  <c r="BM6" i="22"/>
  <c r="BM9" i="22"/>
  <c r="BM8" i="22"/>
  <c r="BN8" i="22" s="1"/>
  <c r="BM14" i="22"/>
  <c r="BM11" i="22"/>
  <c r="BM13" i="22"/>
  <c r="BN13" i="22" s="1"/>
  <c r="BM7" i="22"/>
  <c r="BN7" i="22" s="1"/>
  <c r="BM5" i="22"/>
  <c r="BN5" i="22" s="1"/>
  <c r="BM10" i="22"/>
  <c r="BM3" i="22"/>
  <c r="BM12" i="22"/>
  <c r="BQ9" i="22"/>
  <c r="BQ5" i="22"/>
  <c r="BR5" i="22" s="1"/>
  <c r="BQ4" i="22"/>
  <c r="BQ8" i="22"/>
  <c r="BQ7" i="22"/>
  <c r="BQ11" i="22"/>
  <c r="BQ12" i="22"/>
  <c r="BQ3" i="22"/>
  <c r="BR3" i="22" s="1"/>
  <c r="BQ14" i="22"/>
  <c r="BQ13" i="22"/>
  <c r="BQ10" i="22"/>
  <c r="BR10" i="22" s="1"/>
  <c r="BQ6" i="22"/>
  <c r="AO13" i="22"/>
  <c r="AO3" i="22"/>
  <c r="AO5" i="22"/>
  <c r="AO8" i="22"/>
  <c r="AO11" i="22"/>
  <c r="AO7" i="22"/>
  <c r="AO14" i="22"/>
  <c r="AO10" i="22"/>
  <c r="AO6" i="22"/>
  <c r="AO4" i="22"/>
  <c r="AO9" i="22"/>
  <c r="AO12" i="22"/>
  <c r="AS13" i="22"/>
  <c r="AS10" i="22"/>
  <c r="AS12" i="22"/>
  <c r="AS14" i="22"/>
  <c r="AS7" i="22"/>
  <c r="AS3" i="22"/>
  <c r="AS5" i="22"/>
  <c r="AS11" i="22"/>
  <c r="AS6" i="22"/>
  <c r="AS4" i="22"/>
  <c r="AS8" i="22"/>
  <c r="AS9" i="22"/>
  <c r="W10" i="21"/>
  <c r="V10" i="21"/>
  <c r="AW8" i="22"/>
  <c r="AW4" i="22"/>
  <c r="AW13" i="22"/>
  <c r="AW14" i="22"/>
  <c r="AW12" i="22"/>
  <c r="AW10" i="22"/>
  <c r="AW11" i="22"/>
  <c r="AW3" i="22"/>
  <c r="AW7" i="22"/>
  <c r="AW5" i="22"/>
  <c r="AW9" i="22"/>
  <c r="AW6" i="22"/>
  <c r="BH8" i="22"/>
  <c r="BH12" i="22"/>
  <c r="BL14" i="22"/>
  <c r="BP4" i="22"/>
  <c r="BP11" i="22"/>
  <c r="X13" i="16"/>
  <c r="X6" i="16"/>
  <c r="X8" i="16"/>
  <c r="X10" i="16"/>
  <c r="X7" i="16"/>
  <c r="X3" i="16"/>
  <c r="X5" i="16"/>
  <c r="X9" i="16"/>
  <c r="X4" i="16"/>
  <c r="X2" i="16"/>
  <c r="X11" i="16"/>
  <c r="X12" i="16"/>
  <c r="W2" i="16"/>
  <c r="W13" i="16"/>
  <c r="W6" i="16"/>
  <c r="W8" i="16"/>
  <c r="W10" i="16"/>
  <c r="W7" i="16"/>
  <c r="W3" i="16"/>
  <c r="W11" i="16"/>
  <c r="W5" i="16"/>
  <c r="W9" i="16"/>
  <c r="W4" i="16"/>
  <c r="W12" i="1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C2" i="11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" i="1"/>
  <c r="C3" i="1"/>
  <c r="C4" i="1"/>
  <c r="D13" i="16"/>
  <c r="G8" i="16"/>
  <c r="AM6" i="22"/>
  <c r="M3" i="16"/>
  <c r="O10" i="22"/>
  <c r="G10" i="22"/>
  <c r="W13" i="22"/>
  <c r="S4" i="22"/>
  <c r="O13" i="22"/>
  <c r="AA4" i="22"/>
  <c r="M13" i="16"/>
  <c r="AY9" i="22"/>
  <c r="H3" i="16"/>
  <c r="N7" i="16"/>
  <c r="J3" i="16"/>
  <c r="F4" i="16"/>
  <c r="AQ8" i="22"/>
  <c r="AQ7" i="22"/>
  <c r="AU6" i="22"/>
  <c r="AM10" i="22"/>
  <c r="L12" i="16"/>
  <c r="K14" i="22"/>
  <c r="I8" i="16"/>
  <c r="H9" i="16"/>
  <c r="K7" i="22"/>
  <c r="AU5" i="22"/>
  <c r="O3" i="22"/>
  <c r="AY4" i="22"/>
  <c r="AM14" i="22"/>
  <c r="O10" i="16"/>
  <c r="H7" i="16"/>
  <c r="BC4" i="22"/>
  <c r="AI14" i="22"/>
  <c r="D3" i="16"/>
  <c r="O7" i="16"/>
  <c r="AA11" i="22"/>
  <c r="G4" i="22"/>
  <c r="AA5" i="22"/>
  <c r="AQ6" i="22"/>
  <c r="AU13" i="22"/>
  <c r="I7" i="16"/>
  <c r="N5" i="16"/>
  <c r="G4" i="16"/>
  <c r="AM4" i="22"/>
  <c r="K11" i="16"/>
  <c r="D7" i="16"/>
  <c r="E11" i="16"/>
  <c r="S14" i="22"/>
  <c r="G9" i="22"/>
  <c r="G6" i="22"/>
  <c r="K10" i="16"/>
  <c r="C6" i="16"/>
  <c r="AM3" i="22"/>
  <c r="F12" i="16"/>
  <c r="AI4" i="22"/>
  <c r="AE5" i="22"/>
  <c r="F6" i="16"/>
  <c r="AE9" i="22"/>
  <c r="O8" i="16"/>
  <c r="D8" i="16"/>
  <c r="O12" i="22"/>
  <c r="AQ13" i="22"/>
  <c r="AE14" i="22"/>
  <c r="S10" i="22"/>
  <c r="G12" i="16"/>
  <c r="E6" i="16"/>
  <c r="K5" i="16"/>
  <c r="I4" i="16"/>
  <c r="F7" i="16"/>
  <c r="C13" i="16"/>
  <c r="AY14" i="22"/>
  <c r="H6" i="16"/>
  <c r="AI13" i="22"/>
  <c r="O6" i="16"/>
  <c r="S13" i="22"/>
  <c r="S7" i="22"/>
  <c r="K9" i="22"/>
  <c r="G12" i="22"/>
  <c r="I2" i="16"/>
  <c r="N8" i="16"/>
  <c r="AM13" i="22"/>
  <c r="S12" i="22"/>
  <c r="I11" i="16"/>
  <c r="I13" i="16"/>
  <c r="O9" i="16"/>
  <c r="AI3" i="22"/>
  <c r="O7" i="22"/>
  <c r="L9" i="16"/>
  <c r="H13" i="16"/>
  <c r="K7" i="16"/>
  <c r="G2" i="16"/>
  <c r="M11" i="16"/>
  <c r="C2" i="16"/>
  <c r="D4" i="16"/>
  <c r="K5" i="22"/>
  <c r="E9" i="16"/>
  <c r="S9" i="22"/>
  <c r="N9" i="16"/>
  <c r="D2" i="16"/>
  <c r="K13" i="16"/>
  <c r="I5" i="16"/>
  <c r="K9" i="16"/>
  <c r="M7" i="16"/>
  <c r="K8" i="16"/>
  <c r="AQ5" i="22"/>
  <c r="J6" i="16"/>
  <c r="G3" i="22"/>
  <c r="H2" i="16"/>
  <c r="AM12" i="22"/>
  <c r="F8" i="16"/>
  <c r="K12" i="22"/>
  <c r="G3" i="16"/>
  <c r="AA13" i="22"/>
  <c r="O2" i="16"/>
  <c r="AE13" i="22"/>
  <c r="K2" i="16"/>
  <c r="AI6" i="22"/>
  <c r="I10" i="16"/>
  <c r="AQ12" i="22"/>
  <c r="AI11" i="22"/>
  <c r="S6" i="22"/>
  <c r="AA9" i="22"/>
  <c r="AA12" i="22"/>
  <c r="AM7" i="22"/>
  <c r="H11" i="16"/>
  <c r="D9" i="16"/>
  <c r="N2" i="16"/>
  <c r="K6" i="22"/>
  <c r="J4" i="16"/>
  <c r="L7" i="16"/>
  <c r="J10" i="16"/>
  <c r="O4" i="22"/>
  <c r="D6" i="16"/>
  <c r="O5" i="22"/>
  <c r="L8" i="16"/>
  <c r="E12" i="16"/>
  <c r="K11" i="22"/>
  <c r="O4" i="16"/>
  <c r="L10" i="16"/>
  <c r="G11" i="16"/>
  <c r="AE6" i="22"/>
  <c r="K6" i="16"/>
  <c r="AU8" i="22"/>
  <c r="AY3" i="22"/>
  <c r="AQ4" i="22"/>
  <c r="W11" i="22"/>
  <c r="M9" i="16"/>
  <c r="L11" i="16"/>
  <c r="N11" i="16"/>
  <c r="O11" i="16"/>
  <c r="M5" i="16"/>
  <c r="S5" i="22"/>
  <c r="M8" i="16"/>
  <c r="F3" i="16"/>
  <c r="AU4" i="22"/>
  <c r="J2" i="16"/>
  <c r="AA8" i="22"/>
  <c r="AY10" i="22"/>
  <c r="O3" i="16"/>
  <c r="M6" i="16"/>
  <c r="AU14" i="22"/>
  <c r="AI5" i="22"/>
  <c r="N12" i="16"/>
  <c r="H4" i="16"/>
  <c r="AQ10" i="22"/>
  <c r="N3" i="16"/>
  <c r="M12" i="16"/>
  <c r="W10" i="22"/>
  <c r="J8" i="16"/>
  <c r="N10" i="16"/>
  <c r="N6" i="16"/>
  <c r="E7" i="16"/>
  <c r="S8" i="22"/>
  <c r="E2" i="16"/>
  <c r="AE10" i="22"/>
  <c r="C7" i="16"/>
  <c r="AI8" i="22"/>
  <c r="W9" i="22"/>
  <c r="K3" i="22"/>
  <c r="E13" i="16"/>
  <c r="BC12" i="22"/>
  <c r="G10" i="16"/>
  <c r="W14" i="22"/>
  <c r="I9" i="16"/>
  <c r="E4" i="16"/>
  <c r="BC3" i="22"/>
  <c r="H5" i="16"/>
  <c r="F9" i="16"/>
  <c r="L13" i="16"/>
  <c r="H8" i="16"/>
  <c r="N4" i="16"/>
  <c r="AU11" i="22"/>
  <c r="AQ3" i="22"/>
  <c r="G7" i="16"/>
  <c r="J9" i="16"/>
  <c r="AQ14" i="22"/>
  <c r="AE3" i="22"/>
  <c r="AA6" i="22"/>
  <c r="K4" i="22"/>
  <c r="L3" i="16"/>
  <c r="F2" i="16"/>
  <c r="J12" i="16"/>
  <c r="G13" i="16"/>
  <c r="AI10" i="22"/>
  <c r="AU12" i="22"/>
  <c r="G5" i="16"/>
  <c r="S3" i="22"/>
  <c r="L2" i="16"/>
  <c r="BC8" i="22"/>
  <c r="AE12" i="22"/>
  <c r="F10" i="16"/>
  <c r="AE8" i="22"/>
  <c r="E10" i="16"/>
  <c r="AE11" i="22"/>
  <c r="C11" i="16"/>
  <c r="J11" i="16"/>
  <c r="I12" i="16"/>
  <c r="K4" i="16"/>
  <c r="H10" i="16"/>
  <c r="C4" i="16"/>
  <c r="AQ9" i="22"/>
  <c r="AU10" i="22"/>
  <c r="F13" i="16"/>
  <c r="K12" i="16"/>
  <c r="D10" i="16"/>
  <c r="E8" i="16"/>
  <c r="I6" i="16"/>
  <c r="W7" i="22"/>
  <c r="K13" i="22"/>
  <c r="L6" i="16"/>
  <c r="C9" i="16"/>
  <c r="AY5" i="22"/>
  <c r="O9" i="22"/>
  <c r="M4" i="16"/>
  <c r="BC9" i="22"/>
  <c r="AQ11" i="22"/>
  <c r="M10" i="16"/>
  <c r="G5" i="22"/>
  <c r="G13" i="22"/>
  <c r="AM5" i="22"/>
  <c r="C12" i="16"/>
  <c r="AY12" i="22"/>
  <c r="G7" i="22"/>
  <c r="D11" i="16"/>
  <c r="N13" i="16"/>
  <c r="G6" i="16"/>
  <c r="K8" i="22"/>
  <c r="AY8" i="22"/>
  <c r="G11" i="22"/>
  <c r="AI7" i="22"/>
  <c r="AU7" i="22"/>
  <c r="AY6" i="22"/>
  <c r="W3" i="22"/>
  <c r="G9" i="16"/>
  <c r="L4" i="16"/>
  <c r="K3" i="16"/>
  <c r="AI9" i="22"/>
  <c r="J7" i="16"/>
  <c r="AM8" i="22"/>
  <c r="W4" i="22"/>
  <c r="W8" i="22"/>
  <c r="O8" i="22"/>
  <c r="O14" i="22"/>
  <c r="BC13" i="22"/>
  <c r="F11" i="16"/>
  <c r="BC7" i="22"/>
  <c r="AY11" i="22"/>
  <c r="AU3" i="22"/>
  <c r="S11" i="22"/>
  <c r="W12" i="22"/>
  <c r="AY7" i="22"/>
  <c r="D5" i="16"/>
  <c r="BC6" i="22"/>
  <c r="AE7" i="22"/>
  <c r="C8" i="16"/>
  <c r="BC14" i="22"/>
  <c r="O5" i="16"/>
  <c r="W5" i="22"/>
  <c r="I3" i="16"/>
  <c r="J5" i="16"/>
  <c r="C3" i="16"/>
  <c r="C5" i="16"/>
  <c r="AE4" i="22"/>
  <c r="AA3" i="22"/>
  <c r="O6" i="22"/>
  <c r="AA10" i="22"/>
  <c r="AA14" i="22"/>
  <c r="O11" i="22"/>
  <c r="H12" i="16"/>
  <c r="AI12" i="22"/>
  <c r="C10" i="16"/>
  <c r="BC5" i="22"/>
  <c r="AM9" i="22"/>
  <c r="BC11" i="22"/>
  <c r="M2" i="16"/>
  <c r="AA7" i="22"/>
  <c r="O13" i="16"/>
  <c r="K10" i="22"/>
  <c r="D12" i="16"/>
  <c r="W6" i="22"/>
  <c r="O12" i="16"/>
  <c r="F5" i="16"/>
  <c r="E3" i="16"/>
  <c r="BC10" i="22"/>
  <c r="G8" i="22"/>
  <c r="AU9" i="22"/>
  <c r="G14" i="22"/>
  <c r="AM11" i="22"/>
  <c r="L5" i="16"/>
  <c r="E5" i="16"/>
  <c r="J13" i="16"/>
  <c r="AY13" i="22"/>
  <c r="BR13" i="22" l="1"/>
  <c r="BJ6" i="22"/>
  <c r="Z9" i="16"/>
  <c r="Z5" i="16"/>
  <c r="Z3" i="16"/>
  <c r="Z7" i="16"/>
  <c r="Z12" i="16"/>
  <c r="Z10" i="16"/>
  <c r="Z11" i="16"/>
  <c r="Z8" i="16"/>
  <c r="Z6" i="16"/>
  <c r="Z4" i="16"/>
  <c r="Z13" i="16"/>
  <c r="BJ3" i="22"/>
  <c r="Z2" i="16"/>
  <c r="BR8" i="22"/>
  <c r="BR14" i="22"/>
  <c r="BR7" i="22"/>
  <c r="BN4" i="22"/>
  <c r="BJ13" i="22"/>
  <c r="BR6" i="22"/>
  <c r="BJ7" i="22"/>
  <c r="F7" i="22" s="1"/>
  <c r="BR9" i="22"/>
  <c r="BR12" i="22"/>
  <c r="BN3" i="22"/>
  <c r="BN9" i="22"/>
  <c r="BJ10" i="22"/>
  <c r="Z6" i="21"/>
  <c r="BN11" i="22"/>
  <c r="E5" i="22"/>
  <c r="BJ4" i="22"/>
  <c r="F5" i="22"/>
  <c r="P8" i="22"/>
  <c r="R8" i="22" s="1"/>
  <c r="X10" i="22"/>
  <c r="Z10" i="22" s="1"/>
  <c r="AF7" i="22"/>
  <c r="AN12" i="22"/>
  <c r="AV14" i="22"/>
  <c r="AX14" i="22" s="1"/>
  <c r="BD4" i="22"/>
  <c r="BF4" i="22" s="1"/>
  <c r="P6" i="22"/>
  <c r="R6" i="22" s="1"/>
  <c r="X5" i="22"/>
  <c r="Z5" i="22" s="1"/>
  <c r="AF14" i="22"/>
  <c r="AH14" i="22" s="1"/>
  <c r="AN8" i="22"/>
  <c r="AP8" i="22" s="1"/>
  <c r="AV9" i="22"/>
  <c r="BD6" i="22"/>
  <c r="BF6" i="22" s="1"/>
  <c r="P10" i="22"/>
  <c r="R10" i="22" s="1"/>
  <c r="X14" i="22"/>
  <c r="Z14" i="22" s="1"/>
  <c r="AF11" i="22"/>
  <c r="AH11" i="22" s="1"/>
  <c r="AN9" i="22"/>
  <c r="AP9" i="22" s="1"/>
  <c r="AV7" i="22"/>
  <c r="AX7" i="22" s="1"/>
  <c r="BD12" i="22"/>
  <c r="BF12" i="22" s="1"/>
  <c r="L5" i="22"/>
  <c r="L6" i="22"/>
  <c r="N6" i="22" s="1"/>
  <c r="L10" i="22"/>
  <c r="N10" i="22" s="1"/>
  <c r="T7" i="22"/>
  <c r="V7" i="22" s="1"/>
  <c r="T13" i="22"/>
  <c r="V13" i="22" s="1"/>
  <c r="T8" i="22"/>
  <c r="AB13" i="22"/>
  <c r="AD13" i="22" s="1"/>
  <c r="AB9" i="22"/>
  <c r="AB5" i="22"/>
  <c r="AD5" i="22" s="1"/>
  <c r="AJ14" i="22"/>
  <c r="AL14" i="22" s="1"/>
  <c r="AJ7" i="22"/>
  <c r="AJ11" i="22"/>
  <c r="AL11" i="22" s="1"/>
  <c r="AR8" i="22"/>
  <c r="AT8" i="22" s="1"/>
  <c r="AR12" i="22"/>
  <c r="AT12" i="22" s="1"/>
  <c r="AR13" i="22"/>
  <c r="AT13" i="22" s="1"/>
  <c r="AZ11" i="22"/>
  <c r="AZ13" i="22"/>
  <c r="AZ5" i="22"/>
  <c r="BB5" i="22" s="1"/>
  <c r="H12" i="22"/>
  <c r="J12" i="22" s="1"/>
  <c r="H8" i="22"/>
  <c r="J8" i="22" s="1"/>
  <c r="L9" i="22"/>
  <c r="N9" i="22" s="1"/>
  <c r="T14" i="22"/>
  <c r="V14" i="22" s="1"/>
  <c r="T12" i="22"/>
  <c r="V12" i="22" s="1"/>
  <c r="AB3" i="22"/>
  <c r="AD3" i="22" s="1"/>
  <c r="AB4" i="22"/>
  <c r="AD4" i="22" s="1"/>
  <c r="AB8" i="22"/>
  <c r="AJ10" i="22"/>
  <c r="AL10" i="22" s="1"/>
  <c r="AJ9" i="22"/>
  <c r="AL9" i="22" s="1"/>
  <c r="AJ5" i="22"/>
  <c r="AL5" i="22" s="1"/>
  <c r="AR3" i="22"/>
  <c r="AT3" i="22" s="1"/>
  <c r="AR7" i="22"/>
  <c r="AT7" i="22" s="1"/>
  <c r="AR11" i="22"/>
  <c r="AT11" i="22" s="1"/>
  <c r="AZ10" i="22"/>
  <c r="BB10" i="22" s="1"/>
  <c r="AZ7" i="22"/>
  <c r="BB7" i="22" s="1"/>
  <c r="AZ14" i="22"/>
  <c r="BB14" i="22" s="1"/>
  <c r="L3" i="22"/>
  <c r="N3" i="22" s="1"/>
  <c r="L13" i="22"/>
  <c r="N13" i="22" s="1"/>
  <c r="T9" i="22"/>
  <c r="V9" i="22" s="1"/>
  <c r="H11" i="22"/>
  <c r="J11" i="22" s="1"/>
  <c r="H7" i="22"/>
  <c r="J7" i="22" s="1"/>
  <c r="P14" i="22"/>
  <c r="R14" i="22" s="1"/>
  <c r="P13" i="22"/>
  <c r="R13" i="22" s="1"/>
  <c r="P12" i="22"/>
  <c r="X3" i="22"/>
  <c r="Z3" i="22" s="1"/>
  <c r="X11" i="22"/>
  <c r="Z11" i="22" s="1"/>
  <c r="X6" i="22"/>
  <c r="Z6" i="22" s="1"/>
  <c r="AF8" i="22"/>
  <c r="AH8" i="22" s="1"/>
  <c r="AF12" i="22"/>
  <c r="AH12" i="22" s="1"/>
  <c r="AF4" i="22"/>
  <c r="AH4" i="22" s="1"/>
  <c r="AN3" i="22"/>
  <c r="AP3" i="22" s="1"/>
  <c r="AN6" i="22"/>
  <c r="AN10" i="22"/>
  <c r="AP10" i="22" s="1"/>
  <c r="AV13" i="22"/>
  <c r="AX13" i="22" s="1"/>
  <c r="AV6" i="22"/>
  <c r="AX6" i="22" s="1"/>
  <c r="AV11" i="22"/>
  <c r="AX11" i="22" s="1"/>
  <c r="BD3" i="22"/>
  <c r="BF3" i="22" s="1"/>
  <c r="BD9" i="22"/>
  <c r="BF9" i="22" s="1"/>
  <c r="BD14" i="22"/>
  <c r="BF14" i="22" s="1"/>
  <c r="H4" i="22"/>
  <c r="J4" i="22" s="1"/>
  <c r="P5" i="22"/>
  <c r="R5" i="22" s="1"/>
  <c r="P7" i="22"/>
  <c r="R7" i="22" s="1"/>
  <c r="P4" i="22"/>
  <c r="R4" i="22" s="1"/>
  <c r="X9" i="22"/>
  <c r="Z9" i="22" s="1"/>
  <c r="X7" i="22"/>
  <c r="Z7" i="22" s="1"/>
  <c r="X12" i="22"/>
  <c r="Z12" i="22" s="1"/>
  <c r="AF13" i="22"/>
  <c r="AH13" i="22" s="1"/>
  <c r="AF9" i="22"/>
  <c r="AH9" i="22" s="1"/>
  <c r="AF10" i="22"/>
  <c r="AH10" i="22" s="1"/>
  <c r="AN14" i="22"/>
  <c r="AP14" i="22" s="1"/>
  <c r="AN13" i="22"/>
  <c r="AP13" i="22" s="1"/>
  <c r="AN7" i="22"/>
  <c r="AP7" i="22" s="1"/>
  <c r="AV12" i="22"/>
  <c r="AX12" i="22" s="1"/>
  <c r="AV10" i="22"/>
  <c r="AX10" i="22" s="1"/>
  <c r="AV4" i="22"/>
  <c r="AX4" i="22" s="1"/>
  <c r="BD10" i="22"/>
  <c r="BF10" i="22" s="1"/>
  <c r="BD13" i="22"/>
  <c r="BF13" i="22" s="1"/>
  <c r="BD7" i="22"/>
  <c r="BF7" i="22" s="1"/>
  <c r="L4" i="22"/>
  <c r="N4" i="22" s="1"/>
  <c r="T6" i="22"/>
  <c r="V6" i="22" s="1"/>
  <c r="AB7" i="22"/>
  <c r="AD7" i="22" s="1"/>
  <c r="AJ12" i="22"/>
  <c r="AL12" i="22" s="1"/>
  <c r="AJ13" i="22"/>
  <c r="AL13" i="22" s="1"/>
  <c r="AJ6" i="22"/>
  <c r="AL6" i="22" s="1"/>
  <c r="AR10" i="22"/>
  <c r="AT10" i="22" s="1"/>
  <c r="AR14" i="22"/>
  <c r="AT14" i="22" s="1"/>
  <c r="AR4" i="22"/>
  <c r="AT4" i="22" s="1"/>
  <c r="AZ6" i="22"/>
  <c r="BB6" i="22" s="1"/>
  <c r="AZ8" i="22"/>
  <c r="BB8" i="22" s="1"/>
  <c r="AZ12" i="22"/>
  <c r="BB12" i="22" s="1"/>
  <c r="L12" i="22"/>
  <c r="N12" i="22" s="1"/>
  <c r="T10" i="22"/>
  <c r="V10" i="22" s="1"/>
  <c r="AB11" i="22"/>
  <c r="AD11" i="22" s="1"/>
  <c r="H14" i="22"/>
  <c r="J14" i="22" s="1"/>
  <c r="H10" i="22"/>
  <c r="J10" i="22" s="1"/>
  <c r="H6" i="22"/>
  <c r="J6" i="22" s="1"/>
  <c r="L7" i="22"/>
  <c r="N7" i="22" s="1"/>
  <c r="L11" i="22"/>
  <c r="N11" i="22" s="1"/>
  <c r="L14" i="22"/>
  <c r="N14" i="22" s="1"/>
  <c r="T3" i="22"/>
  <c r="V3" i="22" s="1"/>
  <c r="T4" i="22"/>
  <c r="V4" i="22" s="1"/>
  <c r="T11" i="22"/>
  <c r="V11" i="22" s="1"/>
  <c r="AB14" i="22"/>
  <c r="AD14" i="22" s="1"/>
  <c r="AB6" i="22"/>
  <c r="AD6" i="22" s="1"/>
  <c r="AB10" i="22"/>
  <c r="AJ3" i="22"/>
  <c r="AL3" i="22" s="1"/>
  <c r="AJ4" i="22"/>
  <c r="AL4" i="22" s="1"/>
  <c r="AJ8" i="22"/>
  <c r="AL8" i="22" s="1"/>
  <c r="AR5" i="22"/>
  <c r="AT5" i="22" s="1"/>
  <c r="AR9" i="22"/>
  <c r="AT9" i="22" s="1"/>
  <c r="AR6" i="22"/>
  <c r="AT6" i="22" s="1"/>
  <c r="AZ3" i="22"/>
  <c r="BB3" i="22" s="1"/>
  <c r="AZ9" i="22"/>
  <c r="BB9" i="22" s="1"/>
  <c r="AZ4" i="22"/>
  <c r="BB4" i="22" s="1"/>
  <c r="H3" i="22"/>
  <c r="J3" i="22" s="1"/>
  <c r="L8" i="22"/>
  <c r="N8" i="22" s="1"/>
  <c r="T5" i="22"/>
  <c r="V5" i="22" s="1"/>
  <c r="AB12" i="22"/>
  <c r="AD12" i="22" s="1"/>
  <c r="H13" i="22"/>
  <c r="J13" i="22" s="1"/>
  <c r="H9" i="22"/>
  <c r="J9" i="22" s="1"/>
  <c r="H5" i="22"/>
  <c r="J5" i="22" s="1"/>
  <c r="P3" i="22"/>
  <c r="R3" i="22" s="1"/>
  <c r="P11" i="22"/>
  <c r="R11" i="22" s="1"/>
  <c r="P9" i="22"/>
  <c r="R9" i="22" s="1"/>
  <c r="X13" i="22"/>
  <c r="Z13" i="22" s="1"/>
  <c r="X4" i="22"/>
  <c r="Z4" i="22" s="1"/>
  <c r="X8" i="22"/>
  <c r="Z8" i="22" s="1"/>
  <c r="AF3" i="22"/>
  <c r="AH3" i="22" s="1"/>
  <c r="AF6" i="22"/>
  <c r="AH6" i="22" s="1"/>
  <c r="AF5" i="22"/>
  <c r="AH5" i="22" s="1"/>
  <c r="AN5" i="22"/>
  <c r="AP5" i="22" s="1"/>
  <c r="AN4" i="22"/>
  <c r="AP4" i="22" s="1"/>
  <c r="AN11" i="22"/>
  <c r="AP11" i="22" s="1"/>
  <c r="AV3" i="22"/>
  <c r="AX3" i="22" s="1"/>
  <c r="AV5" i="22"/>
  <c r="AX5" i="22" s="1"/>
  <c r="AV8" i="22"/>
  <c r="AX8" i="22" s="1"/>
  <c r="BD5" i="22"/>
  <c r="BF5" i="22" s="1"/>
  <c r="BD11" i="22"/>
  <c r="BF11" i="22" s="1"/>
  <c r="BD8" i="22"/>
  <c r="BF8" i="22" s="1"/>
  <c r="AL7" i="22"/>
  <c r="BJ12" i="22"/>
  <c r="Z10" i="21"/>
  <c r="V8" i="22"/>
  <c r="BR4" i="22"/>
  <c r="AC14" i="21"/>
  <c r="X14" i="21"/>
  <c r="BJ14" i="22"/>
  <c r="U5" i="21"/>
  <c r="AA5" i="21"/>
  <c r="AB5" i="21" s="1"/>
  <c r="N5" i="22"/>
  <c r="AA6" i="21"/>
  <c r="AB6" i="21" s="1"/>
  <c r="U6" i="21"/>
  <c r="AD9" i="22"/>
  <c r="X11" i="21"/>
  <c r="AC11" i="21"/>
  <c r="X12" i="21"/>
  <c r="AC12" i="21"/>
  <c r="F13" i="22"/>
  <c r="Z5" i="21"/>
  <c r="U8" i="21"/>
  <c r="AA8" i="21"/>
  <c r="AB8" i="21" s="1"/>
  <c r="U14" i="21"/>
  <c r="AA14" i="21"/>
  <c r="AB14" i="21" s="1"/>
  <c r="AA10" i="21"/>
  <c r="AB10" i="21" s="1"/>
  <c r="U10" i="21"/>
  <c r="Z13" i="21"/>
  <c r="X7" i="21"/>
  <c r="AC7" i="21"/>
  <c r="X5" i="21"/>
  <c r="AC5" i="21"/>
  <c r="U12" i="21"/>
  <c r="AA12" i="21"/>
  <c r="AB12" i="21" s="1"/>
  <c r="AX9" i="22"/>
  <c r="BN14" i="22"/>
  <c r="R12" i="22"/>
  <c r="Z14" i="21"/>
  <c r="AP12" i="22"/>
  <c r="BN12" i="22"/>
  <c r="BJ11" i="22"/>
  <c r="U9" i="21"/>
  <c r="AA9" i="21"/>
  <c r="AB9" i="21" s="1"/>
  <c r="Z8" i="21"/>
  <c r="U13" i="21"/>
  <c r="AA13" i="21"/>
  <c r="AB13" i="21" s="1"/>
  <c r="AA3" i="21"/>
  <c r="AB3" i="21" s="1"/>
  <c r="T15" i="21"/>
  <c r="U3" i="21"/>
  <c r="AC3" i="21"/>
  <c r="X3" i="21"/>
  <c r="X4" i="21"/>
  <c r="AC4" i="21"/>
  <c r="BB11" i="22"/>
  <c r="Z12" i="21"/>
  <c r="AA7" i="21"/>
  <c r="AB7" i="21" s="1"/>
  <c r="U7" i="21"/>
  <c r="X6" i="21"/>
  <c r="AC6" i="21"/>
  <c r="Z9" i="21"/>
  <c r="AD10" i="22"/>
  <c r="Z3" i="21"/>
  <c r="Z11" i="21"/>
  <c r="Z4" i="21"/>
  <c r="Z7" i="21"/>
  <c r="BR11" i="22"/>
  <c r="BN10" i="22"/>
  <c r="BN6" i="22"/>
  <c r="E6" i="22" s="1"/>
  <c r="BJ9" i="22"/>
  <c r="X8" i="21"/>
  <c r="AC8" i="21"/>
  <c r="AD8" i="22"/>
  <c r="AC9" i="21"/>
  <c r="X9" i="21"/>
  <c r="AA4" i="21"/>
  <c r="AB4" i="21" s="1"/>
  <c r="U4" i="21"/>
  <c r="AC10" i="21"/>
  <c r="X10" i="21"/>
  <c r="AP6" i="22"/>
  <c r="BJ8" i="22"/>
  <c r="AH7" i="22"/>
  <c r="X13" i="21"/>
  <c r="AC13" i="21"/>
  <c r="AA11" i="21"/>
  <c r="AB11" i="21" s="1"/>
  <c r="U11" i="21"/>
  <c r="BB13" i="22"/>
  <c r="S4" i="16"/>
  <c r="S7" i="16"/>
  <c r="S13" i="16"/>
  <c r="S11" i="16"/>
  <c r="S10" i="16"/>
  <c r="S6" i="16"/>
  <c r="S8" i="16"/>
  <c r="S12" i="16"/>
  <c r="S3" i="16"/>
  <c r="S9" i="16"/>
  <c r="S5" i="16"/>
  <c r="S2" i="16"/>
  <c r="Y11" i="16"/>
  <c r="Y8" i="16"/>
  <c r="Y2" i="16"/>
  <c r="Y13" i="16"/>
  <c r="Y9" i="16"/>
  <c r="Y6" i="16"/>
  <c r="Y5" i="16"/>
  <c r="Y4" i="16"/>
  <c r="Y3" i="16"/>
  <c r="Y7" i="16"/>
  <c r="Y12" i="16"/>
  <c r="Y10" i="16"/>
  <c r="T4" i="16"/>
  <c r="T7" i="16"/>
  <c r="T13" i="16"/>
  <c r="T11" i="16"/>
  <c r="T10" i="16"/>
  <c r="T6" i="16"/>
  <c r="T2" i="16"/>
  <c r="T8" i="16"/>
  <c r="T12" i="16"/>
  <c r="T3" i="16"/>
  <c r="T9" i="16"/>
  <c r="T5" i="16"/>
  <c r="E13" i="22" l="1"/>
  <c r="E3" i="22"/>
  <c r="E7" i="22"/>
  <c r="V6" i="16"/>
  <c r="V10" i="16"/>
  <c r="V11" i="16"/>
  <c r="V5" i="16"/>
  <c r="V9" i="16"/>
  <c r="V13" i="16"/>
  <c r="V3" i="16"/>
  <c r="V7" i="16"/>
  <c r="V12" i="16"/>
  <c r="V4" i="16"/>
  <c r="V8" i="16"/>
  <c r="V2" i="16"/>
  <c r="E10" i="22"/>
  <c r="F3" i="22"/>
  <c r="E4" i="22"/>
  <c r="F12" i="22"/>
  <c r="F4" i="22"/>
  <c r="F9" i="22"/>
  <c r="E11" i="22"/>
  <c r="D6" i="22"/>
  <c r="E9" i="22"/>
  <c r="C12" i="22"/>
  <c r="C13" i="22"/>
  <c r="F14" i="22"/>
  <c r="E12" i="22"/>
  <c r="F10" i="22"/>
  <c r="D5" i="22"/>
  <c r="D8" i="22"/>
  <c r="D3" i="22"/>
  <c r="D11" i="22"/>
  <c r="C4" i="22"/>
  <c r="C3" i="22"/>
  <c r="C8" i="22"/>
  <c r="D9" i="22"/>
  <c r="D4" i="22"/>
  <c r="C7" i="22"/>
  <c r="F8" i="22"/>
  <c r="E8" i="22"/>
  <c r="C9" i="22"/>
  <c r="D14" i="22"/>
  <c r="C14" i="22"/>
  <c r="D13" i="22"/>
  <c r="C6" i="22"/>
  <c r="C11" i="22"/>
  <c r="D12" i="22"/>
  <c r="F11" i="22"/>
  <c r="E14" i="22"/>
  <c r="C5" i="22"/>
  <c r="F6" i="22"/>
  <c r="D10" i="22"/>
  <c r="C10" i="22"/>
  <c r="D7" i="22"/>
  <c r="T14" i="16"/>
  <c r="U3" i="16"/>
  <c r="U7" i="16"/>
  <c r="U11" i="16"/>
  <c r="U12" i="16"/>
  <c r="U8" i="16"/>
  <c r="U4" i="16"/>
  <c r="U2" i="16"/>
  <c r="U6" i="16"/>
  <c r="U10" i="16"/>
  <c r="U5" i="16"/>
  <c r="U9" i="16"/>
  <c r="U13" i="16"/>
</calcChain>
</file>

<file path=xl/sharedStrings.xml><?xml version="1.0" encoding="utf-8"?>
<sst xmlns="http://schemas.openxmlformats.org/spreadsheetml/2006/main" count="778" uniqueCount="235">
  <si>
    <t>Matchup 1</t>
  </si>
  <si>
    <t>Octobers Very Own</t>
  </si>
  <si>
    <t>88.4</t>
  </si>
  <si>
    <t>King Goffrey</t>
  </si>
  <si>
    <t>93.9</t>
  </si>
  <si>
    <t>Matchup 2</t>
  </si>
  <si>
    <t>5 INT 7-8</t>
  </si>
  <si>
    <t>63.9</t>
  </si>
  <si>
    <t>Queen B</t>
  </si>
  <si>
    <t>81</t>
  </si>
  <si>
    <t>Matchup 3</t>
  </si>
  <si>
    <t>Team Ratliff</t>
  </si>
  <si>
    <t>86.5</t>
  </si>
  <si>
    <t>Pitts Likes Dicks</t>
  </si>
  <si>
    <t>87.8</t>
  </si>
  <si>
    <t>Matchup 4</t>
  </si>
  <si>
    <t>The Dictator</t>
  </si>
  <si>
    <t>72.1</t>
  </si>
  <si>
    <t>Team No Trades</t>
  </si>
  <si>
    <t>61.1</t>
  </si>
  <si>
    <t>Matchup 5</t>
  </si>
  <si>
    <t>Team capt queef</t>
  </si>
  <si>
    <t>90.8</t>
  </si>
  <si>
    <t>Team Quintanilla</t>
  </si>
  <si>
    <t>93.6</t>
  </si>
  <si>
    <t>Matchup 6</t>
  </si>
  <si>
    <t>The Last Jedi</t>
  </si>
  <si>
    <t>132.2</t>
  </si>
  <si>
    <t>Team Binder</t>
  </si>
  <si>
    <t>83.3</t>
  </si>
  <si>
    <t>101.6</t>
  </si>
  <si>
    <t>73.9</t>
  </si>
  <si>
    <t>66.7</t>
  </si>
  <si>
    <t>123.4</t>
  </si>
  <si>
    <t>98.5</t>
  </si>
  <si>
    <t>83.6</t>
  </si>
  <si>
    <t>104.9</t>
  </si>
  <si>
    <t>64.3</t>
  </si>
  <si>
    <t>79.8</t>
  </si>
  <si>
    <t>74.9</t>
  </si>
  <si>
    <t>137.6</t>
  </si>
  <si>
    <t>65.6</t>
  </si>
  <si>
    <t>81.8</t>
  </si>
  <si>
    <t>116.5</t>
  </si>
  <si>
    <t>119.8</t>
  </si>
  <si>
    <t>103.8</t>
  </si>
  <si>
    <t>117.4</t>
  </si>
  <si>
    <t>79.9</t>
  </si>
  <si>
    <t>100.6</t>
  </si>
  <si>
    <t>87.1</t>
  </si>
  <si>
    <t>130.1</t>
  </si>
  <si>
    <t>74.8</t>
  </si>
  <si>
    <t>103.3</t>
  </si>
  <si>
    <t>105.2</t>
  </si>
  <si>
    <t>121.6</t>
  </si>
  <si>
    <t>62.4</t>
  </si>
  <si>
    <t>75.8</t>
  </si>
  <si>
    <t>96.6</t>
  </si>
  <si>
    <t>134.9</t>
  </si>
  <si>
    <t>98.8</t>
  </si>
  <si>
    <t>103.9</t>
  </si>
  <si>
    <t>89</t>
  </si>
  <si>
    <t>98.2</t>
  </si>
  <si>
    <t>64.4</t>
  </si>
  <si>
    <t>86.2</t>
  </si>
  <si>
    <t>92.3</t>
  </si>
  <si>
    <t>72.7</t>
  </si>
  <si>
    <t>86.9</t>
  </si>
  <si>
    <t>109</t>
  </si>
  <si>
    <t>73</t>
  </si>
  <si>
    <t>77.2</t>
  </si>
  <si>
    <t>105.5</t>
  </si>
  <si>
    <t>110.8</t>
  </si>
  <si>
    <t>79.4</t>
  </si>
  <si>
    <t>94</t>
  </si>
  <si>
    <t>121</t>
  </si>
  <si>
    <t>96.4</t>
  </si>
  <si>
    <t>139.1</t>
  </si>
  <si>
    <t>97</t>
  </si>
  <si>
    <t>123.6</t>
  </si>
  <si>
    <t>75.1</t>
  </si>
  <si>
    <t>91.1</t>
  </si>
  <si>
    <t>86.7</t>
  </si>
  <si>
    <t>96</t>
  </si>
  <si>
    <t>82.9</t>
  </si>
  <si>
    <t>92.2</t>
  </si>
  <si>
    <t>85.3</t>
  </si>
  <si>
    <t>79.3</t>
  </si>
  <si>
    <t>112</t>
  </si>
  <si>
    <t>81.4</t>
  </si>
  <si>
    <t>95.9</t>
  </si>
  <si>
    <t>80.2</t>
  </si>
  <si>
    <t>58.6</t>
  </si>
  <si>
    <t>80.7</t>
  </si>
  <si>
    <t>137.9</t>
  </si>
  <si>
    <t>100.4</t>
  </si>
  <si>
    <t>129.8</t>
  </si>
  <si>
    <t>113.6</t>
  </si>
  <si>
    <t>92</t>
  </si>
  <si>
    <t>71.6</t>
  </si>
  <si>
    <t>76.1</t>
  </si>
  <si>
    <t>95.3</t>
  </si>
  <si>
    <t>97.1</t>
  </si>
  <si>
    <t>78.7</t>
  </si>
  <si>
    <t>75.7</t>
  </si>
  <si>
    <t>72.5</t>
  </si>
  <si>
    <t>97.8</t>
  </si>
  <si>
    <t>127</t>
  </si>
  <si>
    <t>86</t>
  </si>
  <si>
    <t>146.5</t>
  </si>
  <si>
    <t>59.9</t>
  </si>
  <si>
    <t>106.4</t>
  </si>
  <si>
    <t>94.1</t>
  </si>
  <si>
    <t>63.7</t>
  </si>
  <si>
    <t>112.9</t>
  </si>
  <si>
    <t>70.9</t>
  </si>
  <si>
    <t>65.5</t>
  </si>
  <si>
    <t>109.7</t>
  </si>
  <si>
    <t>80.9</t>
  </si>
  <si>
    <t>57.1</t>
  </si>
  <si>
    <t>57</t>
  </si>
  <si>
    <t>79.1</t>
  </si>
  <si>
    <t>112.6</t>
  </si>
  <si>
    <t>78.1</t>
  </si>
  <si>
    <t>108.2</t>
  </si>
  <si>
    <t>85.8</t>
  </si>
  <si>
    <t>129.9</t>
  </si>
  <si>
    <t>105.3</t>
  </si>
  <si>
    <t>79.7</t>
  </si>
  <si>
    <t>108.9</t>
  </si>
  <si>
    <t>57.2</t>
  </si>
  <si>
    <t>88.5</t>
  </si>
  <si>
    <t>105.8</t>
  </si>
  <si>
    <t>91.3</t>
  </si>
  <si>
    <t>47.4</t>
  </si>
  <si>
    <t>141.1</t>
  </si>
  <si>
    <t>87.9</t>
  </si>
  <si>
    <t>110</t>
  </si>
  <si>
    <t>89.1</t>
  </si>
  <si>
    <t>79.6</t>
  </si>
  <si>
    <t>59.7</t>
  </si>
  <si>
    <t>84.2</t>
  </si>
  <si>
    <t>101.1</t>
  </si>
  <si>
    <t>114</t>
  </si>
  <si>
    <t>111.4</t>
  </si>
  <si>
    <t>90.3</t>
  </si>
  <si>
    <t>82.8</t>
  </si>
  <si>
    <t>87</t>
  </si>
  <si>
    <t>71.4</t>
  </si>
  <si>
    <t>89.3</t>
  </si>
  <si>
    <t>108.1</t>
  </si>
  <si>
    <t>83.8</t>
  </si>
  <si>
    <t>85.5</t>
  </si>
  <si>
    <t>90</t>
  </si>
  <si>
    <t>102.8</t>
  </si>
  <si>
    <t>120.2</t>
  </si>
  <si>
    <t>70.3</t>
  </si>
  <si>
    <t>106</t>
  </si>
  <si>
    <t>99.8</t>
  </si>
  <si>
    <t>69.8</t>
  </si>
  <si>
    <t>84.7</t>
  </si>
  <si>
    <t>Team Name</t>
  </si>
  <si>
    <t>Tres</t>
  </si>
  <si>
    <t>Sara</t>
  </si>
  <si>
    <t>Sam</t>
  </si>
  <si>
    <t>Catina</t>
  </si>
  <si>
    <t>Dave</t>
  </si>
  <si>
    <t>Jake</t>
  </si>
  <si>
    <t>Cody</t>
  </si>
  <si>
    <t>Jesse</t>
  </si>
  <si>
    <t>Steve</t>
  </si>
  <si>
    <t>Nicole</t>
  </si>
  <si>
    <t>Ed</t>
  </si>
  <si>
    <t>Binder</t>
  </si>
  <si>
    <t>Team Owner</t>
  </si>
  <si>
    <t>Week 1</t>
  </si>
  <si>
    <t>Opponent</t>
  </si>
  <si>
    <t>Rank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</si>
  <si>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</si>
  <si>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</si>
  <si>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</si>
  <si>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</si>
  <si>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</si>
  <si>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</si>
  <si>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</si>
  <si>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</si>
  <si>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</si>
  <si>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</si>
  <si>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</si>
  <si>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</si>
  <si>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PF</t>
  </si>
  <si>
    <t>MAX</t>
  </si>
  <si>
    <t>92.6</t>
  </si>
  <si>
    <t>88.6</t>
  </si>
  <si>
    <t>104.3</t>
  </si>
  <si>
    <t>112.7</t>
  </si>
  <si>
    <t>102.6</t>
  </si>
  <si>
    <t>71.2</t>
  </si>
  <si>
    <t>80.8</t>
  </si>
  <si>
    <t>118.8</t>
  </si>
  <si>
    <t>152.8</t>
  </si>
  <si>
    <t>93.8</t>
  </si>
  <si>
    <t>85.2</t>
  </si>
  <si>
    <t>75.6</t>
  </si>
  <si>
    <t>138.3</t>
  </si>
  <si>
    <t>94.5</t>
  </si>
  <si>
    <t>69.5</t>
  </si>
  <si>
    <t>62.9</t>
  </si>
  <si>
    <t>108.5</t>
  </si>
  <si>
    <t>62.2</t>
  </si>
  <si>
    <t>163.1</t>
  </si>
  <si>
    <t>99</t>
  </si>
  <si>
    <t>77.1</t>
  </si>
  <si>
    <t>82.1</t>
  </si>
  <si>
    <t>107.3</t>
  </si>
  <si>
    <t>Week 14</t>
  </si>
  <si>
    <t>Week 15</t>
  </si>
  <si>
    <t>Week 16</t>
  </si>
  <si>
    <t>PF Regular Season</t>
  </si>
  <si>
    <t>PF Playoffs</t>
  </si>
  <si>
    <t>PF Playoffs PPG</t>
  </si>
  <si>
    <t>Points Behind Leader</t>
  </si>
  <si>
    <t>Schedule Optimizer</t>
  </si>
  <si>
    <t>W</t>
  </si>
  <si>
    <t>L</t>
  </si>
  <si>
    <t>W/L</t>
  </si>
  <si>
    <t>Opponent Points</t>
  </si>
  <si>
    <t>Your Points Scored</t>
  </si>
  <si>
    <t>Total Points</t>
  </si>
  <si>
    <t>Points Behind Leader Season</t>
  </si>
  <si>
    <t>Total</t>
  </si>
  <si>
    <t>PPG</t>
  </si>
  <si>
    <t>Points Behind Leader Playoffs</t>
  </si>
  <si>
    <t>Regular Season</t>
  </si>
  <si>
    <t>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</si>
</sst>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 wrapText="1"/>
    </xf>
    <xf numFmtId="164" fontId="0" fillId="0" borderId="1" xfId="0" applyNumberFormat="1" applyBorder="1"/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1">
    <cellStyle name="Normal" xfId="0" builtinId="0"/>
  </cellStyles>
  <dxfs count="32"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5712-70EE-4DC0-9FA9-067FE0D51E0B}">
  <sheetPr codeName="Sheet10"/>
  <dimension ref="A1:B29"/>
  <sheetViews>
    <sheetView topLeftCell="A24" workbookViewId="0">
      <selection activeCell="A16" sqref="A16:A28"/>
    </sheetView>
  </sheetViews>
  <sheetFormatPr defaultRowHeight="14.75" x14ac:dyDescent="0.75"/>
  <cols>
    <col min="1" max="1" width="16.54296875" bestFit="1" customWidth="1"/>
    <col min="2" max="2" width="22.6796875" customWidth="1"/>
  </cols>
  <sheetData>
    <row r="1" spans="1:2" ht="15.5" thickBot="1" x14ac:dyDescent="0.9"/>
    <row r="2" spans="1:2" ht="16.25" thickTop="1" thickBot="1" x14ac:dyDescent="0.9">
      <c r="A2" s="3" t="s">
        <v>161</v>
      </c>
      <c r="B2" s="3" t="s">
        <v>174</v>
      </c>
    </row>
    <row r="3" spans="1:2" ht="16.25" thickTop="1" thickBot="1" x14ac:dyDescent="0.9">
      <c r="A3" s="3" t="s">
        <v>1</v>
      </c>
      <c r="B3" s="3" t="s">
        <v>162</v>
      </c>
    </row>
    <row r="4" spans="1:2" ht="16.25" thickTop="1" thickBot="1" x14ac:dyDescent="0.9">
      <c r="A4" s="3" t="s">
        <v>3</v>
      </c>
      <c r="B4" s="3" t="s">
        <v>163</v>
      </c>
    </row>
    <row r="5" spans="1:2" ht="16.25" thickTop="1" thickBot="1" x14ac:dyDescent="0.9">
      <c r="A5" s="3" t="s">
        <v>6</v>
      </c>
      <c r="B5" s="3" t="s">
        <v>164</v>
      </c>
    </row>
    <row r="6" spans="1:2" ht="16.25" thickTop="1" thickBot="1" x14ac:dyDescent="0.9">
      <c r="A6" s="3" t="s">
        <v>8</v>
      </c>
      <c r="B6" s="3" t="s">
        <v>165</v>
      </c>
    </row>
    <row r="7" spans="1:2" ht="16.25" thickTop="1" thickBot="1" x14ac:dyDescent="0.9">
      <c r="A7" s="3" t="s">
        <v>11</v>
      </c>
      <c r="B7" s="3" t="s">
        <v>166</v>
      </c>
    </row>
    <row r="8" spans="1:2" ht="16.25" thickTop="1" thickBot="1" x14ac:dyDescent="0.9">
      <c r="A8" s="3" t="s">
        <v>13</v>
      </c>
      <c r="B8" s="3" t="s">
        <v>167</v>
      </c>
    </row>
    <row r="9" spans="1:2" ht="16.25" thickTop="1" thickBot="1" x14ac:dyDescent="0.9">
      <c r="A9" s="3" t="s">
        <v>16</v>
      </c>
      <c r="B9" s="3" t="s">
        <v>168</v>
      </c>
    </row>
    <row r="10" spans="1:2" ht="16.25" thickTop="1" thickBot="1" x14ac:dyDescent="0.9">
      <c r="A10" s="3" t="s">
        <v>18</v>
      </c>
      <c r="B10" s="3" t="s">
        <v>169</v>
      </c>
    </row>
    <row r="11" spans="1:2" ht="16.25" thickTop="1" thickBot="1" x14ac:dyDescent="0.9">
      <c r="A11" s="3" t="s">
        <v>21</v>
      </c>
      <c r="B11" s="3" t="s">
        <v>170</v>
      </c>
    </row>
    <row r="12" spans="1:2" ht="16.25" thickTop="1" thickBot="1" x14ac:dyDescent="0.9">
      <c r="A12" s="3" t="s">
        <v>23</v>
      </c>
      <c r="B12" s="3" t="s">
        <v>171</v>
      </c>
    </row>
    <row r="13" spans="1:2" ht="16.25" thickTop="1" thickBot="1" x14ac:dyDescent="0.9">
      <c r="A13" s="3" t="s">
        <v>26</v>
      </c>
      <c r="B13" s="3" t="s">
        <v>172</v>
      </c>
    </row>
    <row r="14" spans="1:2" ht="16.25" thickTop="1" thickBot="1" x14ac:dyDescent="0.9">
      <c r="A14" s="3" t="s">
        <v>28</v>
      </c>
      <c r="B14" s="3" t="s">
        <v>173</v>
      </c>
    </row>
    <row r="15" spans="1:2" ht="16.25" thickTop="1" thickBot="1" x14ac:dyDescent="0.9"/>
    <row r="16" spans="1:2" ht="16.25" thickTop="1" thickBot="1" x14ac:dyDescent="0.9">
      <c r="A16" s="3" t="s">
        <v>174</v>
      </c>
      <c r="B16" s="3" t="s">
        <v>161</v>
      </c>
    </row>
    <row r="17" spans="1:2" ht="16.25" thickTop="1" thickBot="1" x14ac:dyDescent="0.9">
      <c r="A17" s="3" t="s">
        <v>162</v>
      </c>
      <c r="B17" s="3" t="s">
        <v>1</v>
      </c>
    </row>
    <row r="18" spans="1:2" ht="16.25" thickTop="1" thickBot="1" x14ac:dyDescent="0.9">
      <c r="A18" s="3" t="s">
        <v>163</v>
      </c>
      <c r="B18" s="3" t="s">
        <v>3</v>
      </c>
    </row>
    <row r="19" spans="1:2" ht="16.25" thickTop="1" thickBot="1" x14ac:dyDescent="0.9">
      <c r="A19" s="3" t="s">
        <v>164</v>
      </c>
      <c r="B19" s="3" t="s">
        <v>6</v>
      </c>
    </row>
    <row r="20" spans="1:2" ht="16.25" thickTop="1" thickBot="1" x14ac:dyDescent="0.9">
      <c r="A20" s="3" t="s">
        <v>165</v>
      </c>
      <c r="B20" s="3" t="s">
        <v>8</v>
      </c>
    </row>
    <row r="21" spans="1:2" ht="16.25" thickTop="1" thickBot="1" x14ac:dyDescent="0.9">
      <c r="A21" s="3" t="s">
        <v>166</v>
      </c>
      <c r="B21" s="3" t="s">
        <v>11</v>
      </c>
    </row>
    <row r="22" spans="1:2" ht="16.25" thickTop="1" thickBot="1" x14ac:dyDescent="0.9">
      <c r="A22" s="3" t="s">
        <v>167</v>
      </c>
      <c r="B22" s="3" t="s">
        <v>13</v>
      </c>
    </row>
    <row r="23" spans="1:2" ht="16.25" thickTop="1" thickBot="1" x14ac:dyDescent="0.9">
      <c r="A23" s="3" t="s">
        <v>168</v>
      </c>
      <c r="B23" s="3" t="s">
        <v>16</v>
      </c>
    </row>
    <row r="24" spans="1:2" ht="16.25" thickTop="1" thickBot="1" x14ac:dyDescent="0.9">
      <c r="A24" s="3" t="s">
        <v>169</v>
      </c>
      <c r="B24" s="3" t="s">
        <v>18</v>
      </c>
    </row>
    <row r="25" spans="1:2" ht="16.25" thickTop="1" thickBot="1" x14ac:dyDescent="0.9">
      <c r="A25" s="3" t="s">
        <v>170</v>
      </c>
      <c r="B25" s="3" t="s">
        <v>21</v>
      </c>
    </row>
    <row r="26" spans="1:2" ht="16.25" thickTop="1" thickBot="1" x14ac:dyDescent="0.9">
      <c r="A26" s="3" t="s">
        <v>171</v>
      </c>
      <c r="B26" s="3" t="s">
        <v>23</v>
      </c>
    </row>
    <row r="27" spans="1:2" ht="16.25" thickTop="1" thickBot="1" x14ac:dyDescent="0.9">
      <c r="A27" s="3" t="s">
        <v>172</v>
      </c>
      <c r="B27" s="3" t="s">
        <v>26</v>
      </c>
    </row>
    <row r="28" spans="1:2" ht="16.25" thickTop="1" thickBot="1" x14ac:dyDescent="0.9">
      <c r="A28" s="3" t="s">
        <v>173</v>
      </c>
      <c r="B28" s="3" t="s">
        <v>28</v>
      </c>
    </row>
    <row r="29" spans="1:2" ht="15.5" thickTop="1" x14ac:dyDescent="0.7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3E2F8-BAA9-48A7-A298-71B74C68F8E1}">
  <sheetPr codeName="Sheet15"/>
  <dimension ref="A1:Z14"/>
  <sheetViews>
    <sheetView tabSelected="1" zoomScale="62" zoomScaleNormal="70" workbookViewId="0">
      <selection sqref="A1:XFD1"/>
    </sheetView>
  </sheetViews>
  <sheetFormatPr defaultRowHeight="14.75" x14ac:dyDescent="0.75"/>
  <cols>
    <col min="1" max="1" width="17.31640625" style="1" customWidth="1"/>
    <col min="2" max="2" width="13.90625" style="1" customWidth="1"/>
    <col min="3" max="3" width="8.90625" style="1" bestFit="1" customWidth="1"/>
    <col min="4" max="4" width="12.1796875" style="1" bestFit="1" customWidth="1"/>
    <col min="5" max="5" width="9.953125" customWidth="1"/>
    <col min="6" max="6" width="8.90625" bestFit="1" customWidth="1"/>
    <col min="7" max="7" width="12.1796875" bestFit="1" customWidth="1"/>
    <col min="8" max="8" width="6.86328125" bestFit="1" customWidth="1"/>
    <col min="9" max="9" width="8.90625" bestFit="1" customWidth="1"/>
    <col min="10" max="10" width="12.1796875" bestFit="1" customWidth="1"/>
    <col min="11" max="11" width="6.86328125" bestFit="1" customWidth="1"/>
    <col min="12" max="12" width="8.90625" bestFit="1" customWidth="1"/>
    <col min="13" max="13" width="12.1796875" bestFit="1" customWidth="1"/>
    <col min="14" max="14" width="7.90625" bestFit="1" customWidth="1"/>
    <col min="15" max="15" width="8.90625" bestFit="1" customWidth="1"/>
    <col min="16" max="16" width="12.1796875" customWidth="1"/>
    <col min="17" max="17" width="7.90625" bestFit="1" customWidth="1"/>
    <col min="18" max="18" width="8.90625" bestFit="1" customWidth="1"/>
    <col min="19" max="19" width="12.1796875" bestFit="1" customWidth="1"/>
    <col min="20" max="20" width="15.54296875" bestFit="1" customWidth="1"/>
    <col min="21" max="21" width="9.453125" bestFit="1" customWidth="1"/>
    <col min="22" max="22" width="18.453125" bestFit="1" customWidth="1"/>
    <col min="23" max="23" width="13.36328125" bestFit="1" customWidth="1"/>
    <col min="24" max="24" width="8.90625" bestFit="1" customWidth="1"/>
    <col min="25" max="25" width="17.953125" bestFit="1" customWidth="1"/>
    <col min="26" max="26" width="18.453125" bestFit="1" customWidth="1"/>
    <col min="27" max="27" width="8.90625" bestFit="1" customWidth="1"/>
    <col min="28" max="28" width="12.1796875" bestFit="1" customWidth="1"/>
    <col min="29" max="29" width="4.7265625" bestFit="1" customWidth="1"/>
    <col min="30" max="30" width="8.90625" bestFit="1" customWidth="1"/>
    <col min="31" max="31" width="12.1796875" bestFit="1" customWidth="1"/>
    <col min="32" max="32" width="4.7265625" bestFit="1" customWidth="1"/>
    <col min="33" max="33" width="8.90625" bestFit="1" customWidth="1"/>
    <col min="34" max="34" width="12.1796875" bestFit="1" customWidth="1"/>
    <col min="35" max="35" width="4.7265625" bestFit="1" customWidth="1"/>
    <col min="36" max="36" width="8.90625" bestFit="1" customWidth="1"/>
    <col min="37" max="37" width="12.1796875" bestFit="1" customWidth="1"/>
    <col min="38" max="38" width="4.7265625" bestFit="1" customWidth="1"/>
    <col min="39" max="39" width="8.90625" bestFit="1" customWidth="1"/>
    <col min="40" max="40" width="12.1796875" bestFit="1" customWidth="1"/>
    <col min="41" max="41" width="4.7265625" bestFit="1" customWidth="1"/>
    <col min="42" max="42" width="8.90625" bestFit="1" customWidth="1"/>
    <col min="43" max="43" width="12.1796875" bestFit="1" customWidth="1"/>
    <col min="44" max="44" width="6.40625" customWidth="1"/>
    <col min="45" max="45" width="8.90625" bestFit="1" customWidth="1"/>
    <col min="46" max="46" width="12.1796875" bestFit="1" customWidth="1"/>
    <col min="47" max="47" width="4.7265625" customWidth="1"/>
    <col min="48" max="48" width="8.90625" bestFit="1" customWidth="1"/>
    <col min="49" max="49" width="12.1796875" bestFit="1" customWidth="1"/>
    <col min="50" max="50" width="4.7265625" customWidth="1"/>
    <col min="51" max="51" width="12.76953125" bestFit="1" customWidth="1"/>
    <col min="52" max="52" width="14" customWidth="1"/>
    <col min="53" max="53" width="12.453125" customWidth="1"/>
    <col min="54" max="54" width="21.453125" bestFit="1" customWidth="1"/>
    <col min="55" max="55" width="21.453125" customWidth="1"/>
    <col min="56" max="56" width="14.1796875" bestFit="1" customWidth="1"/>
    <col min="57" max="57" width="15.1328125" bestFit="1" customWidth="1"/>
    <col min="58" max="58" width="14.953125" bestFit="1" customWidth="1"/>
    <col min="59" max="59" width="14.1796875" bestFit="1" customWidth="1"/>
    <col min="60" max="60" width="20.6796875" customWidth="1"/>
    <col min="61" max="61" width="12.453125" customWidth="1"/>
  </cols>
  <sheetData>
    <row r="1" spans="1:26" ht="16.25" thickTop="1" thickBot="1" x14ac:dyDescent="0.9">
      <c r="A1" s="3" t="s">
        <v>161</v>
      </c>
      <c r="B1" s="5" t="s">
        <v>174</v>
      </c>
      <c r="C1" s="3" t="s">
        <v>175</v>
      </c>
      <c r="D1" s="3" t="s">
        <v>178</v>
      </c>
      <c r="E1" s="3" t="s">
        <v>179</v>
      </c>
      <c r="F1" s="3" t="s">
        <v>180</v>
      </c>
      <c r="G1" s="3" t="s">
        <v>181</v>
      </c>
      <c r="H1" s="3" t="s">
        <v>182</v>
      </c>
      <c r="I1" s="3" t="s">
        <v>183</v>
      </c>
      <c r="J1" s="3" t="s">
        <v>184</v>
      </c>
      <c r="K1" s="3" t="s">
        <v>185</v>
      </c>
      <c r="L1" s="3" t="s">
        <v>186</v>
      </c>
      <c r="M1" s="3" t="s">
        <v>187</v>
      </c>
      <c r="N1" s="3" t="s">
        <v>188</v>
      </c>
      <c r="O1" s="3" t="s">
        <v>189</v>
      </c>
      <c r="P1" s="3" t="s">
        <v>215</v>
      </c>
      <c r="Q1" s="3" t="s">
        <v>216</v>
      </c>
      <c r="R1" s="3" t="s">
        <v>217</v>
      </c>
      <c r="S1" s="6" t="s">
        <v>191</v>
      </c>
      <c r="T1" s="6" t="s">
        <v>218</v>
      </c>
      <c r="U1" s="6" t="s">
        <v>177</v>
      </c>
      <c r="V1" s="6" t="s">
        <v>221</v>
      </c>
      <c r="W1" s="6" t="s">
        <v>219</v>
      </c>
      <c r="X1" s="6" t="s">
        <v>220</v>
      </c>
      <c r="Y1" s="6" t="s">
        <v>177</v>
      </c>
      <c r="Z1" s="6" t="s">
        <v>221</v>
      </c>
    </row>
    <row r="2" spans="1:26" ht="16.25" thickTop="1" thickBot="1" x14ac:dyDescent="0.9">
      <c r="A2" s="3" t="s">
        <v>1</v>
      </c>
      <c r="B2" s="5" t="s">
        <v>162</v>
      </c>
      <c r="C2" s="3">
        <f ca="1">_xlfn.NUMBERVALUE(VLOOKUP(VLOOKUP($B2,Key!$A$17:$B$28,2,FALSE),INDIRECT("'"&amp;C$1&amp;"'!"&amp;"$A$2:$C$23"),2,FALSE))</f>
        <v>88.4</v>
      </c>
      <c r="D2" s="3">
        <f ca="1">_xlfn.NUMBERVALUE(VLOOKUP(VLOOKUP($B2,Key!$A$17:$B$28,2,FALSE),INDIRECT("'"&amp;D$1&amp;"'!"&amp;"$A$2:$C$23"),2,FALSE))</f>
        <v>97</v>
      </c>
      <c r="E2" s="3">
        <f ca="1">_xlfn.NUMBERVALUE(VLOOKUP(VLOOKUP($B2,Key!$A$17:$B$28,2,FALSE),INDIRECT("'"&amp;E$1&amp;"'!"&amp;"$A$2:$C$23"),2,FALSE))</f>
        <v>81.400000000000006</v>
      </c>
      <c r="F2" s="3">
        <f ca="1">_xlfn.NUMBERVALUE(VLOOKUP(VLOOKUP($B2,Key!$A$17:$B$28,2,FALSE),INDIRECT("'"&amp;F$1&amp;"'!"&amp;"$A$2:$C$23"),2,FALSE))</f>
        <v>95.3</v>
      </c>
      <c r="G2" s="3">
        <f ca="1">_xlfn.NUMBERVALUE(VLOOKUP(VLOOKUP($B2,Key!$A$17:$B$28,2,FALSE),INDIRECT("'"&amp;G$1&amp;"'!"&amp;"$A$2:$C$23"),2,FALSE))</f>
        <v>100.6</v>
      </c>
      <c r="H2" s="3">
        <f ca="1">_xlfn.NUMBERVALUE(VLOOKUP(VLOOKUP($B2,Key!$A$17:$B$28,2,FALSE),INDIRECT("'"&amp;H$1&amp;"'!"&amp;"$A$2:$C$23"),2,FALSE))</f>
        <v>57</v>
      </c>
      <c r="I2" s="3">
        <f ca="1">_xlfn.NUMBERVALUE(VLOOKUP(VLOOKUP($B2,Key!$A$17:$B$28,2,FALSE),INDIRECT("'"&amp;I$1&amp;"'!"&amp;"$A$2:$C$23"),2,FALSE))</f>
        <v>108.9</v>
      </c>
      <c r="J2" s="3">
        <f ca="1">_xlfn.NUMBERVALUE(VLOOKUP(VLOOKUP($B2,Key!$A$17:$B$28,2,FALSE),INDIRECT("'"&amp;J$1&amp;"'!"&amp;"$A$2:$C$23"),2,FALSE))</f>
        <v>59.7</v>
      </c>
      <c r="K2" s="3">
        <f ca="1">_xlfn.NUMBERVALUE(VLOOKUP(VLOOKUP($B2,Key!$A$17:$B$28,2,FALSE),INDIRECT("'"&amp;K$1&amp;"'!"&amp;"$A$2:$C$23"),2,FALSE))</f>
        <v>108.1</v>
      </c>
      <c r="L2" s="3">
        <f ca="1">_xlfn.NUMBERVALUE(VLOOKUP(VLOOKUP($B2,Key!$A$17:$B$28,2,FALSE),INDIRECT("'"&amp;L$1&amp;"'!"&amp;"$A$2:$C$23"),2,FALSE))</f>
        <v>73.900000000000006</v>
      </c>
      <c r="M2" s="3">
        <f ca="1">_xlfn.NUMBERVALUE(VLOOKUP(VLOOKUP($B2,Key!$A$17:$B$28,2,FALSE),INDIRECT("'"&amp;M$1&amp;"'!"&amp;"$A$2:$C$23"),2,FALSE))</f>
        <v>81.8</v>
      </c>
      <c r="N2" s="3">
        <f ca="1">_xlfn.NUMBERVALUE(VLOOKUP(VLOOKUP($B2,Key!$A$17:$B$28,2,FALSE),INDIRECT("'"&amp;N$1&amp;"'!"&amp;"$A$2:$C$23"),2,FALSE))</f>
        <v>62.4</v>
      </c>
      <c r="O2" s="3">
        <f ca="1">_xlfn.NUMBERVALUE(VLOOKUP(VLOOKUP($B2,Key!$A$17:$B$28,2,FALSE),INDIRECT("'"&amp;O$1&amp;"'!"&amp;"$A$2:$C$23"),2,FALSE))</f>
        <v>72.7</v>
      </c>
      <c r="P2" s="3">
        <f ca="1">_xlfn.NUMBERVALUE(VLOOKUP(VLOOKUP($B2,Key!$A$17:$B$28,2,FALSE),INDIRECT("'"&amp;P$1&amp;"'!"&amp;"$A$2:$C$23"),2,FALSE))</f>
        <v>118.8</v>
      </c>
      <c r="Q2" s="3">
        <f ca="1">_xlfn.NUMBERVALUE(VLOOKUP(VLOOKUP($B2,Key!$A$17:$B$28,2,FALSE),INDIRECT("'"&amp;Q$1&amp;"'!"&amp;"$A$2:$C$23"),2,FALSE))</f>
        <v>94.5</v>
      </c>
      <c r="R2" s="3">
        <f ca="1">_xlfn.NUMBERVALUE(VLOOKUP(VLOOKUP($B2,Key!$A$17:$B$28,2,FALSE),INDIRECT("'"&amp;R$1&amp;"'!"&amp;"$A$2:$C$23"),2,FALSE))</f>
        <v>62.2</v>
      </c>
      <c r="S2" s="3">
        <f ca="1">MAX(C2:R2)</f>
        <v>118.8</v>
      </c>
      <c r="T2" s="3">
        <f ca="1">SUM(C2:O2)</f>
        <v>1087.2</v>
      </c>
      <c r="U2" s="3">
        <f ca="1">_xlfn.RANK.EQ(T2,$T$2:$T$13,0)</f>
        <v>12</v>
      </c>
      <c r="V2" s="14">
        <f ca="1">T2-MAX(T$2:T$13)</f>
        <v>-228.70000000000005</v>
      </c>
      <c r="W2" s="3">
        <f t="shared" ref="W2:W13" ca="1" si="0">SUM(P2:R2)</f>
        <v>275.5</v>
      </c>
      <c r="X2" s="4">
        <f t="shared" ref="X2:X13" ca="1" si="1">SUM(P2:R2)/(COUNT(P2:R2))</f>
        <v>91.833333333333329</v>
      </c>
      <c r="Y2" s="3">
        <f t="shared" ref="Y2:Y13" ca="1" si="2">_xlfn.RANK.EQ(X2,$X$2:$X$13,0)</f>
        <v>7</v>
      </c>
      <c r="Z2" s="14">
        <f ca="1">X2-MAX(X$2:X$13)</f>
        <v>-42.833333333333329</v>
      </c>
    </row>
    <row r="3" spans="1:26" ht="16.25" thickTop="1" thickBot="1" x14ac:dyDescent="0.9">
      <c r="A3" s="3" t="s">
        <v>3</v>
      </c>
      <c r="B3" s="5" t="s">
        <v>163</v>
      </c>
      <c r="C3" s="3">
        <f ca="1">_xlfn.NUMBERVALUE(VLOOKUP(VLOOKUP($B3,Key!$A$17:$B$28,2,FALSE),INDIRECT("'"&amp;C$1&amp;"'!"&amp;"$A$2:$C$23"),2,FALSE))</f>
        <v>93.9</v>
      </c>
      <c r="D3" s="3">
        <f ca="1">_xlfn.NUMBERVALUE(VLOOKUP(VLOOKUP($B3,Key!$A$17:$B$28,2,FALSE),INDIRECT("'"&amp;D$1&amp;"'!"&amp;"$A$2:$C$23"),2,FALSE))</f>
        <v>123.6</v>
      </c>
      <c r="E3" s="3">
        <f ca="1">_xlfn.NUMBERVALUE(VLOOKUP(VLOOKUP($B3,Key!$A$17:$B$28,2,FALSE),INDIRECT("'"&amp;E$1&amp;"'!"&amp;"$A$2:$C$23"),2,FALSE))</f>
        <v>71.599999999999994</v>
      </c>
      <c r="F3" s="3">
        <f ca="1">_xlfn.NUMBERVALUE(VLOOKUP(VLOOKUP($B3,Key!$A$17:$B$28,2,FALSE),INDIRECT("'"&amp;F$1&amp;"'!"&amp;"$A$2:$C$23"),2,FALSE))</f>
        <v>72.5</v>
      </c>
      <c r="G3" s="3">
        <f ca="1">_xlfn.NUMBERVALUE(VLOOKUP(VLOOKUP($B3,Key!$A$17:$B$28,2,FALSE),INDIRECT("'"&amp;G$1&amp;"'!"&amp;"$A$2:$C$23"),2,FALSE))</f>
        <v>93.9</v>
      </c>
      <c r="H3" s="3">
        <f ca="1">_xlfn.NUMBERVALUE(VLOOKUP(VLOOKUP($B3,Key!$A$17:$B$28,2,FALSE),INDIRECT("'"&amp;H$1&amp;"'!"&amp;"$A$2:$C$23"),2,FALSE))</f>
        <v>108.2</v>
      </c>
      <c r="I3" s="3">
        <f ca="1">_xlfn.NUMBERVALUE(VLOOKUP(VLOOKUP($B3,Key!$A$17:$B$28,2,FALSE),INDIRECT("'"&amp;I$1&amp;"'!"&amp;"$A$2:$C$23"),2,FALSE))</f>
        <v>89.1</v>
      </c>
      <c r="J3" s="3">
        <f ca="1">_xlfn.NUMBERVALUE(VLOOKUP(VLOOKUP($B3,Key!$A$17:$B$28,2,FALSE),INDIRECT("'"&amp;J$1&amp;"'!"&amp;"$A$2:$C$23"),2,FALSE))</f>
        <v>111.4</v>
      </c>
      <c r="K3" s="3">
        <f ca="1">_xlfn.NUMBERVALUE(VLOOKUP(VLOOKUP($B3,Key!$A$17:$B$28,2,FALSE),INDIRECT("'"&amp;K$1&amp;"'!"&amp;"$A$2:$C$23"),2,FALSE))</f>
        <v>70.3</v>
      </c>
      <c r="L3" s="3">
        <f ca="1">_xlfn.NUMBERVALUE(VLOOKUP(VLOOKUP($B3,Key!$A$17:$B$28,2,FALSE),INDIRECT("'"&amp;L$1&amp;"'!"&amp;"$A$2:$C$23"),2,FALSE))</f>
        <v>137.6</v>
      </c>
      <c r="M3" s="3">
        <f ca="1">_xlfn.NUMBERVALUE(VLOOKUP(VLOOKUP($B3,Key!$A$17:$B$28,2,FALSE),INDIRECT("'"&amp;M$1&amp;"'!"&amp;"$A$2:$C$23"),2,FALSE))</f>
        <v>105.2</v>
      </c>
      <c r="N3" s="3">
        <f ca="1">_xlfn.NUMBERVALUE(VLOOKUP(VLOOKUP($B3,Key!$A$17:$B$28,2,FALSE),INDIRECT("'"&amp;N$1&amp;"'!"&amp;"$A$2:$C$23"),2,FALSE))</f>
        <v>64.400000000000006</v>
      </c>
      <c r="O3" s="3">
        <f ca="1">_xlfn.NUMBERVALUE(VLOOKUP(VLOOKUP($B3,Key!$A$17:$B$28,2,FALSE),INDIRECT("'"&amp;O$1&amp;"'!"&amp;"$A$2:$C$23"),2,FALSE))</f>
        <v>73</v>
      </c>
      <c r="P3" s="3">
        <f ca="1">_xlfn.NUMBERVALUE(VLOOKUP(VLOOKUP($B3,Key!$A$17:$B$28,2,FALSE),INDIRECT("'"&amp;P$1&amp;"'!"&amp;"$A$2:$C$23"),2,FALSE))</f>
        <v>96</v>
      </c>
      <c r="Q3" s="3">
        <f ca="1">_xlfn.NUMBERVALUE(VLOOKUP(VLOOKUP($B3,Key!$A$17:$B$28,2,FALSE),INDIRECT("'"&amp;Q$1&amp;"'!"&amp;"$A$2:$C$23"),2,FALSE))</f>
        <v>88.6</v>
      </c>
      <c r="R3" s="3">
        <f ca="1">_xlfn.NUMBERVALUE(VLOOKUP(VLOOKUP($B3,Key!$A$17:$B$28,2,FALSE),INDIRECT("'"&amp;R$1&amp;"'!"&amp;"$A$2:$C$23"),2,FALSE))</f>
        <v>107.3</v>
      </c>
      <c r="S3" s="3">
        <f t="shared" ref="S3:S13" ca="1" si="3">MAX(C3:O3)</f>
        <v>137.6</v>
      </c>
      <c r="T3" s="3">
        <f t="shared" ref="T3:T13" ca="1" si="4">SUM(C3:O3)</f>
        <v>1214.7</v>
      </c>
      <c r="U3" s="3">
        <f t="shared" ref="U3:U13" ca="1" si="5">_xlfn.RANK.EQ(T3,$T$2:$T$13,0)</f>
        <v>6</v>
      </c>
      <c r="V3" s="14">
        <f t="shared" ref="V3:V13" ca="1" si="6">T3-MAX(T$2:T$13)</f>
        <v>-101.20000000000005</v>
      </c>
      <c r="W3" s="3">
        <f t="shared" ca="1" si="0"/>
        <v>291.89999999999998</v>
      </c>
      <c r="X3" s="4">
        <f t="shared" ca="1" si="1"/>
        <v>97.3</v>
      </c>
      <c r="Y3" s="3">
        <f t="shared" ca="1" si="2"/>
        <v>3</v>
      </c>
      <c r="Z3" s="14">
        <f t="shared" ref="Z3:Z13" ca="1" si="7">X3-MAX(X$2:X$13)</f>
        <v>-37.36666666666666</v>
      </c>
    </row>
    <row r="4" spans="1:26" ht="16.25" thickTop="1" thickBot="1" x14ac:dyDescent="0.9">
      <c r="A4" s="3" t="s">
        <v>6</v>
      </c>
      <c r="B4" s="5" t="s">
        <v>164</v>
      </c>
      <c r="C4" s="3">
        <f ca="1">_xlfn.NUMBERVALUE(VLOOKUP(VLOOKUP($B4,Key!$A$17:$B$28,2,FALSE),INDIRECT("'"&amp;C$1&amp;"'!"&amp;"$A$2:$C$23"),2,FALSE))</f>
        <v>63.9</v>
      </c>
      <c r="D4" s="3">
        <f ca="1">_xlfn.NUMBERVALUE(VLOOKUP(VLOOKUP($B4,Key!$A$17:$B$28,2,FALSE),INDIRECT("'"&amp;D$1&amp;"'!"&amp;"$A$2:$C$23"),2,FALSE))</f>
        <v>83.3</v>
      </c>
      <c r="E4" s="3">
        <f ca="1">_xlfn.NUMBERVALUE(VLOOKUP(VLOOKUP($B4,Key!$A$17:$B$28,2,FALSE),INDIRECT("'"&amp;E$1&amp;"'!"&amp;"$A$2:$C$23"),2,FALSE))</f>
        <v>58.6</v>
      </c>
      <c r="F4" s="3">
        <f ca="1">_xlfn.NUMBERVALUE(VLOOKUP(VLOOKUP($B4,Key!$A$17:$B$28,2,FALSE),INDIRECT("'"&amp;F$1&amp;"'!"&amp;"$A$2:$C$23"),2,FALSE))</f>
        <v>75.7</v>
      </c>
      <c r="G4" s="3">
        <f ca="1">_xlfn.NUMBERVALUE(VLOOKUP(VLOOKUP($B4,Key!$A$17:$B$28,2,FALSE),INDIRECT("'"&amp;G$1&amp;"'!"&amp;"$A$2:$C$23"),2,FALSE))</f>
        <v>63.7</v>
      </c>
      <c r="H4" s="3">
        <f ca="1">_xlfn.NUMBERVALUE(VLOOKUP(VLOOKUP($B4,Key!$A$17:$B$28,2,FALSE),INDIRECT("'"&amp;H$1&amp;"'!"&amp;"$A$2:$C$23"),2,FALSE))</f>
        <v>129.9</v>
      </c>
      <c r="I4" s="3">
        <f ca="1">_xlfn.NUMBERVALUE(VLOOKUP(VLOOKUP($B4,Key!$A$17:$B$28,2,FALSE),INDIRECT("'"&amp;I$1&amp;"'!"&amp;"$A$2:$C$23"),2,FALSE))</f>
        <v>87.9</v>
      </c>
      <c r="J4" s="3">
        <f ca="1">_xlfn.NUMBERVALUE(VLOOKUP(VLOOKUP($B4,Key!$A$17:$B$28,2,FALSE),INDIRECT("'"&amp;J$1&amp;"'!"&amp;"$A$2:$C$23"),2,FALSE))</f>
        <v>89.3</v>
      </c>
      <c r="K4" s="3">
        <f ca="1">_xlfn.NUMBERVALUE(VLOOKUP(VLOOKUP($B4,Key!$A$17:$B$28,2,FALSE),INDIRECT("'"&amp;K$1&amp;"'!"&amp;"$A$2:$C$23"),2,FALSE))</f>
        <v>85.5</v>
      </c>
      <c r="L4" s="3">
        <f ca="1">_xlfn.NUMBERVALUE(VLOOKUP(VLOOKUP($B4,Key!$A$17:$B$28,2,FALSE),INDIRECT("'"&amp;L$1&amp;"'!"&amp;"$A$2:$C$23"),2,FALSE))</f>
        <v>123.4</v>
      </c>
      <c r="M4" s="3">
        <f ca="1">_xlfn.NUMBERVALUE(VLOOKUP(VLOOKUP($B4,Key!$A$17:$B$28,2,FALSE),INDIRECT("'"&amp;M$1&amp;"'!"&amp;"$A$2:$C$23"),2,FALSE))</f>
        <v>117.4</v>
      </c>
      <c r="N4" s="3">
        <f ca="1">_xlfn.NUMBERVALUE(VLOOKUP(VLOOKUP($B4,Key!$A$17:$B$28,2,FALSE),INDIRECT("'"&amp;N$1&amp;"'!"&amp;"$A$2:$C$23"),2,FALSE))</f>
        <v>86.2</v>
      </c>
      <c r="O4" s="3">
        <f ca="1">_xlfn.NUMBERVALUE(VLOOKUP(VLOOKUP($B4,Key!$A$17:$B$28,2,FALSE),INDIRECT("'"&amp;O$1&amp;"'!"&amp;"$A$2:$C$23"),2,FALSE))</f>
        <v>109</v>
      </c>
      <c r="P4" s="3">
        <f ca="1">_xlfn.NUMBERVALUE(VLOOKUP(VLOOKUP($B4,Key!$A$17:$B$28,2,FALSE),INDIRECT("'"&amp;P$1&amp;"'!"&amp;"$A$2:$C$23"),2,FALSE))</f>
        <v>112.7</v>
      </c>
      <c r="Q4" s="3">
        <f ca="1">_xlfn.NUMBERVALUE(VLOOKUP(VLOOKUP($B4,Key!$A$17:$B$28,2,FALSE),INDIRECT("'"&amp;Q$1&amp;"'!"&amp;"$A$2:$C$23"),2,FALSE))</f>
        <v>82.9</v>
      </c>
      <c r="R4" s="3">
        <f ca="1">_xlfn.NUMBERVALUE(VLOOKUP(VLOOKUP($B4,Key!$A$17:$B$28,2,FALSE),INDIRECT("'"&amp;R$1&amp;"'!"&amp;"$A$2:$C$23"),2,FALSE))</f>
        <v>77.099999999999994</v>
      </c>
      <c r="S4" s="3">
        <f t="shared" ca="1" si="3"/>
        <v>129.9</v>
      </c>
      <c r="T4" s="3">
        <f t="shared" ca="1" si="4"/>
        <v>1173.8</v>
      </c>
      <c r="U4" s="3">
        <f t="shared" ca="1" si="5"/>
        <v>8</v>
      </c>
      <c r="V4" s="14">
        <f t="shared" ca="1" si="6"/>
        <v>-142.10000000000014</v>
      </c>
      <c r="W4" s="3">
        <f t="shared" ca="1" si="0"/>
        <v>272.70000000000005</v>
      </c>
      <c r="X4" s="4">
        <f t="shared" ca="1" si="1"/>
        <v>90.90000000000002</v>
      </c>
      <c r="Y4" s="3">
        <f t="shared" ca="1" si="2"/>
        <v>8</v>
      </c>
      <c r="Z4" s="14">
        <f t="shared" ca="1" si="7"/>
        <v>-43.766666666666637</v>
      </c>
    </row>
    <row r="5" spans="1:26" ht="16.25" thickTop="1" thickBot="1" x14ac:dyDescent="0.9">
      <c r="A5" s="3" t="s">
        <v>8</v>
      </c>
      <c r="B5" s="5" t="s">
        <v>165</v>
      </c>
      <c r="C5" s="3">
        <f ca="1">_xlfn.NUMBERVALUE(VLOOKUP(VLOOKUP($B5,Key!$A$17:$B$28,2,FALSE),INDIRECT("'"&amp;C$1&amp;"'!"&amp;"$A$2:$C$23"),2,FALSE))</f>
        <v>81</v>
      </c>
      <c r="D5" s="3">
        <f ca="1">_xlfn.NUMBERVALUE(VLOOKUP(VLOOKUP($B5,Key!$A$17:$B$28,2,FALSE),INDIRECT("'"&amp;D$1&amp;"'!"&amp;"$A$2:$C$23"),2,FALSE))</f>
        <v>91.1</v>
      </c>
      <c r="E5" s="3">
        <f ca="1">_xlfn.NUMBERVALUE(VLOOKUP(VLOOKUP($B5,Key!$A$17:$B$28,2,FALSE),INDIRECT("'"&amp;E$1&amp;"'!"&amp;"$A$2:$C$23"),2,FALSE))</f>
        <v>95.9</v>
      </c>
      <c r="F5" s="3">
        <f ca="1">_xlfn.NUMBERVALUE(VLOOKUP(VLOOKUP($B5,Key!$A$17:$B$28,2,FALSE),INDIRECT("'"&amp;F$1&amp;"'!"&amp;"$A$2:$C$23"),2,FALSE))</f>
        <v>86</v>
      </c>
      <c r="G5" s="3">
        <f ca="1">_xlfn.NUMBERVALUE(VLOOKUP(VLOOKUP($B5,Key!$A$17:$B$28,2,FALSE),INDIRECT("'"&amp;G$1&amp;"'!"&amp;"$A$2:$C$23"),2,FALSE))</f>
        <v>65.5</v>
      </c>
      <c r="H5" s="3">
        <f ca="1">_xlfn.NUMBERVALUE(VLOOKUP(VLOOKUP($B5,Key!$A$17:$B$28,2,FALSE),INDIRECT("'"&amp;H$1&amp;"'!"&amp;"$A$2:$C$23"),2,FALSE))</f>
        <v>85.8</v>
      </c>
      <c r="I5" s="3">
        <f ca="1">_xlfn.NUMBERVALUE(VLOOKUP(VLOOKUP($B5,Key!$A$17:$B$28,2,FALSE),INDIRECT("'"&amp;I$1&amp;"'!"&amp;"$A$2:$C$23"),2,FALSE))</f>
        <v>91.3</v>
      </c>
      <c r="J5" s="3">
        <f ca="1">_xlfn.NUMBERVALUE(VLOOKUP(VLOOKUP($B5,Key!$A$17:$B$28,2,FALSE),INDIRECT("'"&amp;J$1&amp;"'!"&amp;"$A$2:$C$23"),2,FALSE))</f>
        <v>82.8</v>
      </c>
      <c r="K5" s="3">
        <f ca="1">_xlfn.NUMBERVALUE(VLOOKUP(VLOOKUP($B5,Key!$A$17:$B$28,2,FALSE),INDIRECT("'"&amp;K$1&amp;"'!"&amp;"$A$2:$C$23"),2,FALSE))</f>
        <v>102.8</v>
      </c>
      <c r="L5" s="3">
        <f ca="1">_xlfn.NUMBERVALUE(VLOOKUP(VLOOKUP($B5,Key!$A$17:$B$28,2,FALSE),INDIRECT("'"&amp;L$1&amp;"'!"&amp;"$A$2:$C$23"),2,FALSE))</f>
        <v>65.599999999999994</v>
      </c>
      <c r="M5" s="3">
        <f ca="1">_xlfn.NUMBERVALUE(VLOOKUP(VLOOKUP($B5,Key!$A$17:$B$28,2,FALSE),INDIRECT("'"&amp;M$1&amp;"'!"&amp;"$A$2:$C$23"),2,FALSE))</f>
        <v>100.6</v>
      </c>
      <c r="N5" s="3">
        <f ca="1">_xlfn.NUMBERVALUE(VLOOKUP(VLOOKUP($B5,Key!$A$17:$B$28,2,FALSE),INDIRECT("'"&amp;N$1&amp;"'!"&amp;"$A$2:$C$23"),2,FALSE))</f>
        <v>121.6</v>
      </c>
      <c r="O5" s="3">
        <f ca="1">_xlfn.NUMBERVALUE(VLOOKUP(VLOOKUP($B5,Key!$A$17:$B$28,2,FALSE),INDIRECT("'"&amp;O$1&amp;"'!"&amp;"$A$2:$C$23"),2,FALSE))</f>
        <v>79.400000000000006</v>
      </c>
      <c r="P5" s="3">
        <f ca="1">_xlfn.NUMBERVALUE(VLOOKUP(VLOOKUP($B5,Key!$A$17:$B$28,2,FALSE),INDIRECT("'"&amp;P$1&amp;"'!"&amp;"$A$2:$C$23"),2,FALSE))</f>
        <v>102.6</v>
      </c>
      <c r="Q5" s="3">
        <f ca="1">_xlfn.NUMBERVALUE(VLOOKUP(VLOOKUP($B5,Key!$A$17:$B$28,2,FALSE),INDIRECT("'"&amp;Q$1&amp;"'!"&amp;"$A$2:$C$23"),2,FALSE))</f>
        <v>138.30000000000001</v>
      </c>
      <c r="R5" s="3">
        <f ca="1">_xlfn.NUMBERVALUE(VLOOKUP(VLOOKUP($B5,Key!$A$17:$B$28,2,FALSE),INDIRECT("'"&amp;R$1&amp;"'!"&amp;"$A$2:$C$23"),2,FALSE))</f>
        <v>163.1</v>
      </c>
      <c r="S5" s="3">
        <f t="shared" ca="1" si="3"/>
        <v>121.6</v>
      </c>
      <c r="T5" s="3">
        <f t="shared" ca="1" si="4"/>
        <v>1149.4000000000001</v>
      </c>
      <c r="U5" s="3">
        <f t="shared" ca="1" si="5"/>
        <v>11</v>
      </c>
      <c r="V5" s="14">
        <f t="shared" ca="1" si="6"/>
        <v>-166.5</v>
      </c>
      <c r="W5" s="3">
        <f t="shared" ca="1" si="0"/>
        <v>404</v>
      </c>
      <c r="X5" s="4">
        <f t="shared" ca="1" si="1"/>
        <v>134.66666666666666</v>
      </c>
      <c r="Y5" s="3">
        <f t="shared" ca="1" si="2"/>
        <v>1</v>
      </c>
      <c r="Z5" s="14">
        <f t="shared" ca="1" si="7"/>
        <v>0</v>
      </c>
    </row>
    <row r="6" spans="1:26" ht="16.25" thickTop="1" thickBot="1" x14ac:dyDescent="0.9">
      <c r="A6" s="3" t="s">
        <v>11</v>
      </c>
      <c r="B6" s="5" t="s">
        <v>166</v>
      </c>
      <c r="C6" s="3">
        <f ca="1">_xlfn.NUMBERVALUE(VLOOKUP(VLOOKUP($B6,Key!$A$17:$B$28,2,FALSE),INDIRECT("'"&amp;C$1&amp;"'!"&amp;"$A$2:$C$23"),2,FALSE))</f>
        <v>86.5</v>
      </c>
      <c r="D6" s="3">
        <f ca="1">_xlfn.NUMBERVALUE(VLOOKUP(VLOOKUP($B6,Key!$A$17:$B$28,2,FALSE),INDIRECT("'"&amp;D$1&amp;"'!"&amp;"$A$2:$C$23"),2,FALSE))</f>
        <v>75.099999999999994</v>
      </c>
      <c r="E6" s="3">
        <f ca="1">_xlfn.NUMBERVALUE(VLOOKUP(VLOOKUP($B6,Key!$A$17:$B$28,2,FALSE),INDIRECT("'"&amp;E$1&amp;"'!"&amp;"$A$2:$C$23"),2,FALSE))</f>
        <v>129.80000000000001</v>
      </c>
      <c r="F6" s="3">
        <f ca="1">_xlfn.NUMBERVALUE(VLOOKUP(VLOOKUP($B6,Key!$A$17:$B$28,2,FALSE),INDIRECT("'"&amp;F$1&amp;"'!"&amp;"$A$2:$C$23"),2,FALSE))</f>
        <v>97.1</v>
      </c>
      <c r="G6" s="3">
        <f ca="1">_xlfn.NUMBERVALUE(VLOOKUP(VLOOKUP($B6,Key!$A$17:$B$28,2,FALSE),INDIRECT("'"&amp;G$1&amp;"'!"&amp;"$A$2:$C$23"),2,FALSE))</f>
        <v>70.900000000000006</v>
      </c>
      <c r="H6" s="3">
        <f ca="1">_xlfn.NUMBERVALUE(VLOOKUP(VLOOKUP($B6,Key!$A$17:$B$28,2,FALSE),INDIRECT("'"&amp;H$1&amp;"'!"&amp;"$A$2:$C$23"),2,FALSE))</f>
        <v>117.4</v>
      </c>
      <c r="I6" s="3">
        <f ca="1">_xlfn.NUMBERVALUE(VLOOKUP(VLOOKUP($B6,Key!$A$17:$B$28,2,FALSE),INDIRECT("'"&amp;I$1&amp;"'!"&amp;"$A$2:$C$23"),2,FALSE))</f>
        <v>110</v>
      </c>
      <c r="J6" s="3">
        <f ca="1">_xlfn.NUMBERVALUE(VLOOKUP(VLOOKUP($B6,Key!$A$17:$B$28,2,FALSE),INDIRECT("'"&amp;J$1&amp;"'!"&amp;"$A$2:$C$23"),2,FALSE))</f>
        <v>96.4</v>
      </c>
      <c r="K6" s="3">
        <f ca="1">_xlfn.NUMBERVALUE(VLOOKUP(VLOOKUP($B6,Key!$A$17:$B$28,2,FALSE),INDIRECT("'"&amp;K$1&amp;"'!"&amp;"$A$2:$C$23"),2,FALSE))</f>
        <v>99.8</v>
      </c>
      <c r="L6" s="3">
        <f ca="1">_xlfn.NUMBERVALUE(VLOOKUP(VLOOKUP($B6,Key!$A$17:$B$28,2,FALSE),INDIRECT("'"&amp;L$1&amp;"'!"&amp;"$A$2:$C$23"),2,FALSE))</f>
        <v>83.6</v>
      </c>
      <c r="M6" s="3">
        <f ca="1">_xlfn.NUMBERVALUE(VLOOKUP(VLOOKUP($B6,Key!$A$17:$B$28,2,FALSE),INDIRECT("'"&amp;M$1&amp;"'!"&amp;"$A$2:$C$23"),2,FALSE))</f>
        <v>116.5</v>
      </c>
      <c r="N6" s="3">
        <f ca="1">_xlfn.NUMBERVALUE(VLOOKUP(VLOOKUP($B6,Key!$A$17:$B$28,2,FALSE),INDIRECT("'"&amp;N$1&amp;"'!"&amp;"$A$2:$C$23"),2,FALSE))</f>
        <v>89</v>
      </c>
      <c r="O6" s="3">
        <f ca="1">_xlfn.NUMBERVALUE(VLOOKUP(VLOOKUP($B6,Key!$A$17:$B$28,2,FALSE),INDIRECT("'"&amp;O$1&amp;"'!"&amp;"$A$2:$C$23"),2,FALSE))</f>
        <v>121</v>
      </c>
      <c r="P6" s="3">
        <f ca="1">_xlfn.NUMBERVALUE(VLOOKUP(VLOOKUP($B6,Key!$A$17:$B$28,2,FALSE),INDIRECT("'"&amp;P$1&amp;"'!"&amp;"$A$2:$C$23"),2,FALSE))</f>
        <v>92.6</v>
      </c>
      <c r="Q6" s="3">
        <f ca="1">_xlfn.NUMBERVALUE(VLOOKUP(VLOOKUP($B6,Key!$A$17:$B$28,2,FALSE),INDIRECT("'"&amp;Q$1&amp;"'!"&amp;"$A$2:$C$23"),2,FALSE))</f>
        <v>75.599999999999994</v>
      </c>
      <c r="R6" s="3">
        <f ca="1">_xlfn.NUMBERVALUE(VLOOKUP(VLOOKUP($B6,Key!$A$17:$B$28,2,FALSE),INDIRECT("'"&amp;R$1&amp;"'!"&amp;"$A$2:$C$23"),2,FALSE))</f>
        <v>70.3</v>
      </c>
      <c r="S6" s="3">
        <f t="shared" ca="1" si="3"/>
        <v>129.80000000000001</v>
      </c>
      <c r="T6" s="3">
        <f t="shared" ca="1" si="4"/>
        <v>1293.0999999999999</v>
      </c>
      <c r="U6" s="3">
        <f t="shared" ca="1" si="5"/>
        <v>3</v>
      </c>
      <c r="V6" s="14">
        <f t="shared" ca="1" si="6"/>
        <v>-22.800000000000182</v>
      </c>
      <c r="W6" s="3">
        <f t="shared" ca="1" si="0"/>
        <v>238.5</v>
      </c>
      <c r="X6" s="4">
        <f t="shared" ca="1" si="1"/>
        <v>79.5</v>
      </c>
      <c r="Y6" s="3">
        <f t="shared" ca="1" si="2"/>
        <v>11</v>
      </c>
      <c r="Z6" s="14">
        <f t="shared" ca="1" si="7"/>
        <v>-55.166666666666657</v>
      </c>
    </row>
    <row r="7" spans="1:26" ht="16.25" thickTop="1" thickBot="1" x14ac:dyDescent="0.9">
      <c r="A7" s="3" t="s">
        <v>13</v>
      </c>
      <c r="B7" s="5" t="s">
        <v>167</v>
      </c>
      <c r="C7" s="3">
        <f ca="1">_xlfn.NUMBERVALUE(VLOOKUP(VLOOKUP($B7,Key!$A$17:$B$28,2,FALSE),INDIRECT("'"&amp;C$1&amp;"'!"&amp;"$A$2:$C$23"),2,FALSE))</f>
        <v>87.8</v>
      </c>
      <c r="D7" s="3">
        <f ca="1">_xlfn.NUMBERVALUE(VLOOKUP(VLOOKUP($B7,Key!$A$17:$B$28,2,FALSE),INDIRECT("'"&amp;D$1&amp;"'!"&amp;"$A$2:$C$23"),2,FALSE))</f>
        <v>96</v>
      </c>
      <c r="E7" s="3">
        <f ca="1">_xlfn.NUMBERVALUE(VLOOKUP(VLOOKUP($B7,Key!$A$17:$B$28,2,FALSE),INDIRECT("'"&amp;E$1&amp;"'!"&amp;"$A$2:$C$23"),2,FALSE))</f>
        <v>109</v>
      </c>
      <c r="F7" s="3">
        <f ca="1">_xlfn.NUMBERVALUE(VLOOKUP(VLOOKUP($B7,Key!$A$17:$B$28,2,FALSE),INDIRECT("'"&amp;F$1&amp;"'!"&amp;"$A$2:$C$23"),2,FALSE))</f>
        <v>59.9</v>
      </c>
      <c r="G7" s="3">
        <f ca="1">_xlfn.NUMBERVALUE(VLOOKUP(VLOOKUP($B7,Key!$A$17:$B$28,2,FALSE),INDIRECT("'"&amp;G$1&amp;"'!"&amp;"$A$2:$C$23"),2,FALSE))</f>
        <v>109.7</v>
      </c>
      <c r="H7" s="3">
        <f ca="1">_xlfn.NUMBERVALUE(VLOOKUP(VLOOKUP($B7,Key!$A$17:$B$28,2,FALSE),INDIRECT("'"&amp;H$1&amp;"'!"&amp;"$A$2:$C$23"),2,FALSE))</f>
        <v>105.3</v>
      </c>
      <c r="I7" s="3">
        <f ca="1">_xlfn.NUMBERVALUE(VLOOKUP(VLOOKUP($B7,Key!$A$17:$B$28,2,FALSE),INDIRECT("'"&amp;I$1&amp;"'!"&amp;"$A$2:$C$23"),2,FALSE))</f>
        <v>88.5</v>
      </c>
      <c r="J7" s="3">
        <f ca="1">_xlfn.NUMBERVALUE(VLOOKUP(VLOOKUP($B7,Key!$A$17:$B$28,2,FALSE),INDIRECT("'"&amp;J$1&amp;"'!"&amp;"$A$2:$C$23"),2,FALSE))</f>
        <v>87</v>
      </c>
      <c r="K7" s="3">
        <f ca="1">_xlfn.NUMBERVALUE(VLOOKUP(VLOOKUP($B7,Key!$A$17:$B$28,2,FALSE),INDIRECT("'"&amp;K$1&amp;"'!"&amp;"$A$2:$C$23"),2,FALSE))</f>
        <v>106</v>
      </c>
      <c r="L7" s="3">
        <f ca="1">_xlfn.NUMBERVALUE(VLOOKUP(VLOOKUP($B7,Key!$A$17:$B$28,2,FALSE),INDIRECT("'"&amp;L$1&amp;"'!"&amp;"$A$2:$C$23"),2,FALSE))</f>
        <v>101.6</v>
      </c>
      <c r="M7" s="3">
        <f ca="1">_xlfn.NUMBERVALUE(VLOOKUP(VLOOKUP($B7,Key!$A$17:$B$28,2,FALSE),INDIRECT("'"&amp;M$1&amp;"'!"&amp;"$A$2:$C$23"),2,FALSE))</f>
        <v>130.1</v>
      </c>
      <c r="N7" s="3">
        <f ca="1">_xlfn.NUMBERVALUE(VLOOKUP(VLOOKUP($B7,Key!$A$17:$B$28,2,FALSE),INDIRECT("'"&amp;N$1&amp;"'!"&amp;"$A$2:$C$23"),2,FALSE))</f>
        <v>134.9</v>
      </c>
      <c r="O7" s="3">
        <f ca="1">_xlfn.NUMBERVALUE(VLOOKUP(VLOOKUP($B7,Key!$A$17:$B$28,2,FALSE),INDIRECT("'"&amp;O$1&amp;"'!"&amp;"$A$2:$C$23"),2,FALSE))</f>
        <v>96.4</v>
      </c>
      <c r="P7" s="3">
        <f ca="1">_xlfn.NUMBERVALUE(VLOOKUP(VLOOKUP($B7,Key!$A$17:$B$28,2,FALSE),INDIRECT("'"&amp;P$1&amp;"'!"&amp;"$A$2:$C$23"),2,FALSE))</f>
        <v>104.3</v>
      </c>
      <c r="Q7" s="3">
        <f ca="1">_xlfn.NUMBERVALUE(VLOOKUP(VLOOKUP($B7,Key!$A$17:$B$28,2,FALSE),INDIRECT("'"&amp;Q$1&amp;"'!"&amp;"$A$2:$C$23"),2,FALSE))</f>
        <v>94</v>
      </c>
      <c r="R7" s="3">
        <f ca="1">_xlfn.NUMBERVALUE(VLOOKUP(VLOOKUP($B7,Key!$A$17:$B$28,2,FALSE),INDIRECT("'"&amp;R$1&amp;"'!"&amp;"$A$2:$C$23"),2,FALSE))</f>
        <v>62.9</v>
      </c>
      <c r="S7" s="3">
        <f t="shared" ca="1" si="3"/>
        <v>134.9</v>
      </c>
      <c r="T7" s="3">
        <f t="shared" ca="1" si="4"/>
        <v>1312.2</v>
      </c>
      <c r="U7" s="3">
        <f t="shared" ca="1" si="5"/>
        <v>2</v>
      </c>
      <c r="V7" s="14">
        <f t="shared" ca="1" si="6"/>
        <v>-3.7000000000000455</v>
      </c>
      <c r="W7" s="3">
        <f t="shared" ca="1" si="0"/>
        <v>261.2</v>
      </c>
      <c r="X7" s="4">
        <f t="shared" ca="1" si="1"/>
        <v>87.066666666666663</v>
      </c>
      <c r="Y7" s="3">
        <f t="shared" ca="1" si="2"/>
        <v>9</v>
      </c>
      <c r="Z7" s="14">
        <f t="shared" ca="1" si="7"/>
        <v>-47.599999999999994</v>
      </c>
    </row>
    <row r="8" spans="1:26" ht="16.25" thickTop="1" thickBot="1" x14ac:dyDescent="0.9">
      <c r="A8" s="3" t="s">
        <v>16</v>
      </c>
      <c r="B8" s="5" t="s">
        <v>168</v>
      </c>
      <c r="C8" s="3">
        <f ca="1">_xlfn.NUMBERVALUE(VLOOKUP(VLOOKUP($B8,Key!$A$17:$B$28,2,FALSE),INDIRECT("'"&amp;C$1&amp;"'!"&amp;"$A$2:$C$23"),2,FALSE))</f>
        <v>72.099999999999994</v>
      </c>
      <c r="D8" s="3">
        <f ca="1">_xlfn.NUMBERVALUE(VLOOKUP(VLOOKUP($B8,Key!$A$17:$B$28,2,FALSE),INDIRECT("'"&amp;D$1&amp;"'!"&amp;"$A$2:$C$23"),2,FALSE))</f>
        <v>86.7</v>
      </c>
      <c r="E8" s="3">
        <f ca="1">_xlfn.NUMBERVALUE(VLOOKUP(VLOOKUP($B8,Key!$A$17:$B$28,2,FALSE),INDIRECT("'"&amp;E$1&amp;"'!"&amp;"$A$2:$C$23"),2,FALSE))</f>
        <v>113.6</v>
      </c>
      <c r="F8" s="3">
        <f ca="1">_xlfn.NUMBERVALUE(VLOOKUP(VLOOKUP($B8,Key!$A$17:$B$28,2,FALSE),INDIRECT("'"&amp;F$1&amp;"'!"&amp;"$A$2:$C$23"),2,FALSE))</f>
        <v>127</v>
      </c>
      <c r="G8" s="3">
        <f ca="1">_xlfn.NUMBERVALUE(VLOOKUP(VLOOKUP($B8,Key!$A$17:$B$28,2,FALSE),INDIRECT("'"&amp;G$1&amp;"'!"&amp;"$A$2:$C$23"),2,FALSE))</f>
        <v>106.4</v>
      </c>
      <c r="H8" s="3">
        <f ca="1">_xlfn.NUMBERVALUE(VLOOKUP(VLOOKUP($B8,Key!$A$17:$B$28,2,FALSE),INDIRECT("'"&amp;H$1&amp;"'!"&amp;"$A$2:$C$23"),2,FALSE))</f>
        <v>78.099999999999994</v>
      </c>
      <c r="I8" s="3">
        <f ca="1">_xlfn.NUMBERVALUE(VLOOKUP(VLOOKUP($B8,Key!$A$17:$B$28,2,FALSE),INDIRECT("'"&amp;I$1&amp;"'!"&amp;"$A$2:$C$23"),2,FALSE))</f>
        <v>141.1</v>
      </c>
      <c r="J8" s="3">
        <f ca="1">_xlfn.NUMBERVALUE(VLOOKUP(VLOOKUP($B8,Key!$A$17:$B$28,2,FALSE),INDIRECT("'"&amp;J$1&amp;"'!"&amp;"$A$2:$C$23"),2,FALSE))</f>
        <v>90.3</v>
      </c>
      <c r="K8" s="3">
        <f ca="1">_xlfn.NUMBERVALUE(VLOOKUP(VLOOKUP($B8,Key!$A$17:$B$28,2,FALSE),INDIRECT("'"&amp;K$1&amp;"'!"&amp;"$A$2:$C$23"),2,FALSE))</f>
        <v>84.7</v>
      </c>
      <c r="L8" s="3">
        <f ca="1">_xlfn.NUMBERVALUE(VLOOKUP(VLOOKUP($B8,Key!$A$17:$B$28,2,FALSE),INDIRECT("'"&amp;L$1&amp;"'!"&amp;"$A$2:$C$23"),2,FALSE))</f>
        <v>64.3</v>
      </c>
      <c r="M8" s="3">
        <f ca="1">_xlfn.NUMBERVALUE(VLOOKUP(VLOOKUP($B8,Key!$A$17:$B$28,2,FALSE),INDIRECT("'"&amp;M$1&amp;"'!"&amp;"$A$2:$C$23"),2,FALSE))</f>
        <v>79.900000000000006</v>
      </c>
      <c r="N8" s="3">
        <f ca="1">_xlfn.NUMBERVALUE(VLOOKUP(VLOOKUP($B8,Key!$A$17:$B$28,2,FALSE),INDIRECT("'"&amp;N$1&amp;"'!"&amp;"$A$2:$C$23"),2,FALSE))</f>
        <v>98.8</v>
      </c>
      <c r="O8" s="3">
        <f ca="1">_xlfn.NUMBERVALUE(VLOOKUP(VLOOKUP($B8,Key!$A$17:$B$28,2,FALSE),INDIRECT("'"&amp;O$1&amp;"'!"&amp;"$A$2:$C$23"),2,FALSE))</f>
        <v>77.2</v>
      </c>
      <c r="P8" s="3">
        <f ca="1">_xlfn.NUMBERVALUE(VLOOKUP(VLOOKUP($B8,Key!$A$17:$B$28,2,FALSE),INDIRECT("'"&amp;P$1&amp;"'!"&amp;"$A$2:$C$23"),2,FALSE))</f>
        <v>88.6</v>
      </c>
      <c r="Q8" s="3">
        <f ca="1">_xlfn.NUMBERVALUE(VLOOKUP(VLOOKUP($B8,Key!$A$17:$B$28,2,FALSE),INDIRECT("'"&amp;Q$1&amp;"'!"&amp;"$A$2:$C$23"),2,FALSE))</f>
        <v>85.2</v>
      </c>
      <c r="R8" s="3">
        <f ca="1">_xlfn.NUMBERVALUE(VLOOKUP(VLOOKUP($B8,Key!$A$17:$B$28,2,FALSE),INDIRECT("'"&amp;R$1&amp;"'!"&amp;"$A$2:$C$23"),2,FALSE))</f>
        <v>108.5</v>
      </c>
      <c r="S8" s="3">
        <f t="shared" ca="1" si="3"/>
        <v>141.1</v>
      </c>
      <c r="T8" s="3">
        <f t="shared" ca="1" si="4"/>
        <v>1220.2</v>
      </c>
      <c r="U8" s="3">
        <f t="shared" ca="1" si="5"/>
        <v>5</v>
      </c>
      <c r="V8" s="14">
        <f t="shared" ca="1" si="6"/>
        <v>-95.700000000000045</v>
      </c>
      <c r="W8" s="3">
        <f t="shared" ca="1" si="0"/>
        <v>282.3</v>
      </c>
      <c r="X8" s="4">
        <f t="shared" ca="1" si="1"/>
        <v>94.100000000000009</v>
      </c>
      <c r="Y8" s="3">
        <f t="shared" ca="1" si="2"/>
        <v>6</v>
      </c>
      <c r="Z8" s="14">
        <f t="shared" ca="1" si="7"/>
        <v>-40.566666666666649</v>
      </c>
    </row>
    <row r="9" spans="1:26" ht="16.25" thickTop="1" thickBot="1" x14ac:dyDescent="0.9">
      <c r="A9" s="3" t="s">
        <v>18</v>
      </c>
      <c r="B9" s="5" t="s">
        <v>169</v>
      </c>
      <c r="C9" s="3">
        <f ca="1">_xlfn.NUMBERVALUE(VLOOKUP(VLOOKUP($B9,Key!$A$17:$B$28,2,FALSE),INDIRECT("'"&amp;C$1&amp;"'!"&amp;"$A$2:$C$23"),2,FALSE))</f>
        <v>61.1</v>
      </c>
      <c r="D9" s="3">
        <f ca="1">_xlfn.NUMBERVALUE(VLOOKUP(VLOOKUP($B9,Key!$A$17:$B$28,2,FALSE),INDIRECT("'"&amp;D$1&amp;"'!"&amp;"$A$2:$C$23"),2,FALSE))</f>
        <v>92.2</v>
      </c>
      <c r="E9" s="3">
        <f ca="1">_xlfn.NUMBERVALUE(VLOOKUP(VLOOKUP($B9,Key!$A$17:$B$28,2,FALSE),INDIRECT("'"&amp;E$1&amp;"'!"&amp;"$A$2:$C$23"),2,FALSE))</f>
        <v>137.9</v>
      </c>
      <c r="F9" s="3">
        <f ca="1">_xlfn.NUMBERVALUE(VLOOKUP(VLOOKUP($B9,Key!$A$17:$B$28,2,FALSE),INDIRECT("'"&amp;F$1&amp;"'!"&amp;"$A$2:$C$23"),2,FALSE))</f>
        <v>76.099999999999994</v>
      </c>
      <c r="G9" s="3">
        <f ca="1">_xlfn.NUMBERVALUE(VLOOKUP(VLOOKUP($B9,Key!$A$17:$B$28,2,FALSE),INDIRECT("'"&amp;G$1&amp;"'!"&amp;"$A$2:$C$23"),2,FALSE))</f>
        <v>80.900000000000006</v>
      </c>
      <c r="H9" s="3">
        <f ca="1">_xlfn.NUMBERVALUE(VLOOKUP(VLOOKUP($B9,Key!$A$17:$B$28,2,FALSE),INDIRECT("'"&amp;H$1&amp;"'!"&amp;"$A$2:$C$23"),2,FALSE))</f>
        <v>101.6</v>
      </c>
      <c r="I9" s="3">
        <f ca="1">_xlfn.NUMBERVALUE(VLOOKUP(VLOOKUP($B9,Key!$A$17:$B$28,2,FALSE),INDIRECT("'"&amp;I$1&amp;"'!"&amp;"$A$2:$C$23"),2,FALSE))</f>
        <v>79.599999999999994</v>
      </c>
      <c r="J9" s="3">
        <f ca="1">_xlfn.NUMBERVALUE(VLOOKUP(VLOOKUP($B9,Key!$A$17:$B$28,2,FALSE),INDIRECT("'"&amp;J$1&amp;"'!"&amp;"$A$2:$C$23"),2,FALSE))</f>
        <v>101.1</v>
      </c>
      <c r="K9" s="3">
        <f ca="1">_xlfn.NUMBERVALUE(VLOOKUP(VLOOKUP($B9,Key!$A$17:$B$28,2,FALSE),INDIRECT("'"&amp;K$1&amp;"'!"&amp;"$A$2:$C$23"),2,FALSE))</f>
        <v>108.1</v>
      </c>
      <c r="L9" s="3">
        <f ca="1">_xlfn.NUMBERVALUE(VLOOKUP(VLOOKUP($B9,Key!$A$17:$B$28,2,FALSE),INDIRECT("'"&amp;L$1&amp;"'!"&amp;"$A$2:$C$23"),2,FALSE))</f>
        <v>66.7</v>
      </c>
      <c r="M9" s="3">
        <f ca="1">_xlfn.NUMBERVALUE(VLOOKUP(VLOOKUP($B9,Key!$A$17:$B$28,2,FALSE),INDIRECT("'"&amp;M$1&amp;"'!"&amp;"$A$2:$C$23"),2,FALSE))</f>
        <v>87.1</v>
      </c>
      <c r="N9" s="3">
        <f ca="1">_xlfn.NUMBERVALUE(VLOOKUP(VLOOKUP($B9,Key!$A$17:$B$28,2,FALSE),INDIRECT("'"&amp;N$1&amp;"'!"&amp;"$A$2:$C$23"),2,FALSE))</f>
        <v>96.6</v>
      </c>
      <c r="O9" s="3">
        <f ca="1">_xlfn.NUMBERVALUE(VLOOKUP(VLOOKUP($B9,Key!$A$17:$B$28,2,FALSE),INDIRECT("'"&amp;O$1&amp;"'!"&amp;"$A$2:$C$23"),2,FALSE))</f>
        <v>86.9</v>
      </c>
      <c r="P9" s="3">
        <f ca="1">_xlfn.NUMBERVALUE(VLOOKUP(VLOOKUP($B9,Key!$A$17:$B$28,2,FALSE),INDIRECT("'"&amp;P$1&amp;"'!"&amp;"$A$2:$C$23"),2,FALSE))</f>
        <v>108.1</v>
      </c>
      <c r="Q9" s="3">
        <f ca="1">_xlfn.NUMBERVALUE(VLOOKUP(VLOOKUP($B9,Key!$A$17:$B$28,2,FALSE),INDIRECT("'"&amp;Q$1&amp;"'!"&amp;"$A$2:$C$23"),2,FALSE))</f>
        <v>96.4</v>
      </c>
      <c r="R9" s="3">
        <f ca="1">_xlfn.NUMBERVALUE(VLOOKUP(VLOOKUP($B9,Key!$A$17:$B$28,2,FALSE),INDIRECT("'"&amp;R$1&amp;"'!"&amp;"$A$2:$C$23"),2,FALSE))</f>
        <v>86.9</v>
      </c>
      <c r="S9" s="3">
        <f t="shared" ca="1" si="3"/>
        <v>137.9</v>
      </c>
      <c r="T9" s="3">
        <f t="shared" ca="1" si="4"/>
        <v>1175.9000000000003</v>
      </c>
      <c r="U9" s="3">
        <f t="shared" ca="1" si="5"/>
        <v>7</v>
      </c>
      <c r="V9" s="14">
        <f t="shared" ca="1" si="6"/>
        <v>-139.99999999999977</v>
      </c>
      <c r="W9" s="3">
        <f t="shared" ca="1" si="0"/>
        <v>291.39999999999998</v>
      </c>
      <c r="X9" s="4">
        <f t="shared" ca="1" si="1"/>
        <v>97.133333333333326</v>
      </c>
      <c r="Y9" s="3">
        <f t="shared" ca="1" si="2"/>
        <v>4</v>
      </c>
      <c r="Z9" s="14">
        <f t="shared" ca="1" si="7"/>
        <v>-37.533333333333331</v>
      </c>
    </row>
    <row r="10" spans="1:26" ht="16.25" thickTop="1" thickBot="1" x14ac:dyDescent="0.9">
      <c r="A10" s="3" t="s">
        <v>21</v>
      </c>
      <c r="B10" s="5" t="s">
        <v>170</v>
      </c>
      <c r="C10" s="3">
        <f ca="1">_xlfn.NUMBERVALUE(VLOOKUP(VLOOKUP($B10,Key!$A$17:$B$28,2,FALSE),INDIRECT("'"&amp;C$1&amp;"'!"&amp;"$A$2:$C$23"),2,FALSE))</f>
        <v>90.8</v>
      </c>
      <c r="D10" s="3">
        <f ca="1">_xlfn.NUMBERVALUE(VLOOKUP(VLOOKUP($B10,Key!$A$17:$B$28,2,FALSE),INDIRECT("'"&amp;D$1&amp;"'!"&amp;"$A$2:$C$23"),2,FALSE))</f>
        <v>82.9</v>
      </c>
      <c r="E10" s="3">
        <f ca="1">_xlfn.NUMBERVALUE(VLOOKUP(VLOOKUP($B10,Key!$A$17:$B$28,2,FALSE),INDIRECT("'"&amp;E$1&amp;"'!"&amp;"$A$2:$C$23"),2,FALSE))</f>
        <v>80.7</v>
      </c>
      <c r="F10" s="3">
        <f ca="1">_xlfn.NUMBERVALUE(VLOOKUP(VLOOKUP($B10,Key!$A$17:$B$28,2,FALSE),INDIRECT("'"&amp;F$1&amp;"'!"&amp;"$A$2:$C$23"),2,FALSE))</f>
        <v>146.5</v>
      </c>
      <c r="G10" s="3">
        <f ca="1">_xlfn.NUMBERVALUE(VLOOKUP(VLOOKUP($B10,Key!$A$17:$B$28,2,FALSE),INDIRECT("'"&amp;G$1&amp;"'!"&amp;"$A$2:$C$23"),2,FALSE))</f>
        <v>112.9</v>
      </c>
      <c r="H10" s="3">
        <f ca="1">_xlfn.NUMBERVALUE(VLOOKUP(VLOOKUP($B10,Key!$A$17:$B$28,2,FALSE),INDIRECT("'"&amp;H$1&amp;"'!"&amp;"$A$2:$C$23"),2,FALSE))</f>
        <v>79.099999999999994</v>
      </c>
      <c r="I10" s="3">
        <f ca="1">_xlfn.NUMBERVALUE(VLOOKUP(VLOOKUP($B10,Key!$A$17:$B$28,2,FALSE),INDIRECT("'"&amp;I$1&amp;"'!"&amp;"$A$2:$C$23"),2,FALSE))</f>
        <v>57.2</v>
      </c>
      <c r="J10" s="3">
        <f ca="1">_xlfn.NUMBERVALUE(VLOOKUP(VLOOKUP($B10,Key!$A$17:$B$28,2,FALSE),INDIRECT("'"&amp;J$1&amp;"'!"&amp;"$A$2:$C$23"),2,FALSE))</f>
        <v>71.400000000000006</v>
      </c>
      <c r="K10" s="3">
        <f ca="1">_xlfn.NUMBERVALUE(VLOOKUP(VLOOKUP($B10,Key!$A$17:$B$28,2,FALSE),INDIRECT("'"&amp;K$1&amp;"'!"&amp;"$A$2:$C$23"),2,FALSE))</f>
        <v>69.8</v>
      </c>
      <c r="L10" s="3">
        <f ca="1">_xlfn.NUMBERVALUE(VLOOKUP(VLOOKUP($B10,Key!$A$17:$B$28,2,FALSE),INDIRECT("'"&amp;L$1&amp;"'!"&amp;"$A$2:$C$23"),2,FALSE))</f>
        <v>74.900000000000006</v>
      </c>
      <c r="M10" s="3">
        <f ca="1">_xlfn.NUMBERVALUE(VLOOKUP(VLOOKUP($B10,Key!$A$17:$B$28,2,FALSE),INDIRECT("'"&amp;M$1&amp;"'!"&amp;"$A$2:$C$23"),2,FALSE))</f>
        <v>103.3</v>
      </c>
      <c r="N10" s="3">
        <f ca="1">_xlfn.NUMBERVALUE(VLOOKUP(VLOOKUP($B10,Key!$A$17:$B$28,2,FALSE),INDIRECT("'"&amp;N$1&amp;"'!"&amp;"$A$2:$C$23"),2,FALSE))</f>
        <v>75.8</v>
      </c>
      <c r="O10" s="3">
        <f ca="1">_xlfn.NUMBERVALUE(VLOOKUP(VLOOKUP($B10,Key!$A$17:$B$28,2,FALSE),INDIRECT("'"&amp;O$1&amp;"'!"&amp;"$A$2:$C$23"),2,FALSE))</f>
        <v>110.8</v>
      </c>
      <c r="P10" s="3">
        <f ca="1">_xlfn.NUMBERVALUE(VLOOKUP(VLOOKUP($B10,Key!$A$17:$B$28,2,FALSE),INDIRECT("'"&amp;P$1&amp;"'!"&amp;"$A$2:$C$23"),2,FALSE))</f>
        <v>80.8</v>
      </c>
      <c r="Q10" s="3">
        <f ca="1">_xlfn.NUMBERVALUE(VLOOKUP(VLOOKUP($B10,Key!$A$17:$B$28,2,FALSE),INDIRECT("'"&amp;Q$1&amp;"'!"&amp;"$A$2:$C$23"),2,FALSE))</f>
        <v>69.5</v>
      </c>
      <c r="R10" s="3">
        <f ca="1">_xlfn.NUMBERVALUE(VLOOKUP(VLOOKUP($B10,Key!$A$17:$B$28,2,FALSE),INDIRECT("'"&amp;R$1&amp;"'!"&amp;"$A$2:$C$23"),2,FALSE))</f>
        <v>82.1</v>
      </c>
      <c r="S10" s="3">
        <f t="shared" ca="1" si="3"/>
        <v>146.5</v>
      </c>
      <c r="T10" s="3">
        <f t="shared" ca="1" si="4"/>
        <v>1156.0999999999999</v>
      </c>
      <c r="U10" s="3">
        <f t="shared" ca="1" si="5"/>
        <v>9</v>
      </c>
      <c r="V10" s="14">
        <f t="shared" ca="1" si="6"/>
        <v>-159.80000000000018</v>
      </c>
      <c r="W10" s="3">
        <f t="shared" ca="1" si="0"/>
        <v>232.4</v>
      </c>
      <c r="X10" s="4">
        <f t="shared" ca="1" si="1"/>
        <v>77.466666666666669</v>
      </c>
      <c r="Y10" s="3">
        <f t="shared" ca="1" si="2"/>
        <v>12</v>
      </c>
      <c r="Z10" s="14">
        <f t="shared" ca="1" si="7"/>
        <v>-57.199999999999989</v>
      </c>
    </row>
    <row r="11" spans="1:26" ht="16.25" thickTop="1" thickBot="1" x14ac:dyDescent="0.9">
      <c r="A11" s="3" t="s">
        <v>23</v>
      </c>
      <c r="B11" s="5" t="s">
        <v>171</v>
      </c>
      <c r="C11" s="3">
        <f ca="1">_xlfn.NUMBERVALUE(VLOOKUP(VLOOKUP($B11,Key!$A$17:$B$28,2,FALSE),INDIRECT("'"&amp;C$1&amp;"'!"&amp;"$A$2:$C$23"),2,FALSE))</f>
        <v>93.6</v>
      </c>
      <c r="D11" s="3">
        <f ca="1">_xlfn.NUMBERVALUE(VLOOKUP(VLOOKUP($B11,Key!$A$17:$B$28,2,FALSE),INDIRECT("'"&amp;D$1&amp;"'!"&amp;"$A$2:$C$23"),2,FALSE))</f>
        <v>79.3</v>
      </c>
      <c r="E11" s="3">
        <f ca="1">_xlfn.NUMBERVALUE(VLOOKUP(VLOOKUP($B11,Key!$A$17:$B$28,2,FALSE),INDIRECT("'"&amp;E$1&amp;"'!"&amp;"$A$2:$C$23"),2,FALSE))</f>
        <v>92</v>
      </c>
      <c r="F11" s="3">
        <f ca="1">_xlfn.NUMBERVALUE(VLOOKUP(VLOOKUP($B11,Key!$A$17:$B$28,2,FALSE),INDIRECT("'"&amp;F$1&amp;"'!"&amp;"$A$2:$C$23"),2,FALSE))</f>
        <v>81</v>
      </c>
      <c r="G11" s="3">
        <f ca="1">_xlfn.NUMBERVALUE(VLOOKUP(VLOOKUP($B11,Key!$A$17:$B$28,2,FALSE),INDIRECT("'"&amp;G$1&amp;"'!"&amp;"$A$2:$C$23"),2,FALSE))</f>
        <v>103.9</v>
      </c>
      <c r="H11" s="3">
        <f ca="1">_xlfn.NUMBERVALUE(VLOOKUP(VLOOKUP($B11,Key!$A$17:$B$28,2,FALSE),INDIRECT("'"&amp;H$1&amp;"'!"&amp;"$A$2:$C$23"),2,FALSE))</f>
        <v>79.7</v>
      </c>
      <c r="I11" s="3">
        <f ca="1">_xlfn.NUMBERVALUE(VLOOKUP(VLOOKUP($B11,Key!$A$17:$B$28,2,FALSE),INDIRECT("'"&amp;I$1&amp;"'!"&amp;"$A$2:$C$23"),2,FALSE))</f>
        <v>105.8</v>
      </c>
      <c r="J11" s="3">
        <f ca="1">_xlfn.NUMBERVALUE(VLOOKUP(VLOOKUP($B11,Key!$A$17:$B$28,2,FALSE),INDIRECT("'"&amp;J$1&amp;"'!"&amp;"$A$2:$C$23"),2,FALSE))</f>
        <v>74.900000000000006</v>
      </c>
      <c r="K11" s="3">
        <f ca="1">_xlfn.NUMBERVALUE(VLOOKUP(VLOOKUP($B11,Key!$A$17:$B$28,2,FALSE),INDIRECT("'"&amp;K$1&amp;"'!"&amp;"$A$2:$C$23"),2,FALSE))</f>
        <v>90</v>
      </c>
      <c r="L11" s="3">
        <f ca="1">_xlfn.NUMBERVALUE(VLOOKUP(VLOOKUP($B11,Key!$A$17:$B$28,2,FALSE),INDIRECT("'"&amp;L$1&amp;"'!"&amp;"$A$2:$C$23"),2,FALSE))</f>
        <v>98.5</v>
      </c>
      <c r="M11" s="3">
        <f ca="1">_xlfn.NUMBERVALUE(VLOOKUP(VLOOKUP($B11,Key!$A$17:$B$28,2,FALSE),INDIRECT("'"&amp;M$1&amp;"'!"&amp;"$A$2:$C$23"),2,FALSE))</f>
        <v>103.8</v>
      </c>
      <c r="N11" s="3">
        <f ca="1">_xlfn.NUMBERVALUE(VLOOKUP(VLOOKUP($B11,Key!$A$17:$B$28,2,FALSE),INDIRECT("'"&amp;N$1&amp;"'!"&amp;"$A$2:$C$23"),2,FALSE))</f>
        <v>98.2</v>
      </c>
      <c r="O11" s="3">
        <f ca="1">_xlfn.NUMBERVALUE(VLOOKUP(VLOOKUP($B11,Key!$A$17:$B$28,2,FALSE),INDIRECT("'"&amp;O$1&amp;"'!"&amp;"$A$2:$C$23"),2,FALSE))</f>
        <v>139.1</v>
      </c>
      <c r="P11" s="3" t="str">
        <f ca="1">IFERROR(_xlfn.NUMBERVALUE(VLOOKUP(VLOOKUP($B11,Key!$A$17:$B$28,2,FALSE),INDIRECT("'"&amp;P$1&amp;"'!"&amp;"$A$2:$C$23"),2,FALSE)),"")</f>
        <v/>
      </c>
      <c r="Q11" s="3">
        <f ca="1">_xlfn.NUMBERVALUE(VLOOKUP(VLOOKUP($B11,Key!$A$17:$B$28,2,FALSE),INDIRECT("'"&amp;Q$1&amp;"'!"&amp;"$A$2:$C$23"),2,FALSE))</f>
        <v>93.8</v>
      </c>
      <c r="R11" s="3">
        <f ca="1">_xlfn.NUMBERVALUE(VLOOKUP(VLOOKUP($B11,Key!$A$17:$B$28,2,FALSE),INDIRECT("'"&amp;R$1&amp;"'!"&amp;"$A$2:$C$23"),2,FALSE))</f>
        <v>98.5</v>
      </c>
      <c r="S11" s="3">
        <f t="shared" ca="1" si="3"/>
        <v>139.1</v>
      </c>
      <c r="T11" s="3">
        <f t="shared" ca="1" si="4"/>
        <v>1239.7999999999997</v>
      </c>
      <c r="U11" s="3">
        <f t="shared" ca="1" si="5"/>
        <v>4</v>
      </c>
      <c r="V11" s="14">
        <f t="shared" ca="1" si="6"/>
        <v>-76.100000000000364</v>
      </c>
      <c r="W11" s="3">
        <f t="shared" ca="1" si="0"/>
        <v>192.3</v>
      </c>
      <c r="X11" s="4">
        <f t="shared" ca="1" si="1"/>
        <v>96.15</v>
      </c>
      <c r="Y11" s="3">
        <f t="shared" ca="1" si="2"/>
        <v>5</v>
      </c>
      <c r="Z11" s="14">
        <f t="shared" ca="1" si="7"/>
        <v>-38.516666666666652</v>
      </c>
    </row>
    <row r="12" spans="1:26" ht="16.25" thickTop="1" thickBot="1" x14ac:dyDescent="0.9">
      <c r="A12" s="3" t="s">
        <v>26</v>
      </c>
      <c r="B12" s="5" t="s">
        <v>172</v>
      </c>
      <c r="C12" s="3">
        <f ca="1">_xlfn.NUMBERVALUE(VLOOKUP(VLOOKUP($B12,Key!$A$17:$B$28,2,FALSE),INDIRECT("'"&amp;C$1&amp;"'!"&amp;"$A$2:$C$23"),2,FALSE))</f>
        <v>132.19999999999999</v>
      </c>
      <c r="D12" s="3">
        <f ca="1">_xlfn.NUMBERVALUE(VLOOKUP(VLOOKUP($B12,Key!$A$17:$B$28,2,FALSE),INDIRECT("'"&amp;D$1&amp;"'!"&amp;"$A$2:$C$23"),2,FALSE))</f>
        <v>85.3</v>
      </c>
      <c r="E12" s="3">
        <f ca="1">_xlfn.NUMBERVALUE(VLOOKUP(VLOOKUP($B12,Key!$A$17:$B$28,2,FALSE),INDIRECT("'"&amp;E$1&amp;"'!"&amp;"$A$2:$C$23"),2,FALSE))</f>
        <v>100.4</v>
      </c>
      <c r="F12" s="3">
        <f ca="1">_xlfn.NUMBERVALUE(VLOOKUP(VLOOKUP($B12,Key!$A$17:$B$28,2,FALSE),INDIRECT("'"&amp;F$1&amp;"'!"&amp;"$A$2:$C$23"),2,FALSE))</f>
        <v>97.8</v>
      </c>
      <c r="G12" s="3">
        <f ca="1">_xlfn.NUMBERVALUE(VLOOKUP(VLOOKUP($B12,Key!$A$17:$B$28,2,FALSE),INDIRECT("'"&amp;G$1&amp;"'!"&amp;"$A$2:$C$23"),2,FALSE))</f>
        <v>94.1</v>
      </c>
      <c r="H12" s="3">
        <f ca="1">_xlfn.NUMBERVALUE(VLOOKUP(VLOOKUP($B12,Key!$A$17:$B$28,2,FALSE),INDIRECT("'"&amp;H$1&amp;"'!"&amp;"$A$2:$C$23"),2,FALSE))</f>
        <v>57.1</v>
      </c>
      <c r="I12" s="3">
        <f ca="1">_xlfn.NUMBERVALUE(VLOOKUP(VLOOKUP($B12,Key!$A$17:$B$28,2,FALSE),INDIRECT("'"&amp;I$1&amp;"'!"&amp;"$A$2:$C$23"),2,FALSE))</f>
        <v>105.8</v>
      </c>
      <c r="J12" s="3">
        <f ca="1">_xlfn.NUMBERVALUE(VLOOKUP(VLOOKUP($B12,Key!$A$17:$B$28,2,FALSE),INDIRECT("'"&amp;J$1&amp;"'!"&amp;"$A$2:$C$23"),2,FALSE))</f>
        <v>114</v>
      </c>
      <c r="K12" s="3">
        <f ca="1">_xlfn.NUMBERVALUE(VLOOKUP(VLOOKUP($B12,Key!$A$17:$B$28,2,FALSE),INDIRECT("'"&amp;K$1&amp;"'!"&amp;"$A$2:$C$23"),2,FALSE))</f>
        <v>120.2</v>
      </c>
      <c r="L12" s="3">
        <f ca="1">_xlfn.NUMBERVALUE(VLOOKUP(VLOOKUP($B12,Key!$A$17:$B$28,2,FALSE),INDIRECT("'"&amp;L$1&amp;"'!"&amp;"$A$2:$C$23"),2,FALSE))</f>
        <v>79.8</v>
      </c>
      <c r="M12" s="3">
        <f ca="1">_xlfn.NUMBERVALUE(VLOOKUP(VLOOKUP($B12,Key!$A$17:$B$28,2,FALSE),INDIRECT("'"&amp;M$1&amp;"'!"&amp;"$A$2:$C$23"),2,FALSE))</f>
        <v>119.8</v>
      </c>
      <c r="N12" s="3">
        <f ca="1">_xlfn.NUMBERVALUE(VLOOKUP(VLOOKUP($B12,Key!$A$17:$B$28,2,FALSE),INDIRECT("'"&amp;N$1&amp;"'!"&amp;"$A$2:$C$23"),2,FALSE))</f>
        <v>103.9</v>
      </c>
      <c r="O12" s="3">
        <f ca="1">_xlfn.NUMBERVALUE(VLOOKUP(VLOOKUP($B12,Key!$A$17:$B$28,2,FALSE),INDIRECT("'"&amp;O$1&amp;"'!"&amp;"$A$2:$C$23"),2,FALSE))</f>
        <v>105.5</v>
      </c>
      <c r="P12" s="3" t="str">
        <f ca="1">IFERROR(_xlfn.NUMBERVALUE(VLOOKUP(VLOOKUP($B12,Key!$A$17:$B$28,2,FALSE),INDIRECT("'"&amp;P$1&amp;"'!"&amp;"$A$2:$C$23"),2,FALSE)),"")</f>
        <v/>
      </c>
      <c r="Q12" s="3">
        <f ca="1">_xlfn.NUMBERVALUE(VLOOKUP(VLOOKUP($B12,Key!$A$17:$B$28,2,FALSE),INDIRECT("'"&amp;Q$1&amp;"'!"&amp;"$A$2:$C$23"),2,FALSE))</f>
        <v>152.80000000000001</v>
      </c>
      <c r="R12" s="3">
        <f ca="1">_xlfn.NUMBERVALUE(VLOOKUP(VLOOKUP($B12,Key!$A$17:$B$28,2,FALSE),INDIRECT("'"&amp;R$1&amp;"'!"&amp;"$A$2:$C$23"),2,FALSE))</f>
        <v>102.8</v>
      </c>
      <c r="S12" s="3">
        <f t="shared" ca="1" si="3"/>
        <v>132.19999999999999</v>
      </c>
      <c r="T12" s="3">
        <f t="shared" ca="1" si="4"/>
        <v>1315.9</v>
      </c>
      <c r="U12" s="3">
        <f t="shared" ca="1" si="5"/>
        <v>1</v>
      </c>
      <c r="V12" s="14">
        <f t="shared" ca="1" si="6"/>
        <v>0</v>
      </c>
      <c r="W12" s="3">
        <f t="shared" ca="1" si="0"/>
        <v>255.60000000000002</v>
      </c>
      <c r="X12" s="4">
        <f t="shared" ca="1" si="1"/>
        <v>127.80000000000001</v>
      </c>
      <c r="Y12" s="3">
        <f t="shared" ca="1" si="2"/>
        <v>2</v>
      </c>
      <c r="Z12" s="14">
        <f t="shared" ca="1" si="7"/>
        <v>-6.8666666666666458</v>
      </c>
    </row>
    <row r="13" spans="1:26" ht="16.25" thickTop="1" thickBot="1" x14ac:dyDescent="0.9">
      <c r="A13" s="3" t="s">
        <v>28</v>
      </c>
      <c r="B13" s="5" t="s">
        <v>173</v>
      </c>
      <c r="C13" s="3">
        <f ca="1">_xlfn.NUMBERVALUE(VLOOKUP(VLOOKUP($B13,Key!$A$17:$B$28,2,FALSE),INDIRECT("'"&amp;C$1&amp;"'!"&amp;"$A$2:$C$23"),2,FALSE))</f>
        <v>83.3</v>
      </c>
      <c r="D13" s="3">
        <f ca="1">_xlfn.NUMBERVALUE(VLOOKUP(VLOOKUP($B13,Key!$A$17:$B$28,2,FALSE),INDIRECT("'"&amp;D$1&amp;"'!"&amp;"$A$2:$C$23"),2,FALSE))</f>
        <v>112</v>
      </c>
      <c r="E13" s="3">
        <f ca="1">_xlfn.NUMBERVALUE(VLOOKUP(VLOOKUP($B13,Key!$A$17:$B$28,2,FALSE),INDIRECT("'"&amp;E$1&amp;"'!"&amp;"$A$2:$C$23"),2,FALSE))</f>
        <v>80.2</v>
      </c>
      <c r="F13" s="3">
        <f ca="1">_xlfn.NUMBERVALUE(VLOOKUP(VLOOKUP($B13,Key!$A$17:$B$28,2,FALSE),INDIRECT("'"&amp;F$1&amp;"'!"&amp;"$A$2:$C$23"),2,FALSE))</f>
        <v>78.7</v>
      </c>
      <c r="G13" s="3">
        <f ca="1">_xlfn.NUMBERVALUE(VLOOKUP(VLOOKUP($B13,Key!$A$17:$B$28,2,FALSE),INDIRECT("'"&amp;G$1&amp;"'!"&amp;"$A$2:$C$23"),2,FALSE))</f>
        <v>105.5</v>
      </c>
      <c r="H13" s="3">
        <f ca="1">_xlfn.NUMBERVALUE(VLOOKUP(VLOOKUP($B13,Key!$A$17:$B$28,2,FALSE),INDIRECT("'"&amp;H$1&amp;"'!"&amp;"$A$2:$C$23"),2,FALSE))</f>
        <v>112.6</v>
      </c>
      <c r="I13" s="3">
        <f ca="1">_xlfn.NUMBERVALUE(VLOOKUP(VLOOKUP($B13,Key!$A$17:$B$28,2,FALSE),INDIRECT("'"&amp;I$1&amp;"'!"&amp;"$A$2:$C$23"),2,FALSE))</f>
        <v>47.4</v>
      </c>
      <c r="J13" s="3">
        <f ca="1">_xlfn.NUMBERVALUE(VLOOKUP(VLOOKUP($B13,Key!$A$17:$B$28,2,FALSE),INDIRECT("'"&amp;J$1&amp;"'!"&amp;"$A$2:$C$23"),2,FALSE))</f>
        <v>84.2</v>
      </c>
      <c r="K13" s="3">
        <f ca="1">_xlfn.NUMBERVALUE(VLOOKUP(VLOOKUP($B13,Key!$A$17:$B$28,2,FALSE),INDIRECT("'"&amp;K$1&amp;"'!"&amp;"$A$2:$C$23"),2,FALSE))</f>
        <v>83.8</v>
      </c>
      <c r="L13" s="3">
        <f ca="1">_xlfn.NUMBERVALUE(VLOOKUP(VLOOKUP($B13,Key!$A$17:$B$28,2,FALSE),INDIRECT("'"&amp;L$1&amp;"'!"&amp;"$A$2:$C$23"),2,FALSE))</f>
        <v>104.9</v>
      </c>
      <c r="M13" s="3">
        <f ca="1">_xlfn.NUMBERVALUE(VLOOKUP(VLOOKUP($B13,Key!$A$17:$B$28,2,FALSE),INDIRECT("'"&amp;M$1&amp;"'!"&amp;"$A$2:$C$23"),2,FALSE))</f>
        <v>74.8</v>
      </c>
      <c r="N13" s="3">
        <f ca="1">_xlfn.NUMBERVALUE(VLOOKUP(VLOOKUP($B13,Key!$A$17:$B$28,2,FALSE),INDIRECT("'"&amp;N$1&amp;"'!"&amp;"$A$2:$C$23"),2,FALSE))</f>
        <v>92.3</v>
      </c>
      <c r="O13" s="3">
        <f ca="1">_xlfn.NUMBERVALUE(VLOOKUP(VLOOKUP($B13,Key!$A$17:$B$28,2,FALSE),INDIRECT("'"&amp;O$1&amp;"'!"&amp;"$A$2:$C$23"),2,FALSE))</f>
        <v>94</v>
      </c>
      <c r="P13" s="3">
        <f ca="1">_xlfn.NUMBERVALUE(VLOOKUP(VLOOKUP($B13,Key!$A$17:$B$28,2,FALSE),INDIRECT("'"&amp;P$1&amp;"'!"&amp;"$A$2:$C$23"),2,FALSE))</f>
        <v>71.2</v>
      </c>
      <c r="Q13" s="3">
        <f ca="1">_xlfn.NUMBERVALUE(VLOOKUP(VLOOKUP($B13,Key!$A$17:$B$28,2,FALSE),INDIRECT("'"&amp;Q$1&amp;"'!"&amp;"$A$2:$C$23"),2,FALSE))</f>
        <v>73.900000000000006</v>
      </c>
      <c r="R13" s="3">
        <f ca="1">_xlfn.NUMBERVALUE(VLOOKUP(VLOOKUP($B13,Key!$A$17:$B$28,2,FALSE),INDIRECT("'"&amp;R$1&amp;"'!"&amp;"$A$2:$C$23"),2,FALSE))</f>
        <v>99</v>
      </c>
      <c r="S13" s="3">
        <f t="shared" ca="1" si="3"/>
        <v>112.6</v>
      </c>
      <c r="T13" s="3">
        <f t="shared" ca="1" si="4"/>
        <v>1153.6999999999998</v>
      </c>
      <c r="U13" s="3">
        <f t="shared" ca="1" si="5"/>
        <v>10</v>
      </c>
      <c r="V13" s="14">
        <f t="shared" ca="1" si="6"/>
        <v>-162.20000000000027</v>
      </c>
      <c r="W13" s="3">
        <f t="shared" ca="1" si="0"/>
        <v>244.10000000000002</v>
      </c>
      <c r="X13" s="4">
        <f t="shared" ca="1" si="1"/>
        <v>81.366666666666674</v>
      </c>
      <c r="Y13" s="3">
        <f t="shared" ca="1" si="2"/>
        <v>10</v>
      </c>
      <c r="Z13" s="14">
        <f t="shared" ca="1" si="7"/>
        <v>-53.299999999999983</v>
      </c>
    </row>
    <row r="14" spans="1:26" ht="15.5" thickTop="1" x14ac:dyDescent="0.75">
      <c r="T14" s="9">
        <f ca="1">AVERAGE(T2:T13)/13</f>
        <v>92.897435897435898</v>
      </c>
    </row>
  </sheetData>
  <conditionalFormatting sqref="C2:C1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13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3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13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13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13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3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1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3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3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N13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:O13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2:P13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2:Q13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:R1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2:T14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13 Z1 T1:U1 W1:X1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2:U13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2:Y13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2:X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:Z1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2:V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0B83E-2E11-469B-AE4F-4CCA4BF309B1}">
  <sheetPr codeName="Sheet16"/>
  <dimension ref="A1:AC16"/>
  <sheetViews>
    <sheetView zoomScale="53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D6" sqref="AD6"/>
    </sheetView>
  </sheetViews>
  <sheetFormatPr defaultRowHeight="14.75" x14ac:dyDescent="0.75"/>
  <cols>
    <col min="1" max="1" width="17.31640625" style="1" customWidth="1"/>
    <col min="2" max="2" width="13.90625" style="1" customWidth="1"/>
    <col min="3" max="4" width="8.40625" style="1" customWidth="1"/>
    <col min="5" max="18" width="8.40625" customWidth="1"/>
    <col min="19" max="19" width="7.453125" customWidth="1"/>
    <col min="20" max="20" width="15.953125" bestFit="1" customWidth="1"/>
    <col min="21" max="21" width="6.1328125" customWidth="1"/>
    <col min="22" max="22" width="11.1328125" customWidth="1"/>
    <col min="23" max="23" width="15.08984375" customWidth="1"/>
    <col min="24" max="24" width="4.90625" bestFit="1" customWidth="1"/>
    <col min="25" max="25" width="12.54296875" customWidth="1"/>
    <col min="26" max="26" width="5.453125" customWidth="1"/>
    <col min="27" max="27" width="13.26953125" bestFit="1" customWidth="1"/>
    <col min="28" max="28" width="12.54296875" customWidth="1"/>
    <col min="29" max="29" width="16.58984375" customWidth="1"/>
    <col min="30" max="65" width="12.54296875" customWidth="1"/>
  </cols>
  <sheetData>
    <row r="1" spans="1:29" ht="31" thickTop="1" thickBot="1" x14ac:dyDescent="0.9">
      <c r="C1" s="3" t="s">
        <v>175</v>
      </c>
      <c r="D1" s="3" t="s">
        <v>178</v>
      </c>
      <c r="E1" s="3" t="s">
        <v>179</v>
      </c>
      <c r="F1" s="3" t="s">
        <v>180</v>
      </c>
      <c r="G1" s="3" t="s">
        <v>181</v>
      </c>
      <c r="H1" s="3" t="s">
        <v>182</v>
      </c>
      <c r="I1" s="3" t="s">
        <v>183</v>
      </c>
      <c r="J1" s="3" t="s">
        <v>184</v>
      </c>
      <c r="K1" s="3" t="s">
        <v>185</v>
      </c>
      <c r="L1" s="3" t="s">
        <v>186</v>
      </c>
      <c r="M1" s="3" t="s">
        <v>187</v>
      </c>
      <c r="N1" s="3" t="s">
        <v>188</v>
      </c>
      <c r="O1" s="3" t="s">
        <v>189</v>
      </c>
      <c r="P1" s="3" t="s">
        <v>215</v>
      </c>
      <c r="Q1" s="3" t="s">
        <v>216</v>
      </c>
      <c r="R1" s="3" t="s">
        <v>217</v>
      </c>
      <c r="AA1" s="15" t="s">
        <v>229</v>
      </c>
      <c r="AB1" s="16"/>
      <c r="AC1" s="13" t="s">
        <v>232</v>
      </c>
    </row>
    <row r="2" spans="1:29" ht="16.25" thickTop="1" thickBot="1" x14ac:dyDescent="0.9">
      <c r="A2" s="3" t="s">
        <v>161</v>
      </c>
      <c r="B2" s="8" t="s">
        <v>174</v>
      </c>
      <c r="C2" s="3" t="s">
        <v>190</v>
      </c>
      <c r="D2" s="3" t="s">
        <v>190</v>
      </c>
      <c r="E2" s="3" t="s">
        <v>190</v>
      </c>
      <c r="F2" s="3" t="s">
        <v>190</v>
      </c>
      <c r="G2" s="3" t="s">
        <v>190</v>
      </c>
      <c r="H2" s="3" t="s">
        <v>190</v>
      </c>
      <c r="I2" s="3" t="s">
        <v>190</v>
      </c>
      <c r="J2" s="3" t="s">
        <v>190</v>
      </c>
      <c r="K2" s="3" t="s">
        <v>190</v>
      </c>
      <c r="L2" s="3" t="s">
        <v>190</v>
      </c>
      <c r="M2" s="3" t="s">
        <v>190</v>
      </c>
      <c r="N2" s="3" t="s">
        <v>190</v>
      </c>
      <c r="O2" s="3" t="s">
        <v>190</v>
      </c>
      <c r="P2" s="3" t="s">
        <v>190</v>
      </c>
      <c r="Q2" s="3" t="s">
        <v>190</v>
      </c>
      <c r="R2" s="3" t="s">
        <v>190</v>
      </c>
      <c r="S2" s="6" t="s">
        <v>191</v>
      </c>
      <c r="T2" s="6" t="s">
        <v>218</v>
      </c>
      <c r="U2" s="6" t="s">
        <v>177</v>
      </c>
      <c r="V2" s="6" t="s">
        <v>219</v>
      </c>
      <c r="W2" s="6" t="s">
        <v>220</v>
      </c>
      <c r="X2" s="6" t="s">
        <v>177</v>
      </c>
      <c r="Y2" s="6" t="s">
        <v>228</v>
      </c>
      <c r="Z2" s="6" t="s">
        <v>177</v>
      </c>
      <c r="AA2" s="6" t="s">
        <v>230</v>
      </c>
      <c r="AB2" s="6" t="s">
        <v>231</v>
      </c>
      <c r="AC2" s="6" t="s">
        <v>231</v>
      </c>
    </row>
    <row r="3" spans="1:29" ht="16.25" thickTop="1" thickBot="1" x14ac:dyDescent="0.9">
      <c r="A3" s="3" t="s">
        <v>1</v>
      </c>
      <c r="B3" s="8" t="s">
        <v>162</v>
      </c>
      <c r="C3" s="3">
        <f ca="1">_xlfn.NUMBERVALUE(VLOOKUP(VLOOKUP($B3,Key!$A$17:$B$28,2,FALSE),INDIRECT("'"&amp;C$1&amp;"'!"&amp;"$A$2:$C$23"),2,FALSE))</f>
        <v>88.4</v>
      </c>
      <c r="D3" s="3">
        <f ca="1">_xlfn.NUMBERVALUE(VLOOKUP(VLOOKUP($B3,Key!$A$17:$B$28,2,FALSE),INDIRECT("'"&amp;D$1&amp;"'!"&amp;"$A$2:$C$23"),2,FALSE))</f>
        <v>97</v>
      </c>
      <c r="E3" s="3">
        <f ca="1">_xlfn.NUMBERVALUE(VLOOKUP(VLOOKUP($B3,Key!$A$17:$B$28,2,FALSE),INDIRECT("'"&amp;E$1&amp;"'!"&amp;"$A$2:$C$23"),2,FALSE))</f>
        <v>81.400000000000006</v>
      </c>
      <c r="F3" s="3">
        <f ca="1">_xlfn.NUMBERVALUE(VLOOKUP(VLOOKUP($B3,Key!$A$17:$B$28,2,FALSE),INDIRECT("'"&amp;F$1&amp;"'!"&amp;"$A$2:$C$23"),2,FALSE))</f>
        <v>95.3</v>
      </c>
      <c r="G3" s="3">
        <f ca="1">_xlfn.NUMBERVALUE(VLOOKUP(VLOOKUP($B3,Key!$A$17:$B$28,2,FALSE),INDIRECT("'"&amp;G$1&amp;"'!"&amp;"$A$2:$C$23"),2,FALSE))</f>
        <v>100.6</v>
      </c>
      <c r="H3" s="3">
        <f ca="1">_xlfn.NUMBERVALUE(VLOOKUP(VLOOKUP($B3,Key!$A$17:$B$28,2,FALSE),INDIRECT("'"&amp;H$1&amp;"'!"&amp;"$A$2:$C$23"),2,FALSE))</f>
        <v>57</v>
      </c>
      <c r="I3" s="3">
        <f ca="1">_xlfn.NUMBERVALUE(VLOOKUP(VLOOKUP($B3,Key!$A$17:$B$28,2,FALSE),INDIRECT("'"&amp;I$1&amp;"'!"&amp;"$A$2:$C$23"),2,FALSE))</f>
        <v>108.9</v>
      </c>
      <c r="J3" s="3">
        <f ca="1">_xlfn.NUMBERVALUE(VLOOKUP(VLOOKUP($B3,Key!$A$17:$B$28,2,FALSE),INDIRECT("'"&amp;J$1&amp;"'!"&amp;"$A$2:$C$23"),2,FALSE))</f>
        <v>59.7</v>
      </c>
      <c r="K3" s="3">
        <f ca="1">_xlfn.NUMBERVALUE(VLOOKUP(VLOOKUP($B3,Key!$A$17:$B$28,2,FALSE),INDIRECT("'"&amp;K$1&amp;"'!"&amp;"$A$2:$C$23"),2,FALSE))</f>
        <v>108.1</v>
      </c>
      <c r="L3" s="3">
        <f ca="1">_xlfn.NUMBERVALUE(VLOOKUP(VLOOKUP($B3,Key!$A$17:$B$28,2,FALSE),INDIRECT("'"&amp;L$1&amp;"'!"&amp;"$A$2:$C$23"),2,FALSE))</f>
        <v>73.900000000000006</v>
      </c>
      <c r="M3" s="3">
        <f ca="1">_xlfn.NUMBERVALUE(VLOOKUP(VLOOKUP($B3,Key!$A$17:$B$28,2,FALSE),INDIRECT("'"&amp;M$1&amp;"'!"&amp;"$A$2:$C$23"),2,FALSE))</f>
        <v>81.8</v>
      </c>
      <c r="N3" s="3">
        <f ca="1">_xlfn.NUMBERVALUE(VLOOKUP(VLOOKUP($B3,Key!$A$17:$B$28,2,FALSE),INDIRECT("'"&amp;N$1&amp;"'!"&amp;"$A$2:$C$23"),2,FALSE))</f>
        <v>62.4</v>
      </c>
      <c r="O3" s="3">
        <f ca="1">_xlfn.NUMBERVALUE(VLOOKUP(VLOOKUP($B3,Key!$A$17:$B$28,2,FALSE),INDIRECT("'"&amp;O$1&amp;"'!"&amp;"$A$2:$C$23"),2,FALSE))</f>
        <v>72.7</v>
      </c>
      <c r="P3" s="3">
        <f ca="1">_xlfn.NUMBERVALUE(VLOOKUP(VLOOKUP($B3,Key!$A$17:$B$28,2,FALSE),INDIRECT("'"&amp;P$1&amp;"'!"&amp;"$A$2:$C$23"),2,FALSE))</f>
        <v>118.8</v>
      </c>
      <c r="Q3" s="3">
        <f ca="1">_xlfn.NUMBERVALUE(VLOOKUP(VLOOKUP($B3,Key!$A$17:$B$28,2,FALSE),INDIRECT("'"&amp;Q$1&amp;"'!"&amp;"$A$2:$C$23"),2,FALSE))</f>
        <v>94.5</v>
      </c>
      <c r="R3" s="3">
        <f ca="1">_xlfn.NUMBERVALUE(VLOOKUP(VLOOKUP($B3,Key!$A$17:$B$28,2,FALSE),INDIRECT("'"&amp;R$1&amp;"'!"&amp;"$A$2:$C$23"),2,FALSE))</f>
        <v>62.2</v>
      </c>
      <c r="S3" s="3">
        <f ca="1">MAX(C3:R3)</f>
        <v>118.8</v>
      </c>
      <c r="T3" s="3">
        <f ca="1">SUM(C3:O3)</f>
        <v>1087.2</v>
      </c>
      <c r="U3" s="3">
        <f ca="1">_xlfn.RANK.EQ(T3,$T$3:$T$14,0)</f>
        <v>12</v>
      </c>
      <c r="V3" s="3">
        <f t="shared" ref="V3:V14" ca="1" si="0">SUM(P3:R3)</f>
        <v>275.5</v>
      </c>
      <c r="W3" s="4">
        <f ca="1">SUM(P3:R3)/(COUNT(P3:R3))</f>
        <v>91.833333333333329</v>
      </c>
      <c r="X3" s="3">
        <f ca="1">_xlfn.RANK.EQ(W3,$W$3:$W$14,0)</f>
        <v>7</v>
      </c>
      <c r="Y3" s="6">
        <f ca="1">SUM(C3:R3)</f>
        <v>1362.7</v>
      </c>
      <c r="Z3" s="3">
        <f ca="1">_xlfn.RANK.EQ(Y3,$Y$3:$Y$14,0)</f>
        <v>12</v>
      </c>
      <c r="AA3" s="10">
        <f ca="1">T3-MAX($T$3:$T$14)</f>
        <v>-228.70000000000005</v>
      </c>
      <c r="AB3" s="10">
        <f ca="1">AA3/COUNTA(C3:R3)</f>
        <v>-14.293750000000003</v>
      </c>
      <c r="AC3" s="10">
        <f ca="1">W3-MAX($W$3:$W$14)</f>
        <v>-42.833333333333329</v>
      </c>
    </row>
    <row r="4" spans="1:29" ht="16.25" thickTop="1" thickBot="1" x14ac:dyDescent="0.9">
      <c r="A4" s="3" t="s">
        <v>3</v>
      </c>
      <c r="B4" s="8" t="s">
        <v>163</v>
      </c>
      <c r="C4" s="3">
        <f ca="1">_xlfn.NUMBERVALUE(VLOOKUP(VLOOKUP($B4,Key!$A$17:$B$28,2,FALSE),INDIRECT("'"&amp;C$1&amp;"'!"&amp;"$A$2:$C$23"),2,FALSE))</f>
        <v>93.9</v>
      </c>
      <c r="D4" s="3">
        <f ca="1">_xlfn.NUMBERVALUE(VLOOKUP(VLOOKUP($B4,Key!$A$17:$B$28,2,FALSE),INDIRECT("'"&amp;D$1&amp;"'!"&amp;"$A$2:$C$23"),2,FALSE))</f>
        <v>123.6</v>
      </c>
      <c r="E4" s="3">
        <f ca="1">_xlfn.NUMBERVALUE(VLOOKUP(VLOOKUP($B4,Key!$A$17:$B$28,2,FALSE),INDIRECT("'"&amp;E$1&amp;"'!"&amp;"$A$2:$C$23"),2,FALSE))</f>
        <v>71.599999999999994</v>
      </c>
      <c r="F4" s="3">
        <f ca="1">_xlfn.NUMBERVALUE(VLOOKUP(VLOOKUP($B4,Key!$A$17:$B$28,2,FALSE),INDIRECT("'"&amp;F$1&amp;"'!"&amp;"$A$2:$C$23"),2,FALSE))</f>
        <v>72.5</v>
      </c>
      <c r="G4" s="3">
        <f ca="1">_xlfn.NUMBERVALUE(VLOOKUP(VLOOKUP($B4,Key!$A$17:$B$28,2,FALSE),INDIRECT("'"&amp;G$1&amp;"'!"&amp;"$A$2:$C$23"),2,FALSE))</f>
        <v>93.9</v>
      </c>
      <c r="H4" s="3">
        <f ca="1">_xlfn.NUMBERVALUE(VLOOKUP(VLOOKUP($B4,Key!$A$17:$B$28,2,FALSE),INDIRECT("'"&amp;H$1&amp;"'!"&amp;"$A$2:$C$23"),2,FALSE))</f>
        <v>108.2</v>
      </c>
      <c r="I4" s="3">
        <f ca="1">_xlfn.NUMBERVALUE(VLOOKUP(VLOOKUP($B4,Key!$A$17:$B$28,2,FALSE),INDIRECT("'"&amp;I$1&amp;"'!"&amp;"$A$2:$C$23"),2,FALSE))</f>
        <v>89.1</v>
      </c>
      <c r="J4" s="3">
        <f ca="1">_xlfn.NUMBERVALUE(VLOOKUP(VLOOKUP($B4,Key!$A$17:$B$28,2,FALSE),INDIRECT("'"&amp;J$1&amp;"'!"&amp;"$A$2:$C$23"),2,FALSE))</f>
        <v>111.4</v>
      </c>
      <c r="K4" s="3">
        <f ca="1">_xlfn.NUMBERVALUE(VLOOKUP(VLOOKUP($B4,Key!$A$17:$B$28,2,FALSE),INDIRECT("'"&amp;K$1&amp;"'!"&amp;"$A$2:$C$23"),2,FALSE))</f>
        <v>70.3</v>
      </c>
      <c r="L4" s="3">
        <f ca="1">_xlfn.NUMBERVALUE(VLOOKUP(VLOOKUP($B4,Key!$A$17:$B$28,2,FALSE),INDIRECT("'"&amp;L$1&amp;"'!"&amp;"$A$2:$C$23"),2,FALSE))</f>
        <v>137.6</v>
      </c>
      <c r="M4" s="3">
        <f ca="1">_xlfn.NUMBERVALUE(VLOOKUP(VLOOKUP($B4,Key!$A$17:$B$28,2,FALSE),INDIRECT("'"&amp;M$1&amp;"'!"&amp;"$A$2:$C$23"),2,FALSE))</f>
        <v>105.2</v>
      </c>
      <c r="N4" s="3">
        <f ca="1">_xlfn.NUMBERVALUE(VLOOKUP(VLOOKUP($B4,Key!$A$17:$B$28,2,FALSE),INDIRECT("'"&amp;N$1&amp;"'!"&amp;"$A$2:$C$23"),2,FALSE))</f>
        <v>64.400000000000006</v>
      </c>
      <c r="O4" s="3">
        <f ca="1">_xlfn.NUMBERVALUE(VLOOKUP(VLOOKUP($B4,Key!$A$17:$B$28,2,FALSE),INDIRECT("'"&amp;O$1&amp;"'!"&amp;"$A$2:$C$23"),2,FALSE))</f>
        <v>73</v>
      </c>
      <c r="P4" s="3">
        <f ca="1">_xlfn.NUMBERVALUE(VLOOKUP(VLOOKUP($B4,Key!$A$17:$B$28,2,FALSE),INDIRECT("'"&amp;P$1&amp;"'!"&amp;"$A$2:$C$23"),2,FALSE))</f>
        <v>96</v>
      </c>
      <c r="Q4" s="3">
        <f ca="1">_xlfn.NUMBERVALUE(VLOOKUP(VLOOKUP($B4,Key!$A$17:$B$28,2,FALSE),INDIRECT("'"&amp;Q$1&amp;"'!"&amp;"$A$2:$C$23"),2,FALSE))</f>
        <v>88.6</v>
      </c>
      <c r="R4" s="3">
        <f ca="1">_xlfn.NUMBERVALUE(VLOOKUP(VLOOKUP($B4,Key!$A$17:$B$28,2,FALSE),INDIRECT("'"&amp;R$1&amp;"'!"&amp;"$A$2:$C$23"),2,FALSE))</f>
        <v>107.3</v>
      </c>
      <c r="S4" s="3">
        <f t="shared" ref="S4:S14" ca="1" si="1">MAX(C4:O4)</f>
        <v>137.6</v>
      </c>
      <c r="T4" s="3">
        <f t="shared" ref="T4:T14" ca="1" si="2">SUM(C4:O4)</f>
        <v>1214.7</v>
      </c>
      <c r="U4" s="3">
        <f t="shared" ref="U4:U14" ca="1" si="3">_xlfn.RANK.EQ(T4,$T$3:$T$14,0)</f>
        <v>6</v>
      </c>
      <c r="V4" s="3">
        <f t="shared" ca="1" si="0"/>
        <v>291.89999999999998</v>
      </c>
      <c r="W4" s="4">
        <f t="shared" ref="W4:W12" ca="1" si="4">SUM(P4:R4)/(COUNT(P4:R4))</f>
        <v>97.3</v>
      </c>
      <c r="X4" s="3">
        <f t="shared" ref="X4:X14" ca="1" si="5">_xlfn.RANK.EQ(W4,$W$3:$W$14,0)</f>
        <v>3</v>
      </c>
      <c r="Y4" s="6">
        <f t="shared" ref="Y4:Y14" ca="1" si="6">SUM(C4:R4)</f>
        <v>1506.6</v>
      </c>
      <c r="Z4" s="3">
        <f t="shared" ref="Z4:Z14" ca="1" si="7">_xlfn.RANK.EQ(Y4,$Y$3:$Y$14,0)</f>
        <v>5</v>
      </c>
      <c r="AA4" s="10">
        <f t="shared" ref="AA4:AA14" ca="1" si="8">T4-MAX($T$3:$T$14)</f>
        <v>-101.20000000000005</v>
      </c>
      <c r="AB4" s="10">
        <f t="shared" ref="AB4:AB14" ca="1" si="9">AA4/COUNTA(C4:R4)</f>
        <v>-6.3250000000000028</v>
      </c>
      <c r="AC4" s="10">
        <f t="shared" ref="AC4:AC14" ca="1" si="10">W4-MAX($W$3:$W$14)</f>
        <v>-37.36666666666666</v>
      </c>
    </row>
    <row r="5" spans="1:29" ht="16.25" thickTop="1" thickBot="1" x14ac:dyDescent="0.9">
      <c r="A5" s="3" t="s">
        <v>6</v>
      </c>
      <c r="B5" s="8" t="s">
        <v>164</v>
      </c>
      <c r="C5" s="3">
        <f ca="1">_xlfn.NUMBERVALUE(VLOOKUP(VLOOKUP($B5,Key!$A$17:$B$28,2,FALSE),INDIRECT("'"&amp;C$1&amp;"'!"&amp;"$A$2:$C$23"),2,FALSE))</f>
        <v>63.9</v>
      </c>
      <c r="D5" s="3">
        <f ca="1">_xlfn.NUMBERVALUE(VLOOKUP(VLOOKUP($B5,Key!$A$17:$B$28,2,FALSE),INDIRECT("'"&amp;D$1&amp;"'!"&amp;"$A$2:$C$23"),2,FALSE))</f>
        <v>83.3</v>
      </c>
      <c r="E5" s="3">
        <f ca="1">_xlfn.NUMBERVALUE(VLOOKUP(VLOOKUP($B5,Key!$A$17:$B$28,2,FALSE),INDIRECT("'"&amp;E$1&amp;"'!"&amp;"$A$2:$C$23"),2,FALSE))</f>
        <v>58.6</v>
      </c>
      <c r="F5" s="3">
        <f ca="1">_xlfn.NUMBERVALUE(VLOOKUP(VLOOKUP($B5,Key!$A$17:$B$28,2,FALSE),INDIRECT("'"&amp;F$1&amp;"'!"&amp;"$A$2:$C$23"),2,FALSE))</f>
        <v>75.7</v>
      </c>
      <c r="G5" s="3">
        <f ca="1">_xlfn.NUMBERVALUE(VLOOKUP(VLOOKUP($B5,Key!$A$17:$B$28,2,FALSE),INDIRECT("'"&amp;G$1&amp;"'!"&amp;"$A$2:$C$23"),2,FALSE))</f>
        <v>63.7</v>
      </c>
      <c r="H5" s="3">
        <f ca="1">_xlfn.NUMBERVALUE(VLOOKUP(VLOOKUP($B5,Key!$A$17:$B$28,2,FALSE),INDIRECT("'"&amp;H$1&amp;"'!"&amp;"$A$2:$C$23"),2,FALSE))</f>
        <v>129.9</v>
      </c>
      <c r="I5" s="3">
        <f ca="1">_xlfn.NUMBERVALUE(VLOOKUP(VLOOKUP($B5,Key!$A$17:$B$28,2,FALSE),INDIRECT("'"&amp;I$1&amp;"'!"&amp;"$A$2:$C$23"),2,FALSE))</f>
        <v>87.9</v>
      </c>
      <c r="J5" s="3">
        <f ca="1">_xlfn.NUMBERVALUE(VLOOKUP(VLOOKUP($B5,Key!$A$17:$B$28,2,FALSE),INDIRECT("'"&amp;J$1&amp;"'!"&amp;"$A$2:$C$23"),2,FALSE))</f>
        <v>89.3</v>
      </c>
      <c r="K5" s="3">
        <f ca="1">_xlfn.NUMBERVALUE(VLOOKUP(VLOOKUP($B5,Key!$A$17:$B$28,2,FALSE),INDIRECT("'"&amp;K$1&amp;"'!"&amp;"$A$2:$C$23"),2,FALSE))</f>
        <v>85.5</v>
      </c>
      <c r="L5" s="3">
        <f ca="1">_xlfn.NUMBERVALUE(VLOOKUP(VLOOKUP($B5,Key!$A$17:$B$28,2,FALSE),INDIRECT("'"&amp;L$1&amp;"'!"&amp;"$A$2:$C$23"),2,FALSE))</f>
        <v>123.4</v>
      </c>
      <c r="M5" s="3">
        <f ca="1">_xlfn.NUMBERVALUE(VLOOKUP(VLOOKUP($B5,Key!$A$17:$B$28,2,FALSE),INDIRECT("'"&amp;M$1&amp;"'!"&amp;"$A$2:$C$23"),2,FALSE))</f>
        <v>117.4</v>
      </c>
      <c r="N5" s="3">
        <f ca="1">_xlfn.NUMBERVALUE(VLOOKUP(VLOOKUP($B5,Key!$A$17:$B$28,2,FALSE),INDIRECT("'"&amp;N$1&amp;"'!"&amp;"$A$2:$C$23"),2,FALSE))</f>
        <v>86.2</v>
      </c>
      <c r="O5" s="3">
        <f ca="1">_xlfn.NUMBERVALUE(VLOOKUP(VLOOKUP($B5,Key!$A$17:$B$28,2,FALSE),INDIRECT("'"&amp;O$1&amp;"'!"&amp;"$A$2:$C$23"),2,FALSE))</f>
        <v>109</v>
      </c>
      <c r="P5" s="3">
        <f ca="1">_xlfn.NUMBERVALUE(VLOOKUP(VLOOKUP($B5,Key!$A$17:$B$28,2,FALSE),INDIRECT("'"&amp;P$1&amp;"'!"&amp;"$A$2:$C$23"),2,FALSE))</f>
        <v>112.7</v>
      </c>
      <c r="Q5" s="3">
        <f ca="1">_xlfn.NUMBERVALUE(VLOOKUP(VLOOKUP($B5,Key!$A$17:$B$28,2,FALSE),INDIRECT("'"&amp;Q$1&amp;"'!"&amp;"$A$2:$C$23"),2,FALSE))</f>
        <v>82.9</v>
      </c>
      <c r="R5" s="3">
        <f ca="1">_xlfn.NUMBERVALUE(VLOOKUP(VLOOKUP($B5,Key!$A$17:$B$28,2,FALSE),INDIRECT("'"&amp;R$1&amp;"'!"&amp;"$A$2:$C$23"),2,FALSE))</f>
        <v>77.099999999999994</v>
      </c>
      <c r="S5" s="3">
        <f t="shared" ca="1" si="1"/>
        <v>129.9</v>
      </c>
      <c r="T5" s="3">
        <f t="shared" ca="1" si="2"/>
        <v>1173.8</v>
      </c>
      <c r="U5" s="3">
        <f t="shared" ca="1" si="3"/>
        <v>8</v>
      </c>
      <c r="V5" s="3">
        <f t="shared" ca="1" si="0"/>
        <v>272.70000000000005</v>
      </c>
      <c r="W5" s="4">
        <f t="shared" ca="1" si="4"/>
        <v>90.90000000000002</v>
      </c>
      <c r="X5" s="3">
        <f t="shared" ca="1" si="5"/>
        <v>8</v>
      </c>
      <c r="Y5" s="6">
        <f t="shared" ca="1" si="6"/>
        <v>1446.5</v>
      </c>
      <c r="Z5" s="3">
        <f t="shared" ca="1" si="7"/>
        <v>8</v>
      </c>
      <c r="AA5" s="10">
        <f t="shared" ca="1" si="8"/>
        <v>-142.10000000000014</v>
      </c>
      <c r="AB5" s="10">
        <f t="shared" ca="1" si="9"/>
        <v>-8.8812500000000085</v>
      </c>
      <c r="AC5" s="10">
        <f t="shared" ca="1" si="10"/>
        <v>-43.766666666666637</v>
      </c>
    </row>
    <row r="6" spans="1:29" ht="16.25" thickTop="1" thickBot="1" x14ac:dyDescent="0.9">
      <c r="A6" s="3" t="s">
        <v>8</v>
      </c>
      <c r="B6" s="8" t="s">
        <v>165</v>
      </c>
      <c r="C6" s="3">
        <f ca="1">_xlfn.NUMBERVALUE(VLOOKUP(VLOOKUP($B6,Key!$A$17:$B$28,2,FALSE),INDIRECT("'"&amp;C$1&amp;"'!"&amp;"$A$2:$C$23"),2,FALSE))</f>
        <v>81</v>
      </c>
      <c r="D6" s="3">
        <f ca="1">_xlfn.NUMBERVALUE(VLOOKUP(VLOOKUP($B6,Key!$A$17:$B$28,2,FALSE),INDIRECT("'"&amp;D$1&amp;"'!"&amp;"$A$2:$C$23"),2,FALSE))</f>
        <v>91.1</v>
      </c>
      <c r="E6" s="3">
        <f ca="1">_xlfn.NUMBERVALUE(VLOOKUP(VLOOKUP($B6,Key!$A$17:$B$28,2,FALSE),INDIRECT("'"&amp;E$1&amp;"'!"&amp;"$A$2:$C$23"),2,FALSE))</f>
        <v>95.9</v>
      </c>
      <c r="F6" s="3">
        <f ca="1">_xlfn.NUMBERVALUE(VLOOKUP(VLOOKUP($B6,Key!$A$17:$B$28,2,FALSE),INDIRECT("'"&amp;F$1&amp;"'!"&amp;"$A$2:$C$23"),2,FALSE))</f>
        <v>86</v>
      </c>
      <c r="G6" s="3">
        <f ca="1">_xlfn.NUMBERVALUE(VLOOKUP(VLOOKUP($B6,Key!$A$17:$B$28,2,FALSE),INDIRECT("'"&amp;G$1&amp;"'!"&amp;"$A$2:$C$23"),2,FALSE))</f>
        <v>65.5</v>
      </c>
      <c r="H6" s="3">
        <f ca="1">_xlfn.NUMBERVALUE(VLOOKUP(VLOOKUP($B6,Key!$A$17:$B$28,2,FALSE),INDIRECT("'"&amp;H$1&amp;"'!"&amp;"$A$2:$C$23"),2,FALSE))</f>
        <v>85.8</v>
      </c>
      <c r="I6" s="3">
        <f ca="1">_xlfn.NUMBERVALUE(VLOOKUP(VLOOKUP($B6,Key!$A$17:$B$28,2,FALSE),INDIRECT("'"&amp;I$1&amp;"'!"&amp;"$A$2:$C$23"),2,FALSE))</f>
        <v>91.3</v>
      </c>
      <c r="J6" s="3">
        <f ca="1">_xlfn.NUMBERVALUE(VLOOKUP(VLOOKUP($B6,Key!$A$17:$B$28,2,FALSE),INDIRECT("'"&amp;J$1&amp;"'!"&amp;"$A$2:$C$23"),2,FALSE))</f>
        <v>82.8</v>
      </c>
      <c r="K6" s="3">
        <f ca="1">_xlfn.NUMBERVALUE(VLOOKUP(VLOOKUP($B6,Key!$A$17:$B$28,2,FALSE),INDIRECT("'"&amp;K$1&amp;"'!"&amp;"$A$2:$C$23"),2,FALSE))</f>
        <v>102.8</v>
      </c>
      <c r="L6" s="3">
        <f ca="1">_xlfn.NUMBERVALUE(VLOOKUP(VLOOKUP($B6,Key!$A$17:$B$28,2,FALSE),INDIRECT("'"&amp;L$1&amp;"'!"&amp;"$A$2:$C$23"),2,FALSE))</f>
        <v>65.599999999999994</v>
      </c>
      <c r="M6" s="3">
        <f ca="1">_xlfn.NUMBERVALUE(VLOOKUP(VLOOKUP($B6,Key!$A$17:$B$28,2,FALSE),INDIRECT("'"&amp;M$1&amp;"'!"&amp;"$A$2:$C$23"),2,FALSE))</f>
        <v>100.6</v>
      </c>
      <c r="N6" s="3">
        <f ca="1">_xlfn.NUMBERVALUE(VLOOKUP(VLOOKUP($B6,Key!$A$17:$B$28,2,FALSE),INDIRECT("'"&amp;N$1&amp;"'!"&amp;"$A$2:$C$23"),2,FALSE))</f>
        <v>121.6</v>
      </c>
      <c r="O6" s="3">
        <f ca="1">_xlfn.NUMBERVALUE(VLOOKUP(VLOOKUP($B6,Key!$A$17:$B$28,2,FALSE),INDIRECT("'"&amp;O$1&amp;"'!"&amp;"$A$2:$C$23"),2,FALSE))</f>
        <v>79.400000000000006</v>
      </c>
      <c r="P6" s="3">
        <f ca="1">_xlfn.NUMBERVALUE(VLOOKUP(VLOOKUP($B6,Key!$A$17:$B$28,2,FALSE),INDIRECT("'"&amp;P$1&amp;"'!"&amp;"$A$2:$C$23"),2,FALSE))</f>
        <v>102.6</v>
      </c>
      <c r="Q6" s="3">
        <f ca="1">_xlfn.NUMBERVALUE(VLOOKUP(VLOOKUP($B6,Key!$A$17:$B$28,2,FALSE),INDIRECT("'"&amp;Q$1&amp;"'!"&amp;"$A$2:$C$23"),2,FALSE))</f>
        <v>138.30000000000001</v>
      </c>
      <c r="R6" s="3">
        <f ca="1">_xlfn.NUMBERVALUE(VLOOKUP(VLOOKUP($B6,Key!$A$17:$B$28,2,FALSE),INDIRECT("'"&amp;R$1&amp;"'!"&amp;"$A$2:$C$23"),2,FALSE))</f>
        <v>163.1</v>
      </c>
      <c r="S6" s="3">
        <f t="shared" ca="1" si="1"/>
        <v>121.6</v>
      </c>
      <c r="T6" s="3">
        <f t="shared" ca="1" si="2"/>
        <v>1149.4000000000001</v>
      </c>
      <c r="U6" s="3">
        <f t="shared" ca="1" si="3"/>
        <v>11</v>
      </c>
      <c r="V6" s="3">
        <f t="shared" ca="1" si="0"/>
        <v>404</v>
      </c>
      <c r="W6" s="4">
        <f t="shared" ca="1" si="4"/>
        <v>134.66666666666666</v>
      </c>
      <c r="X6" s="3">
        <f t="shared" ca="1" si="5"/>
        <v>1</v>
      </c>
      <c r="Y6" s="6">
        <f t="shared" ca="1" si="6"/>
        <v>1553.3999999999999</v>
      </c>
      <c r="Z6" s="3">
        <f t="shared" ca="1" si="7"/>
        <v>3</v>
      </c>
      <c r="AA6" s="10">
        <f t="shared" ca="1" si="8"/>
        <v>-166.5</v>
      </c>
      <c r="AB6" s="10">
        <f t="shared" ca="1" si="9"/>
        <v>-10.40625</v>
      </c>
      <c r="AC6" s="10">
        <f t="shared" ca="1" si="10"/>
        <v>0</v>
      </c>
    </row>
    <row r="7" spans="1:29" ht="16.25" thickTop="1" thickBot="1" x14ac:dyDescent="0.9">
      <c r="A7" s="3" t="s">
        <v>11</v>
      </c>
      <c r="B7" s="8" t="s">
        <v>166</v>
      </c>
      <c r="C7" s="3">
        <f ca="1">_xlfn.NUMBERVALUE(VLOOKUP(VLOOKUP($B7,Key!$A$17:$B$28,2,FALSE),INDIRECT("'"&amp;C$1&amp;"'!"&amp;"$A$2:$C$23"),2,FALSE))</f>
        <v>86.5</v>
      </c>
      <c r="D7" s="3">
        <f ca="1">_xlfn.NUMBERVALUE(VLOOKUP(VLOOKUP($B7,Key!$A$17:$B$28,2,FALSE),INDIRECT("'"&amp;D$1&amp;"'!"&amp;"$A$2:$C$23"),2,FALSE))</f>
        <v>75.099999999999994</v>
      </c>
      <c r="E7" s="3">
        <f ca="1">_xlfn.NUMBERVALUE(VLOOKUP(VLOOKUP($B7,Key!$A$17:$B$28,2,FALSE),INDIRECT("'"&amp;E$1&amp;"'!"&amp;"$A$2:$C$23"),2,FALSE))</f>
        <v>129.80000000000001</v>
      </c>
      <c r="F7" s="3">
        <f ca="1">_xlfn.NUMBERVALUE(VLOOKUP(VLOOKUP($B7,Key!$A$17:$B$28,2,FALSE),INDIRECT("'"&amp;F$1&amp;"'!"&amp;"$A$2:$C$23"),2,FALSE))</f>
        <v>97.1</v>
      </c>
      <c r="G7" s="3">
        <f ca="1">_xlfn.NUMBERVALUE(VLOOKUP(VLOOKUP($B7,Key!$A$17:$B$28,2,FALSE),INDIRECT("'"&amp;G$1&amp;"'!"&amp;"$A$2:$C$23"),2,FALSE))</f>
        <v>70.900000000000006</v>
      </c>
      <c r="H7" s="3">
        <f ca="1">_xlfn.NUMBERVALUE(VLOOKUP(VLOOKUP($B7,Key!$A$17:$B$28,2,FALSE),INDIRECT("'"&amp;H$1&amp;"'!"&amp;"$A$2:$C$23"),2,FALSE))</f>
        <v>117.4</v>
      </c>
      <c r="I7" s="3">
        <f ca="1">_xlfn.NUMBERVALUE(VLOOKUP(VLOOKUP($B7,Key!$A$17:$B$28,2,FALSE),INDIRECT("'"&amp;I$1&amp;"'!"&amp;"$A$2:$C$23"),2,FALSE))</f>
        <v>110</v>
      </c>
      <c r="J7" s="3">
        <f ca="1">_xlfn.NUMBERVALUE(VLOOKUP(VLOOKUP($B7,Key!$A$17:$B$28,2,FALSE),INDIRECT("'"&amp;J$1&amp;"'!"&amp;"$A$2:$C$23"),2,FALSE))</f>
        <v>96.4</v>
      </c>
      <c r="K7" s="3">
        <f ca="1">_xlfn.NUMBERVALUE(VLOOKUP(VLOOKUP($B7,Key!$A$17:$B$28,2,FALSE),INDIRECT("'"&amp;K$1&amp;"'!"&amp;"$A$2:$C$23"),2,FALSE))</f>
        <v>99.8</v>
      </c>
      <c r="L7" s="3">
        <f ca="1">_xlfn.NUMBERVALUE(VLOOKUP(VLOOKUP($B7,Key!$A$17:$B$28,2,FALSE),INDIRECT("'"&amp;L$1&amp;"'!"&amp;"$A$2:$C$23"),2,FALSE))</f>
        <v>83.6</v>
      </c>
      <c r="M7" s="3">
        <f ca="1">_xlfn.NUMBERVALUE(VLOOKUP(VLOOKUP($B7,Key!$A$17:$B$28,2,FALSE),INDIRECT("'"&amp;M$1&amp;"'!"&amp;"$A$2:$C$23"),2,FALSE))</f>
        <v>116.5</v>
      </c>
      <c r="N7" s="3">
        <f ca="1">_xlfn.NUMBERVALUE(VLOOKUP(VLOOKUP($B7,Key!$A$17:$B$28,2,FALSE),INDIRECT("'"&amp;N$1&amp;"'!"&amp;"$A$2:$C$23"),2,FALSE))</f>
        <v>89</v>
      </c>
      <c r="O7" s="3">
        <f ca="1">_xlfn.NUMBERVALUE(VLOOKUP(VLOOKUP($B7,Key!$A$17:$B$28,2,FALSE),INDIRECT("'"&amp;O$1&amp;"'!"&amp;"$A$2:$C$23"),2,FALSE))</f>
        <v>121</v>
      </c>
      <c r="P7" s="3">
        <f ca="1">_xlfn.NUMBERVALUE(VLOOKUP(VLOOKUP($B7,Key!$A$17:$B$28,2,FALSE),INDIRECT("'"&amp;P$1&amp;"'!"&amp;"$A$2:$C$23"),2,FALSE))</f>
        <v>92.6</v>
      </c>
      <c r="Q7" s="3">
        <f ca="1">_xlfn.NUMBERVALUE(VLOOKUP(VLOOKUP($B7,Key!$A$17:$B$28,2,FALSE),INDIRECT("'"&amp;Q$1&amp;"'!"&amp;"$A$2:$C$23"),2,FALSE))</f>
        <v>75.599999999999994</v>
      </c>
      <c r="R7" s="3">
        <f ca="1">_xlfn.NUMBERVALUE(VLOOKUP(VLOOKUP($B7,Key!$A$17:$B$28,2,FALSE),INDIRECT("'"&amp;R$1&amp;"'!"&amp;"$A$2:$C$23"),2,FALSE))</f>
        <v>70.3</v>
      </c>
      <c r="S7" s="3">
        <f t="shared" ca="1" si="1"/>
        <v>129.80000000000001</v>
      </c>
      <c r="T7" s="3">
        <f t="shared" ca="1" si="2"/>
        <v>1293.0999999999999</v>
      </c>
      <c r="U7" s="3">
        <f t="shared" ca="1" si="3"/>
        <v>3</v>
      </c>
      <c r="V7" s="3">
        <f t="shared" ca="1" si="0"/>
        <v>238.5</v>
      </c>
      <c r="W7" s="4">
        <f t="shared" ca="1" si="4"/>
        <v>79.5</v>
      </c>
      <c r="X7" s="3">
        <f t="shared" ca="1" si="5"/>
        <v>11</v>
      </c>
      <c r="Y7" s="6">
        <f t="shared" ca="1" si="6"/>
        <v>1531.5999999999997</v>
      </c>
      <c r="Z7" s="3">
        <f t="shared" ca="1" si="7"/>
        <v>4</v>
      </c>
      <c r="AA7" s="10">
        <f t="shared" ca="1" si="8"/>
        <v>-22.800000000000182</v>
      </c>
      <c r="AB7" s="10">
        <f t="shared" ca="1" si="9"/>
        <v>-1.4250000000000114</v>
      </c>
      <c r="AC7" s="10">
        <f t="shared" ca="1" si="10"/>
        <v>-55.166666666666657</v>
      </c>
    </row>
    <row r="8" spans="1:29" ht="16.25" thickTop="1" thickBot="1" x14ac:dyDescent="0.9">
      <c r="A8" s="3" t="s">
        <v>13</v>
      </c>
      <c r="B8" s="8" t="s">
        <v>167</v>
      </c>
      <c r="C8" s="3">
        <f ca="1">_xlfn.NUMBERVALUE(VLOOKUP(VLOOKUP($B8,Key!$A$17:$B$28,2,FALSE),INDIRECT("'"&amp;C$1&amp;"'!"&amp;"$A$2:$C$23"),2,FALSE))</f>
        <v>87.8</v>
      </c>
      <c r="D8" s="3">
        <f ca="1">_xlfn.NUMBERVALUE(VLOOKUP(VLOOKUP($B8,Key!$A$17:$B$28,2,FALSE),INDIRECT("'"&amp;D$1&amp;"'!"&amp;"$A$2:$C$23"),2,FALSE))</f>
        <v>96</v>
      </c>
      <c r="E8" s="3">
        <f ca="1">_xlfn.NUMBERVALUE(VLOOKUP(VLOOKUP($B8,Key!$A$17:$B$28,2,FALSE),INDIRECT("'"&amp;E$1&amp;"'!"&amp;"$A$2:$C$23"),2,FALSE))</f>
        <v>109</v>
      </c>
      <c r="F8" s="3">
        <f ca="1">_xlfn.NUMBERVALUE(VLOOKUP(VLOOKUP($B8,Key!$A$17:$B$28,2,FALSE),INDIRECT("'"&amp;F$1&amp;"'!"&amp;"$A$2:$C$23"),2,FALSE))</f>
        <v>59.9</v>
      </c>
      <c r="G8" s="3">
        <f ca="1">_xlfn.NUMBERVALUE(VLOOKUP(VLOOKUP($B8,Key!$A$17:$B$28,2,FALSE),INDIRECT("'"&amp;G$1&amp;"'!"&amp;"$A$2:$C$23"),2,FALSE))</f>
        <v>109.7</v>
      </c>
      <c r="H8" s="3">
        <f ca="1">_xlfn.NUMBERVALUE(VLOOKUP(VLOOKUP($B8,Key!$A$17:$B$28,2,FALSE),INDIRECT("'"&amp;H$1&amp;"'!"&amp;"$A$2:$C$23"),2,FALSE))</f>
        <v>105.3</v>
      </c>
      <c r="I8" s="3">
        <f ca="1">_xlfn.NUMBERVALUE(VLOOKUP(VLOOKUP($B8,Key!$A$17:$B$28,2,FALSE),INDIRECT("'"&amp;I$1&amp;"'!"&amp;"$A$2:$C$23"),2,FALSE))</f>
        <v>88.5</v>
      </c>
      <c r="J8" s="3">
        <f ca="1">_xlfn.NUMBERVALUE(VLOOKUP(VLOOKUP($B8,Key!$A$17:$B$28,2,FALSE),INDIRECT("'"&amp;J$1&amp;"'!"&amp;"$A$2:$C$23"),2,FALSE))</f>
        <v>87</v>
      </c>
      <c r="K8" s="3">
        <f ca="1">_xlfn.NUMBERVALUE(VLOOKUP(VLOOKUP($B8,Key!$A$17:$B$28,2,FALSE),INDIRECT("'"&amp;K$1&amp;"'!"&amp;"$A$2:$C$23"),2,FALSE))</f>
        <v>106</v>
      </c>
      <c r="L8" s="3">
        <f ca="1">_xlfn.NUMBERVALUE(VLOOKUP(VLOOKUP($B8,Key!$A$17:$B$28,2,FALSE),INDIRECT("'"&amp;L$1&amp;"'!"&amp;"$A$2:$C$23"),2,FALSE))</f>
        <v>101.6</v>
      </c>
      <c r="M8" s="3">
        <f ca="1">_xlfn.NUMBERVALUE(VLOOKUP(VLOOKUP($B8,Key!$A$17:$B$28,2,FALSE),INDIRECT("'"&amp;M$1&amp;"'!"&amp;"$A$2:$C$23"),2,FALSE))</f>
        <v>130.1</v>
      </c>
      <c r="N8" s="3">
        <f ca="1">_xlfn.NUMBERVALUE(VLOOKUP(VLOOKUP($B8,Key!$A$17:$B$28,2,FALSE),INDIRECT("'"&amp;N$1&amp;"'!"&amp;"$A$2:$C$23"),2,FALSE))</f>
        <v>134.9</v>
      </c>
      <c r="O8" s="3">
        <f ca="1">_xlfn.NUMBERVALUE(VLOOKUP(VLOOKUP($B8,Key!$A$17:$B$28,2,FALSE),INDIRECT("'"&amp;O$1&amp;"'!"&amp;"$A$2:$C$23"),2,FALSE))</f>
        <v>96.4</v>
      </c>
      <c r="P8" s="3">
        <f ca="1">_xlfn.NUMBERVALUE(VLOOKUP(VLOOKUP($B8,Key!$A$17:$B$28,2,FALSE),INDIRECT("'"&amp;P$1&amp;"'!"&amp;"$A$2:$C$23"),2,FALSE))</f>
        <v>104.3</v>
      </c>
      <c r="Q8" s="3">
        <f ca="1">_xlfn.NUMBERVALUE(VLOOKUP(VLOOKUP($B8,Key!$A$17:$B$28,2,FALSE),INDIRECT("'"&amp;Q$1&amp;"'!"&amp;"$A$2:$C$23"),2,FALSE))</f>
        <v>94</v>
      </c>
      <c r="R8" s="3">
        <f ca="1">_xlfn.NUMBERVALUE(VLOOKUP(VLOOKUP($B8,Key!$A$17:$B$28,2,FALSE),INDIRECT("'"&amp;R$1&amp;"'!"&amp;"$A$2:$C$23"),2,FALSE))</f>
        <v>62.9</v>
      </c>
      <c r="S8" s="3">
        <f t="shared" ca="1" si="1"/>
        <v>134.9</v>
      </c>
      <c r="T8" s="3">
        <f t="shared" ca="1" si="2"/>
        <v>1312.2</v>
      </c>
      <c r="U8" s="3">
        <f t="shared" ca="1" si="3"/>
        <v>2</v>
      </c>
      <c r="V8" s="3">
        <f t="shared" ca="1" si="0"/>
        <v>261.2</v>
      </c>
      <c r="W8" s="4">
        <f t="shared" ca="1" si="4"/>
        <v>87.066666666666663</v>
      </c>
      <c r="X8" s="3">
        <f t="shared" ca="1" si="5"/>
        <v>9</v>
      </c>
      <c r="Y8" s="6">
        <f t="shared" ca="1" si="6"/>
        <v>1573.4</v>
      </c>
      <c r="Z8" s="3">
        <f t="shared" ca="1" si="7"/>
        <v>1</v>
      </c>
      <c r="AA8" s="10">
        <f t="shared" ca="1" si="8"/>
        <v>-3.7000000000000455</v>
      </c>
      <c r="AB8" s="10">
        <f t="shared" ca="1" si="9"/>
        <v>-0.23125000000000284</v>
      </c>
      <c r="AC8" s="10">
        <f t="shared" ca="1" si="10"/>
        <v>-47.599999999999994</v>
      </c>
    </row>
    <row r="9" spans="1:29" ht="16.25" thickTop="1" thickBot="1" x14ac:dyDescent="0.9">
      <c r="A9" s="3" t="s">
        <v>16</v>
      </c>
      <c r="B9" s="8" t="s">
        <v>168</v>
      </c>
      <c r="C9" s="3">
        <f ca="1">_xlfn.NUMBERVALUE(VLOOKUP(VLOOKUP($B9,Key!$A$17:$B$28,2,FALSE),INDIRECT("'"&amp;C$1&amp;"'!"&amp;"$A$2:$C$23"),2,FALSE))</f>
        <v>72.099999999999994</v>
      </c>
      <c r="D9" s="3">
        <f ca="1">_xlfn.NUMBERVALUE(VLOOKUP(VLOOKUP($B9,Key!$A$17:$B$28,2,FALSE),INDIRECT("'"&amp;D$1&amp;"'!"&amp;"$A$2:$C$23"),2,FALSE))</f>
        <v>86.7</v>
      </c>
      <c r="E9" s="3">
        <f ca="1">_xlfn.NUMBERVALUE(VLOOKUP(VLOOKUP($B9,Key!$A$17:$B$28,2,FALSE),INDIRECT("'"&amp;E$1&amp;"'!"&amp;"$A$2:$C$23"),2,FALSE))</f>
        <v>113.6</v>
      </c>
      <c r="F9" s="3">
        <f ca="1">_xlfn.NUMBERVALUE(VLOOKUP(VLOOKUP($B9,Key!$A$17:$B$28,2,FALSE),INDIRECT("'"&amp;F$1&amp;"'!"&amp;"$A$2:$C$23"),2,FALSE))</f>
        <v>127</v>
      </c>
      <c r="G9" s="3">
        <f ca="1">_xlfn.NUMBERVALUE(VLOOKUP(VLOOKUP($B9,Key!$A$17:$B$28,2,FALSE),INDIRECT("'"&amp;G$1&amp;"'!"&amp;"$A$2:$C$23"),2,FALSE))</f>
        <v>106.4</v>
      </c>
      <c r="H9" s="3">
        <f ca="1">_xlfn.NUMBERVALUE(VLOOKUP(VLOOKUP($B9,Key!$A$17:$B$28,2,FALSE),INDIRECT("'"&amp;H$1&amp;"'!"&amp;"$A$2:$C$23"),2,FALSE))</f>
        <v>78.099999999999994</v>
      </c>
      <c r="I9" s="3">
        <f ca="1">_xlfn.NUMBERVALUE(VLOOKUP(VLOOKUP($B9,Key!$A$17:$B$28,2,FALSE),INDIRECT("'"&amp;I$1&amp;"'!"&amp;"$A$2:$C$23"),2,FALSE))</f>
        <v>141.1</v>
      </c>
      <c r="J9" s="3">
        <f ca="1">_xlfn.NUMBERVALUE(VLOOKUP(VLOOKUP($B9,Key!$A$17:$B$28,2,FALSE),INDIRECT("'"&amp;J$1&amp;"'!"&amp;"$A$2:$C$23"),2,FALSE))</f>
        <v>90.3</v>
      </c>
      <c r="K9" s="3">
        <f ca="1">_xlfn.NUMBERVALUE(VLOOKUP(VLOOKUP($B9,Key!$A$17:$B$28,2,FALSE),INDIRECT("'"&amp;K$1&amp;"'!"&amp;"$A$2:$C$23"),2,FALSE))</f>
        <v>84.7</v>
      </c>
      <c r="L9" s="3">
        <f ca="1">_xlfn.NUMBERVALUE(VLOOKUP(VLOOKUP($B9,Key!$A$17:$B$28,2,FALSE),INDIRECT("'"&amp;L$1&amp;"'!"&amp;"$A$2:$C$23"),2,FALSE))</f>
        <v>64.3</v>
      </c>
      <c r="M9" s="3">
        <f ca="1">_xlfn.NUMBERVALUE(VLOOKUP(VLOOKUP($B9,Key!$A$17:$B$28,2,FALSE),INDIRECT("'"&amp;M$1&amp;"'!"&amp;"$A$2:$C$23"),2,FALSE))</f>
        <v>79.900000000000006</v>
      </c>
      <c r="N9" s="3">
        <f ca="1">_xlfn.NUMBERVALUE(VLOOKUP(VLOOKUP($B9,Key!$A$17:$B$28,2,FALSE),INDIRECT("'"&amp;N$1&amp;"'!"&amp;"$A$2:$C$23"),2,FALSE))</f>
        <v>98.8</v>
      </c>
      <c r="O9" s="3">
        <f ca="1">_xlfn.NUMBERVALUE(VLOOKUP(VLOOKUP($B9,Key!$A$17:$B$28,2,FALSE),INDIRECT("'"&amp;O$1&amp;"'!"&amp;"$A$2:$C$23"),2,FALSE))</f>
        <v>77.2</v>
      </c>
      <c r="P9" s="3">
        <f ca="1">_xlfn.NUMBERVALUE(VLOOKUP(VLOOKUP($B9,Key!$A$17:$B$28,2,FALSE),INDIRECT("'"&amp;P$1&amp;"'!"&amp;"$A$2:$C$23"),2,FALSE))</f>
        <v>88.6</v>
      </c>
      <c r="Q9" s="3">
        <f ca="1">_xlfn.NUMBERVALUE(VLOOKUP(VLOOKUP($B9,Key!$A$17:$B$28,2,FALSE),INDIRECT("'"&amp;Q$1&amp;"'!"&amp;"$A$2:$C$23"),2,FALSE))</f>
        <v>85.2</v>
      </c>
      <c r="R9" s="3">
        <f ca="1">_xlfn.NUMBERVALUE(VLOOKUP(VLOOKUP($B9,Key!$A$17:$B$28,2,FALSE),INDIRECT("'"&amp;R$1&amp;"'!"&amp;"$A$2:$C$23"),2,FALSE))</f>
        <v>108.5</v>
      </c>
      <c r="S9" s="3">
        <f t="shared" ca="1" si="1"/>
        <v>141.1</v>
      </c>
      <c r="T9" s="3">
        <f t="shared" ca="1" si="2"/>
        <v>1220.2</v>
      </c>
      <c r="U9" s="3">
        <f t="shared" ca="1" si="3"/>
        <v>5</v>
      </c>
      <c r="V9" s="3">
        <f t="shared" ca="1" si="0"/>
        <v>282.3</v>
      </c>
      <c r="W9" s="4">
        <f t="shared" ca="1" si="4"/>
        <v>94.100000000000009</v>
      </c>
      <c r="X9" s="3">
        <f t="shared" ca="1" si="5"/>
        <v>6</v>
      </c>
      <c r="Y9" s="6">
        <f t="shared" ca="1" si="6"/>
        <v>1502.5</v>
      </c>
      <c r="Z9" s="3">
        <f t="shared" ca="1" si="7"/>
        <v>6</v>
      </c>
      <c r="AA9" s="10">
        <f t="shared" ca="1" si="8"/>
        <v>-95.700000000000045</v>
      </c>
      <c r="AB9" s="10">
        <f t="shared" ca="1" si="9"/>
        <v>-5.9812500000000028</v>
      </c>
      <c r="AC9" s="10">
        <f t="shared" ca="1" si="10"/>
        <v>-40.566666666666649</v>
      </c>
    </row>
    <row r="10" spans="1:29" ht="16.25" thickTop="1" thickBot="1" x14ac:dyDescent="0.9">
      <c r="A10" s="3" t="s">
        <v>18</v>
      </c>
      <c r="B10" s="8" t="s">
        <v>169</v>
      </c>
      <c r="C10" s="3">
        <f ca="1">_xlfn.NUMBERVALUE(VLOOKUP(VLOOKUP($B10,Key!$A$17:$B$28,2,FALSE),INDIRECT("'"&amp;C$1&amp;"'!"&amp;"$A$2:$C$23"),2,FALSE))</f>
        <v>61.1</v>
      </c>
      <c r="D10" s="3">
        <f ca="1">_xlfn.NUMBERVALUE(VLOOKUP(VLOOKUP($B10,Key!$A$17:$B$28,2,FALSE),INDIRECT("'"&amp;D$1&amp;"'!"&amp;"$A$2:$C$23"),2,FALSE))</f>
        <v>92.2</v>
      </c>
      <c r="E10" s="3">
        <f ca="1">_xlfn.NUMBERVALUE(VLOOKUP(VLOOKUP($B10,Key!$A$17:$B$28,2,FALSE),INDIRECT("'"&amp;E$1&amp;"'!"&amp;"$A$2:$C$23"),2,FALSE))</f>
        <v>137.9</v>
      </c>
      <c r="F10" s="3">
        <f ca="1">_xlfn.NUMBERVALUE(VLOOKUP(VLOOKUP($B10,Key!$A$17:$B$28,2,FALSE),INDIRECT("'"&amp;F$1&amp;"'!"&amp;"$A$2:$C$23"),2,FALSE))</f>
        <v>76.099999999999994</v>
      </c>
      <c r="G10" s="3">
        <f ca="1">_xlfn.NUMBERVALUE(VLOOKUP(VLOOKUP($B10,Key!$A$17:$B$28,2,FALSE),INDIRECT("'"&amp;G$1&amp;"'!"&amp;"$A$2:$C$23"),2,FALSE))</f>
        <v>80.900000000000006</v>
      </c>
      <c r="H10" s="3">
        <f ca="1">_xlfn.NUMBERVALUE(VLOOKUP(VLOOKUP($B10,Key!$A$17:$B$28,2,FALSE),INDIRECT("'"&amp;H$1&amp;"'!"&amp;"$A$2:$C$23"),2,FALSE))</f>
        <v>101.6</v>
      </c>
      <c r="I10" s="3">
        <f ca="1">_xlfn.NUMBERVALUE(VLOOKUP(VLOOKUP($B10,Key!$A$17:$B$28,2,FALSE),INDIRECT("'"&amp;I$1&amp;"'!"&amp;"$A$2:$C$23"),2,FALSE))</f>
        <v>79.599999999999994</v>
      </c>
      <c r="J10" s="3">
        <f ca="1">_xlfn.NUMBERVALUE(VLOOKUP(VLOOKUP($B10,Key!$A$17:$B$28,2,FALSE),INDIRECT("'"&amp;J$1&amp;"'!"&amp;"$A$2:$C$23"),2,FALSE))</f>
        <v>101.1</v>
      </c>
      <c r="K10" s="3">
        <f ca="1">_xlfn.NUMBERVALUE(VLOOKUP(VLOOKUP($B10,Key!$A$17:$B$28,2,FALSE),INDIRECT("'"&amp;K$1&amp;"'!"&amp;"$A$2:$C$23"),2,FALSE))</f>
        <v>108.1</v>
      </c>
      <c r="L10" s="3">
        <f ca="1">_xlfn.NUMBERVALUE(VLOOKUP(VLOOKUP($B10,Key!$A$17:$B$28,2,FALSE),INDIRECT("'"&amp;L$1&amp;"'!"&amp;"$A$2:$C$23"),2,FALSE))</f>
        <v>66.7</v>
      </c>
      <c r="M10" s="3">
        <f ca="1">_xlfn.NUMBERVALUE(VLOOKUP(VLOOKUP($B10,Key!$A$17:$B$28,2,FALSE),INDIRECT("'"&amp;M$1&amp;"'!"&amp;"$A$2:$C$23"),2,FALSE))</f>
        <v>87.1</v>
      </c>
      <c r="N10" s="3">
        <f ca="1">_xlfn.NUMBERVALUE(VLOOKUP(VLOOKUP($B10,Key!$A$17:$B$28,2,FALSE),INDIRECT("'"&amp;N$1&amp;"'!"&amp;"$A$2:$C$23"),2,FALSE))</f>
        <v>96.6</v>
      </c>
      <c r="O10" s="3">
        <f ca="1">_xlfn.NUMBERVALUE(VLOOKUP(VLOOKUP($B10,Key!$A$17:$B$28,2,FALSE),INDIRECT("'"&amp;O$1&amp;"'!"&amp;"$A$2:$C$23"),2,FALSE))</f>
        <v>86.9</v>
      </c>
      <c r="P10" s="3">
        <f ca="1">_xlfn.NUMBERVALUE(VLOOKUP(VLOOKUP($B10,Key!$A$17:$B$28,2,FALSE),INDIRECT("'"&amp;P$1&amp;"'!"&amp;"$A$2:$C$23"),2,FALSE))</f>
        <v>108.1</v>
      </c>
      <c r="Q10" s="3">
        <f ca="1">_xlfn.NUMBERVALUE(VLOOKUP(VLOOKUP($B10,Key!$A$17:$B$28,2,FALSE),INDIRECT("'"&amp;Q$1&amp;"'!"&amp;"$A$2:$C$23"),2,FALSE))</f>
        <v>96.4</v>
      </c>
      <c r="R10" s="3">
        <f ca="1">_xlfn.NUMBERVALUE(VLOOKUP(VLOOKUP($B10,Key!$A$17:$B$28,2,FALSE),INDIRECT("'"&amp;R$1&amp;"'!"&amp;"$A$2:$C$23"),2,FALSE))</f>
        <v>86.9</v>
      </c>
      <c r="S10" s="3">
        <f t="shared" ca="1" si="1"/>
        <v>137.9</v>
      </c>
      <c r="T10" s="3">
        <f t="shared" ca="1" si="2"/>
        <v>1175.9000000000003</v>
      </c>
      <c r="U10" s="3">
        <f t="shared" ca="1" si="3"/>
        <v>7</v>
      </c>
      <c r="V10" s="3">
        <f t="shared" ca="1" si="0"/>
        <v>291.39999999999998</v>
      </c>
      <c r="W10" s="4">
        <f t="shared" ca="1" si="4"/>
        <v>97.133333333333326</v>
      </c>
      <c r="X10" s="3">
        <f t="shared" ca="1" si="5"/>
        <v>4</v>
      </c>
      <c r="Y10" s="6">
        <f t="shared" ca="1" si="6"/>
        <v>1467.3000000000004</v>
      </c>
      <c r="Z10" s="3">
        <f t="shared" ca="1" si="7"/>
        <v>7</v>
      </c>
      <c r="AA10" s="10">
        <f t="shared" ca="1" si="8"/>
        <v>-139.99999999999977</v>
      </c>
      <c r="AB10" s="10">
        <f t="shared" ca="1" si="9"/>
        <v>-8.7499999999999858</v>
      </c>
      <c r="AC10" s="10">
        <f t="shared" ca="1" si="10"/>
        <v>-37.533333333333331</v>
      </c>
    </row>
    <row r="11" spans="1:29" ht="16.25" thickTop="1" thickBot="1" x14ac:dyDescent="0.9">
      <c r="A11" s="3" t="s">
        <v>21</v>
      </c>
      <c r="B11" s="8" t="s">
        <v>170</v>
      </c>
      <c r="C11" s="3">
        <f ca="1">_xlfn.NUMBERVALUE(VLOOKUP(VLOOKUP($B11,Key!$A$17:$B$28,2,FALSE),INDIRECT("'"&amp;C$1&amp;"'!"&amp;"$A$2:$C$23"),2,FALSE))</f>
        <v>90.8</v>
      </c>
      <c r="D11" s="3">
        <f ca="1">_xlfn.NUMBERVALUE(VLOOKUP(VLOOKUP($B11,Key!$A$17:$B$28,2,FALSE),INDIRECT("'"&amp;D$1&amp;"'!"&amp;"$A$2:$C$23"),2,FALSE))</f>
        <v>82.9</v>
      </c>
      <c r="E11" s="3">
        <f ca="1">_xlfn.NUMBERVALUE(VLOOKUP(VLOOKUP($B11,Key!$A$17:$B$28,2,FALSE),INDIRECT("'"&amp;E$1&amp;"'!"&amp;"$A$2:$C$23"),2,FALSE))</f>
        <v>80.7</v>
      </c>
      <c r="F11" s="3">
        <f ca="1">_xlfn.NUMBERVALUE(VLOOKUP(VLOOKUP($B11,Key!$A$17:$B$28,2,FALSE),INDIRECT("'"&amp;F$1&amp;"'!"&amp;"$A$2:$C$23"),2,FALSE))</f>
        <v>146.5</v>
      </c>
      <c r="G11" s="3">
        <f ca="1">_xlfn.NUMBERVALUE(VLOOKUP(VLOOKUP($B11,Key!$A$17:$B$28,2,FALSE),INDIRECT("'"&amp;G$1&amp;"'!"&amp;"$A$2:$C$23"),2,FALSE))</f>
        <v>112.9</v>
      </c>
      <c r="H11" s="3">
        <f ca="1">_xlfn.NUMBERVALUE(VLOOKUP(VLOOKUP($B11,Key!$A$17:$B$28,2,FALSE),INDIRECT("'"&amp;H$1&amp;"'!"&amp;"$A$2:$C$23"),2,FALSE))</f>
        <v>79.099999999999994</v>
      </c>
      <c r="I11" s="3">
        <f ca="1">_xlfn.NUMBERVALUE(VLOOKUP(VLOOKUP($B11,Key!$A$17:$B$28,2,FALSE),INDIRECT("'"&amp;I$1&amp;"'!"&amp;"$A$2:$C$23"),2,FALSE))</f>
        <v>57.2</v>
      </c>
      <c r="J11" s="3">
        <f ca="1">_xlfn.NUMBERVALUE(VLOOKUP(VLOOKUP($B11,Key!$A$17:$B$28,2,FALSE),INDIRECT("'"&amp;J$1&amp;"'!"&amp;"$A$2:$C$23"),2,FALSE))</f>
        <v>71.400000000000006</v>
      </c>
      <c r="K11" s="3">
        <f ca="1">_xlfn.NUMBERVALUE(VLOOKUP(VLOOKUP($B11,Key!$A$17:$B$28,2,FALSE),INDIRECT("'"&amp;K$1&amp;"'!"&amp;"$A$2:$C$23"),2,FALSE))</f>
        <v>69.8</v>
      </c>
      <c r="L11" s="3">
        <f ca="1">_xlfn.NUMBERVALUE(VLOOKUP(VLOOKUP($B11,Key!$A$17:$B$28,2,FALSE),INDIRECT("'"&amp;L$1&amp;"'!"&amp;"$A$2:$C$23"),2,FALSE))</f>
        <v>74.900000000000006</v>
      </c>
      <c r="M11" s="3">
        <f ca="1">_xlfn.NUMBERVALUE(VLOOKUP(VLOOKUP($B11,Key!$A$17:$B$28,2,FALSE),INDIRECT("'"&amp;M$1&amp;"'!"&amp;"$A$2:$C$23"),2,FALSE))</f>
        <v>103.3</v>
      </c>
      <c r="N11" s="3">
        <f ca="1">_xlfn.NUMBERVALUE(VLOOKUP(VLOOKUP($B11,Key!$A$17:$B$28,2,FALSE),INDIRECT("'"&amp;N$1&amp;"'!"&amp;"$A$2:$C$23"),2,FALSE))</f>
        <v>75.8</v>
      </c>
      <c r="O11" s="3">
        <f ca="1">_xlfn.NUMBERVALUE(VLOOKUP(VLOOKUP($B11,Key!$A$17:$B$28,2,FALSE),INDIRECT("'"&amp;O$1&amp;"'!"&amp;"$A$2:$C$23"),2,FALSE))</f>
        <v>110.8</v>
      </c>
      <c r="P11" s="3">
        <f ca="1">_xlfn.NUMBERVALUE(VLOOKUP(VLOOKUP($B11,Key!$A$17:$B$28,2,FALSE),INDIRECT("'"&amp;P$1&amp;"'!"&amp;"$A$2:$C$23"),2,FALSE))</f>
        <v>80.8</v>
      </c>
      <c r="Q11" s="3">
        <f ca="1">_xlfn.NUMBERVALUE(VLOOKUP(VLOOKUP($B11,Key!$A$17:$B$28,2,FALSE),INDIRECT("'"&amp;Q$1&amp;"'!"&amp;"$A$2:$C$23"),2,FALSE))</f>
        <v>69.5</v>
      </c>
      <c r="R11" s="3">
        <f ca="1">_xlfn.NUMBERVALUE(VLOOKUP(VLOOKUP($B11,Key!$A$17:$B$28,2,FALSE),INDIRECT("'"&amp;R$1&amp;"'!"&amp;"$A$2:$C$23"),2,FALSE))</f>
        <v>82.1</v>
      </c>
      <c r="S11" s="3">
        <f t="shared" ca="1" si="1"/>
        <v>146.5</v>
      </c>
      <c r="T11" s="3">
        <f t="shared" ca="1" si="2"/>
        <v>1156.0999999999999</v>
      </c>
      <c r="U11" s="3">
        <f t="shared" ca="1" si="3"/>
        <v>9</v>
      </c>
      <c r="V11" s="3">
        <f t="shared" ca="1" si="0"/>
        <v>232.4</v>
      </c>
      <c r="W11" s="4">
        <f t="shared" ca="1" si="4"/>
        <v>77.466666666666669</v>
      </c>
      <c r="X11" s="3">
        <f t="shared" ca="1" si="5"/>
        <v>12</v>
      </c>
      <c r="Y11" s="6">
        <f t="shared" ca="1" si="6"/>
        <v>1388.4999999999998</v>
      </c>
      <c r="Z11" s="3">
        <f t="shared" ca="1" si="7"/>
        <v>11</v>
      </c>
      <c r="AA11" s="10">
        <f t="shared" ca="1" si="8"/>
        <v>-159.80000000000018</v>
      </c>
      <c r="AB11" s="10">
        <f t="shared" ca="1" si="9"/>
        <v>-9.9875000000000114</v>
      </c>
      <c r="AC11" s="10">
        <f t="shared" ca="1" si="10"/>
        <v>-57.199999999999989</v>
      </c>
    </row>
    <row r="12" spans="1:29" ht="16.25" thickTop="1" thickBot="1" x14ac:dyDescent="0.9">
      <c r="A12" s="3" t="s">
        <v>23</v>
      </c>
      <c r="B12" s="8" t="s">
        <v>171</v>
      </c>
      <c r="C12" s="3">
        <f ca="1">_xlfn.NUMBERVALUE(VLOOKUP(VLOOKUP($B12,Key!$A$17:$B$28,2,FALSE),INDIRECT("'"&amp;C$1&amp;"'!"&amp;"$A$2:$C$23"),2,FALSE))</f>
        <v>93.6</v>
      </c>
      <c r="D12" s="3">
        <f ca="1">_xlfn.NUMBERVALUE(VLOOKUP(VLOOKUP($B12,Key!$A$17:$B$28,2,FALSE),INDIRECT("'"&amp;D$1&amp;"'!"&amp;"$A$2:$C$23"),2,FALSE))</f>
        <v>79.3</v>
      </c>
      <c r="E12" s="3">
        <f ca="1">_xlfn.NUMBERVALUE(VLOOKUP(VLOOKUP($B12,Key!$A$17:$B$28,2,FALSE),INDIRECT("'"&amp;E$1&amp;"'!"&amp;"$A$2:$C$23"),2,FALSE))</f>
        <v>92</v>
      </c>
      <c r="F12" s="3">
        <f ca="1">_xlfn.NUMBERVALUE(VLOOKUP(VLOOKUP($B12,Key!$A$17:$B$28,2,FALSE),INDIRECT("'"&amp;F$1&amp;"'!"&amp;"$A$2:$C$23"),2,FALSE))</f>
        <v>81</v>
      </c>
      <c r="G12" s="3">
        <f ca="1">_xlfn.NUMBERVALUE(VLOOKUP(VLOOKUP($B12,Key!$A$17:$B$28,2,FALSE),INDIRECT("'"&amp;G$1&amp;"'!"&amp;"$A$2:$C$23"),2,FALSE))</f>
        <v>103.9</v>
      </c>
      <c r="H12" s="3">
        <f ca="1">_xlfn.NUMBERVALUE(VLOOKUP(VLOOKUP($B12,Key!$A$17:$B$28,2,FALSE),INDIRECT("'"&amp;H$1&amp;"'!"&amp;"$A$2:$C$23"),2,FALSE))</f>
        <v>79.7</v>
      </c>
      <c r="I12" s="3">
        <f ca="1">_xlfn.NUMBERVALUE(VLOOKUP(VLOOKUP($B12,Key!$A$17:$B$28,2,FALSE),INDIRECT("'"&amp;I$1&amp;"'!"&amp;"$A$2:$C$23"),2,FALSE))</f>
        <v>105.8</v>
      </c>
      <c r="J12" s="3">
        <f ca="1">_xlfn.NUMBERVALUE(VLOOKUP(VLOOKUP($B12,Key!$A$17:$B$28,2,FALSE),INDIRECT("'"&amp;J$1&amp;"'!"&amp;"$A$2:$C$23"),2,FALSE))</f>
        <v>74.900000000000006</v>
      </c>
      <c r="K12" s="3">
        <f ca="1">_xlfn.NUMBERVALUE(VLOOKUP(VLOOKUP($B12,Key!$A$17:$B$28,2,FALSE),INDIRECT("'"&amp;K$1&amp;"'!"&amp;"$A$2:$C$23"),2,FALSE))</f>
        <v>90</v>
      </c>
      <c r="L12" s="3">
        <f ca="1">_xlfn.NUMBERVALUE(VLOOKUP(VLOOKUP($B12,Key!$A$17:$B$28,2,FALSE),INDIRECT("'"&amp;L$1&amp;"'!"&amp;"$A$2:$C$23"),2,FALSE))</f>
        <v>98.5</v>
      </c>
      <c r="M12" s="3">
        <f ca="1">_xlfn.NUMBERVALUE(VLOOKUP(VLOOKUP($B12,Key!$A$17:$B$28,2,FALSE),INDIRECT("'"&amp;M$1&amp;"'!"&amp;"$A$2:$C$23"),2,FALSE))</f>
        <v>103.8</v>
      </c>
      <c r="N12" s="3">
        <f ca="1">_xlfn.NUMBERVALUE(VLOOKUP(VLOOKUP($B12,Key!$A$17:$B$28,2,FALSE),INDIRECT("'"&amp;N$1&amp;"'!"&amp;"$A$2:$C$23"),2,FALSE))</f>
        <v>98.2</v>
      </c>
      <c r="O12" s="3">
        <f ca="1">_xlfn.NUMBERVALUE(VLOOKUP(VLOOKUP($B12,Key!$A$17:$B$28,2,FALSE),INDIRECT("'"&amp;O$1&amp;"'!"&amp;"$A$2:$C$23"),2,FALSE))</f>
        <v>139.1</v>
      </c>
      <c r="P12" s="3" t="str">
        <f ca="1">IFERROR(_xlfn.NUMBERVALUE(VLOOKUP(VLOOKUP($B12,Key!$A$17:$B$28,2,FALSE),INDIRECT("'"&amp;P$1&amp;"'!"&amp;"$A$2:$C$23"),2,FALSE)),"")</f>
        <v/>
      </c>
      <c r="Q12" s="3">
        <f ca="1">_xlfn.NUMBERVALUE(VLOOKUP(VLOOKUP($B12,Key!$A$17:$B$28,2,FALSE),INDIRECT("'"&amp;Q$1&amp;"'!"&amp;"$A$2:$C$23"),2,FALSE))</f>
        <v>93.8</v>
      </c>
      <c r="R12" s="3">
        <f ca="1">_xlfn.NUMBERVALUE(VLOOKUP(VLOOKUP($B12,Key!$A$17:$B$28,2,FALSE),INDIRECT("'"&amp;R$1&amp;"'!"&amp;"$A$2:$C$23"),2,FALSE))</f>
        <v>98.5</v>
      </c>
      <c r="S12" s="3">
        <f t="shared" ca="1" si="1"/>
        <v>139.1</v>
      </c>
      <c r="T12" s="3">
        <f t="shared" ca="1" si="2"/>
        <v>1239.7999999999997</v>
      </c>
      <c r="U12" s="3">
        <f t="shared" ca="1" si="3"/>
        <v>4</v>
      </c>
      <c r="V12" s="3">
        <f t="shared" ca="1" si="0"/>
        <v>192.3</v>
      </c>
      <c r="W12" s="4">
        <f t="shared" ca="1" si="4"/>
        <v>96.15</v>
      </c>
      <c r="X12" s="3">
        <f t="shared" ca="1" si="5"/>
        <v>5</v>
      </c>
      <c r="Y12" s="6">
        <f t="shared" ca="1" si="6"/>
        <v>1432.0999999999997</v>
      </c>
      <c r="Z12" s="3">
        <f t="shared" ca="1" si="7"/>
        <v>9</v>
      </c>
      <c r="AA12" s="10">
        <f t="shared" ca="1" si="8"/>
        <v>-76.100000000000364</v>
      </c>
      <c r="AB12" s="10">
        <f t="shared" ca="1" si="9"/>
        <v>-4.7562500000000227</v>
      </c>
      <c r="AC12" s="10">
        <f t="shared" ca="1" si="10"/>
        <v>-38.516666666666652</v>
      </c>
    </row>
    <row r="13" spans="1:29" ht="16.25" thickTop="1" thickBot="1" x14ac:dyDescent="0.9">
      <c r="A13" s="3" t="s">
        <v>26</v>
      </c>
      <c r="B13" s="8" t="s">
        <v>172</v>
      </c>
      <c r="C13" s="3">
        <f ca="1">_xlfn.NUMBERVALUE(VLOOKUP(VLOOKUP($B13,Key!$A$17:$B$28,2,FALSE),INDIRECT("'"&amp;C$1&amp;"'!"&amp;"$A$2:$C$23"),2,FALSE))</f>
        <v>132.19999999999999</v>
      </c>
      <c r="D13" s="3">
        <f ca="1">_xlfn.NUMBERVALUE(VLOOKUP(VLOOKUP($B13,Key!$A$17:$B$28,2,FALSE),INDIRECT("'"&amp;D$1&amp;"'!"&amp;"$A$2:$C$23"),2,FALSE))</f>
        <v>85.3</v>
      </c>
      <c r="E13" s="3">
        <f ca="1">_xlfn.NUMBERVALUE(VLOOKUP(VLOOKUP($B13,Key!$A$17:$B$28,2,FALSE),INDIRECT("'"&amp;E$1&amp;"'!"&amp;"$A$2:$C$23"),2,FALSE))</f>
        <v>100.4</v>
      </c>
      <c r="F13" s="3">
        <f ca="1">_xlfn.NUMBERVALUE(VLOOKUP(VLOOKUP($B13,Key!$A$17:$B$28,2,FALSE),INDIRECT("'"&amp;F$1&amp;"'!"&amp;"$A$2:$C$23"),2,FALSE))</f>
        <v>97.8</v>
      </c>
      <c r="G13" s="3">
        <f ca="1">_xlfn.NUMBERVALUE(VLOOKUP(VLOOKUP($B13,Key!$A$17:$B$28,2,FALSE),INDIRECT("'"&amp;G$1&amp;"'!"&amp;"$A$2:$C$23"),2,FALSE))</f>
        <v>94.1</v>
      </c>
      <c r="H13" s="3">
        <f ca="1">_xlfn.NUMBERVALUE(VLOOKUP(VLOOKUP($B13,Key!$A$17:$B$28,2,FALSE),INDIRECT("'"&amp;H$1&amp;"'!"&amp;"$A$2:$C$23"),2,FALSE))</f>
        <v>57.1</v>
      </c>
      <c r="I13" s="3">
        <f ca="1">_xlfn.NUMBERVALUE(VLOOKUP(VLOOKUP($B13,Key!$A$17:$B$28,2,FALSE),INDIRECT("'"&amp;I$1&amp;"'!"&amp;"$A$2:$C$23"),2,FALSE))</f>
        <v>105.8</v>
      </c>
      <c r="J13" s="3">
        <f ca="1">_xlfn.NUMBERVALUE(VLOOKUP(VLOOKUP($B13,Key!$A$17:$B$28,2,FALSE),INDIRECT("'"&amp;J$1&amp;"'!"&amp;"$A$2:$C$23"),2,FALSE))</f>
        <v>114</v>
      </c>
      <c r="K13" s="3">
        <f ca="1">_xlfn.NUMBERVALUE(VLOOKUP(VLOOKUP($B13,Key!$A$17:$B$28,2,FALSE),INDIRECT("'"&amp;K$1&amp;"'!"&amp;"$A$2:$C$23"),2,FALSE))</f>
        <v>120.2</v>
      </c>
      <c r="L13" s="3">
        <f ca="1">_xlfn.NUMBERVALUE(VLOOKUP(VLOOKUP($B13,Key!$A$17:$B$28,2,FALSE),INDIRECT("'"&amp;L$1&amp;"'!"&amp;"$A$2:$C$23"),2,FALSE))</f>
        <v>79.8</v>
      </c>
      <c r="M13" s="3">
        <f ca="1">_xlfn.NUMBERVALUE(VLOOKUP(VLOOKUP($B13,Key!$A$17:$B$28,2,FALSE),INDIRECT("'"&amp;M$1&amp;"'!"&amp;"$A$2:$C$23"),2,FALSE))</f>
        <v>119.8</v>
      </c>
      <c r="N13" s="3">
        <f ca="1">_xlfn.NUMBERVALUE(VLOOKUP(VLOOKUP($B13,Key!$A$17:$B$28,2,FALSE),INDIRECT("'"&amp;N$1&amp;"'!"&amp;"$A$2:$C$23"),2,FALSE))</f>
        <v>103.9</v>
      </c>
      <c r="O13" s="3">
        <f ca="1">_xlfn.NUMBERVALUE(VLOOKUP(VLOOKUP($B13,Key!$A$17:$B$28,2,FALSE),INDIRECT("'"&amp;O$1&amp;"'!"&amp;"$A$2:$C$23"),2,FALSE))</f>
        <v>105.5</v>
      </c>
      <c r="P13" s="3" t="str">
        <f ca="1">IFERROR(_xlfn.NUMBERVALUE(VLOOKUP(VLOOKUP($B13,Key!$A$17:$B$28,2,FALSE),INDIRECT("'"&amp;P$1&amp;"'!"&amp;"$A$2:$C$23"),2,FALSE)),"")</f>
        <v/>
      </c>
      <c r="Q13" s="3">
        <f ca="1">_xlfn.NUMBERVALUE(VLOOKUP(VLOOKUP($B13,Key!$A$17:$B$28,2,FALSE),INDIRECT("'"&amp;Q$1&amp;"'!"&amp;"$A$2:$C$23"),2,FALSE))</f>
        <v>152.80000000000001</v>
      </c>
      <c r="R13" s="3">
        <f ca="1">_xlfn.NUMBERVALUE(VLOOKUP(VLOOKUP($B13,Key!$A$17:$B$28,2,FALSE),INDIRECT("'"&amp;R$1&amp;"'!"&amp;"$A$2:$C$23"),2,FALSE))</f>
        <v>102.8</v>
      </c>
      <c r="S13" s="3">
        <f t="shared" ca="1" si="1"/>
        <v>132.19999999999999</v>
      </c>
      <c r="T13" s="3">
        <f t="shared" ca="1" si="2"/>
        <v>1315.9</v>
      </c>
      <c r="U13" s="3">
        <f t="shared" ca="1" si="3"/>
        <v>1</v>
      </c>
      <c r="V13" s="3">
        <f t="shared" ca="1" si="0"/>
        <v>255.60000000000002</v>
      </c>
      <c r="W13" s="4">
        <f ca="1">SUM(P13:R13)/(COUNT(P13:R13))</f>
        <v>127.80000000000001</v>
      </c>
      <c r="X13" s="3">
        <f t="shared" ca="1" si="5"/>
        <v>2</v>
      </c>
      <c r="Y13" s="6">
        <f t="shared" ca="1" si="6"/>
        <v>1571.5</v>
      </c>
      <c r="Z13" s="3">
        <f t="shared" ca="1" si="7"/>
        <v>2</v>
      </c>
      <c r="AA13" s="10">
        <f t="shared" ca="1" si="8"/>
        <v>0</v>
      </c>
      <c r="AB13" s="10">
        <f t="shared" ca="1" si="9"/>
        <v>0</v>
      </c>
      <c r="AC13" s="10">
        <f t="shared" ca="1" si="10"/>
        <v>-6.8666666666666458</v>
      </c>
    </row>
    <row r="14" spans="1:29" ht="16.25" thickTop="1" thickBot="1" x14ac:dyDescent="0.9">
      <c r="A14" s="3" t="s">
        <v>28</v>
      </c>
      <c r="B14" s="8" t="s">
        <v>173</v>
      </c>
      <c r="C14" s="3">
        <f ca="1">_xlfn.NUMBERVALUE(VLOOKUP(VLOOKUP($B14,Key!$A$17:$B$28,2,FALSE),INDIRECT("'"&amp;C$1&amp;"'!"&amp;"$A$2:$C$23"),2,FALSE))</f>
        <v>83.3</v>
      </c>
      <c r="D14" s="3">
        <f ca="1">_xlfn.NUMBERVALUE(VLOOKUP(VLOOKUP($B14,Key!$A$17:$B$28,2,FALSE),INDIRECT("'"&amp;D$1&amp;"'!"&amp;"$A$2:$C$23"),2,FALSE))</f>
        <v>112</v>
      </c>
      <c r="E14" s="3">
        <f ca="1">_xlfn.NUMBERVALUE(VLOOKUP(VLOOKUP($B14,Key!$A$17:$B$28,2,FALSE),INDIRECT("'"&amp;E$1&amp;"'!"&amp;"$A$2:$C$23"),2,FALSE))</f>
        <v>80.2</v>
      </c>
      <c r="F14" s="3">
        <f ca="1">_xlfn.NUMBERVALUE(VLOOKUP(VLOOKUP($B14,Key!$A$17:$B$28,2,FALSE),INDIRECT("'"&amp;F$1&amp;"'!"&amp;"$A$2:$C$23"),2,FALSE))</f>
        <v>78.7</v>
      </c>
      <c r="G14" s="3">
        <f ca="1">_xlfn.NUMBERVALUE(VLOOKUP(VLOOKUP($B14,Key!$A$17:$B$28,2,FALSE),INDIRECT("'"&amp;G$1&amp;"'!"&amp;"$A$2:$C$23"),2,FALSE))</f>
        <v>105.5</v>
      </c>
      <c r="H14" s="3">
        <f ca="1">_xlfn.NUMBERVALUE(VLOOKUP(VLOOKUP($B14,Key!$A$17:$B$28,2,FALSE),INDIRECT("'"&amp;H$1&amp;"'!"&amp;"$A$2:$C$23"),2,FALSE))</f>
        <v>112.6</v>
      </c>
      <c r="I14" s="3">
        <f ca="1">_xlfn.NUMBERVALUE(VLOOKUP(VLOOKUP($B14,Key!$A$17:$B$28,2,FALSE),INDIRECT("'"&amp;I$1&amp;"'!"&amp;"$A$2:$C$23"),2,FALSE))</f>
        <v>47.4</v>
      </c>
      <c r="J14" s="3">
        <f ca="1">_xlfn.NUMBERVALUE(VLOOKUP(VLOOKUP($B14,Key!$A$17:$B$28,2,FALSE),INDIRECT("'"&amp;J$1&amp;"'!"&amp;"$A$2:$C$23"),2,FALSE))</f>
        <v>84.2</v>
      </c>
      <c r="K14" s="3">
        <f ca="1">_xlfn.NUMBERVALUE(VLOOKUP(VLOOKUP($B14,Key!$A$17:$B$28,2,FALSE),INDIRECT("'"&amp;K$1&amp;"'!"&amp;"$A$2:$C$23"),2,FALSE))</f>
        <v>83.8</v>
      </c>
      <c r="L14" s="3">
        <f ca="1">_xlfn.NUMBERVALUE(VLOOKUP(VLOOKUP($B14,Key!$A$17:$B$28,2,FALSE),INDIRECT("'"&amp;L$1&amp;"'!"&amp;"$A$2:$C$23"),2,FALSE))</f>
        <v>104.9</v>
      </c>
      <c r="M14" s="3">
        <f ca="1">_xlfn.NUMBERVALUE(VLOOKUP(VLOOKUP($B14,Key!$A$17:$B$28,2,FALSE),INDIRECT("'"&amp;M$1&amp;"'!"&amp;"$A$2:$C$23"),2,FALSE))</f>
        <v>74.8</v>
      </c>
      <c r="N14" s="3">
        <f ca="1">_xlfn.NUMBERVALUE(VLOOKUP(VLOOKUP($B14,Key!$A$17:$B$28,2,FALSE),INDIRECT("'"&amp;N$1&amp;"'!"&amp;"$A$2:$C$23"),2,FALSE))</f>
        <v>92.3</v>
      </c>
      <c r="O14" s="3">
        <f ca="1">_xlfn.NUMBERVALUE(VLOOKUP(VLOOKUP($B14,Key!$A$17:$B$28,2,FALSE),INDIRECT("'"&amp;O$1&amp;"'!"&amp;"$A$2:$C$23"),2,FALSE))</f>
        <v>94</v>
      </c>
      <c r="P14" s="3">
        <f ca="1">_xlfn.NUMBERVALUE(VLOOKUP(VLOOKUP($B14,Key!$A$17:$B$28,2,FALSE),INDIRECT("'"&amp;P$1&amp;"'!"&amp;"$A$2:$C$23"),2,FALSE))</f>
        <v>71.2</v>
      </c>
      <c r="Q14" s="3">
        <f ca="1">_xlfn.NUMBERVALUE(VLOOKUP(VLOOKUP($B14,Key!$A$17:$B$28,2,FALSE),INDIRECT("'"&amp;Q$1&amp;"'!"&amp;"$A$2:$C$23"),2,FALSE))</f>
        <v>73.900000000000006</v>
      </c>
      <c r="R14" s="3">
        <f ca="1">_xlfn.NUMBERVALUE(VLOOKUP(VLOOKUP($B14,Key!$A$17:$B$28,2,FALSE),INDIRECT("'"&amp;R$1&amp;"'!"&amp;"$A$2:$C$23"),2,FALSE))</f>
        <v>99</v>
      </c>
      <c r="S14" s="3">
        <f t="shared" ca="1" si="1"/>
        <v>112.6</v>
      </c>
      <c r="T14" s="3">
        <f t="shared" ca="1" si="2"/>
        <v>1153.6999999999998</v>
      </c>
      <c r="U14" s="3">
        <f t="shared" ca="1" si="3"/>
        <v>10</v>
      </c>
      <c r="V14" s="3">
        <f t="shared" ca="1" si="0"/>
        <v>244.10000000000002</v>
      </c>
      <c r="W14" s="4">
        <f ca="1">SUM(P14:R14)/(COUNT(P14:R14))</f>
        <v>81.366666666666674</v>
      </c>
      <c r="X14" s="3">
        <f t="shared" ca="1" si="5"/>
        <v>10</v>
      </c>
      <c r="Y14" s="6">
        <f t="shared" ca="1" si="6"/>
        <v>1397.8</v>
      </c>
      <c r="Z14" s="3">
        <f t="shared" ca="1" si="7"/>
        <v>10</v>
      </c>
      <c r="AA14" s="10">
        <f t="shared" ca="1" si="8"/>
        <v>-162.20000000000027</v>
      </c>
      <c r="AB14" s="10">
        <f t="shared" ca="1" si="9"/>
        <v>-10.137500000000017</v>
      </c>
      <c r="AC14" s="10">
        <f t="shared" ca="1" si="10"/>
        <v>-53.299999999999983</v>
      </c>
    </row>
    <row r="15" spans="1:29" ht="16.25" thickTop="1" thickBot="1" x14ac:dyDescent="0.9">
      <c r="T15" s="11">
        <f ca="1">AVERAGE(T3:T14)/13</f>
        <v>92.897435897435898</v>
      </c>
      <c r="Z15" s="12"/>
    </row>
    <row r="16" spans="1:29" ht="15.5" thickTop="1" x14ac:dyDescent="0.75"/>
  </sheetData>
  <mergeCells count="1">
    <mergeCell ref="AA1:AB1"/>
  </mergeCells>
  <conditionalFormatting sqref="C3:C14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4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4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4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14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4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4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4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4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4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4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4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4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4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4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4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2:S14 T2:W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14">
    <cfRule type="colorScale" priority="2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14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:W14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4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:AA14 Y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2:AB2 AA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:AC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A3D4-874B-4E3D-BA63-332F3AE30F62}">
  <sheetPr codeName="Sheet17"/>
  <dimension ref="A1:BR16"/>
  <sheetViews>
    <sheetView zoomScale="61" zoomScaleNormal="7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8" sqref="A8:XFD8"/>
    </sheetView>
  </sheetViews>
  <sheetFormatPr defaultRowHeight="14.75" x14ac:dyDescent="0.75"/>
  <cols>
    <col min="1" max="1" width="17.31640625" style="1" customWidth="1"/>
    <col min="2" max="2" width="13.90625" style="1" customWidth="1"/>
    <col min="3" max="3" width="8.90625" style="1" bestFit="1" customWidth="1"/>
    <col min="4" max="4" width="12.1796875" style="1" bestFit="1" customWidth="1"/>
    <col min="5" max="6" width="12.1796875" style="1" customWidth="1"/>
    <col min="7" max="7" width="16.81640625" bestFit="1" customWidth="1"/>
    <col min="8" max="70" width="11.6328125" customWidth="1"/>
  </cols>
  <sheetData>
    <row r="1" spans="1:70" ht="16.25" thickTop="1" thickBot="1" x14ac:dyDescent="0.9">
      <c r="C1" s="20" t="s">
        <v>233</v>
      </c>
      <c r="D1" s="21"/>
      <c r="E1" s="20" t="s">
        <v>234</v>
      </c>
      <c r="F1" s="21"/>
      <c r="G1" s="17" t="s">
        <v>175</v>
      </c>
      <c r="H1" s="18"/>
      <c r="I1" s="18"/>
      <c r="J1" s="19"/>
      <c r="K1" s="17" t="s">
        <v>178</v>
      </c>
      <c r="L1" s="18"/>
      <c r="M1" s="18"/>
      <c r="N1" s="19"/>
      <c r="O1" s="17" t="s">
        <v>179</v>
      </c>
      <c r="P1" s="18"/>
      <c r="Q1" s="18"/>
      <c r="R1" s="19"/>
      <c r="S1" s="17" t="s">
        <v>180</v>
      </c>
      <c r="T1" s="18"/>
      <c r="U1" s="18"/>
      <c r="V1" s="19"/>
      <c r="W1" s="17" t="s">
        <v>181</v>
      </c>
      <c r="X1" s="18"/>
      <c r="Y1" s="18"/>
      <c r="Z1" s="19"/>
      <c r="AA1" s="17" t="s">
        <v>182</v>
      </c>
      <c r="AB1" s="18"/>
      <c r="AC1" s="18"/>
      <c r="AD1" s="19"/>
      <c r="AE1" s="17" t="s">
        <v>183</v>
      </c>
      <c r="AF1" s="18"/>
      <c r="AG1" s="18"/>
      <c r="AH1" s="19"/>
      <c r="AI1" s="17" t="s">
        <v>184</v>
      </c>
      <c r="AJ1" s="18"/>
      <c r="AK1" s="18"/>
      <c r="AL1" s="19"/>
      <c r="AM1" s="17" t="s">
        <v>185</v>
      </c>
      <c r="AN1" s="18"/>
      <c r="AO1" s="18"/>
      <c r="AP1" s="19"/>
      <c r="AQ1" s="17" t="s">
        <v>186</v>
      </c>
      <c r="AR1" s="18"/>
      <c r="AS1" s="18"/>
      <c r="AT1" s="19"/>
      <c r="AU1" s="17" t="s">
        <v>187</v>
      </c>
      <c r="AV1" s="18"/>
      <c r="AW1" s="18"/>
      <c r="AX1" s="19"/>
      <c r="AY1" s="17" t="s">
        <v>188</v>
      </c>
      <c r="AZ1" s="18"/>
      <c r="BA1" s="18"/>
      <c r="BB1" s="19"/>
      <c r="BC1" s="17" t="s">
        <v>189</v>
      </c>
      <c r="BD1" s="18"/>
      <c r="BE1" s="18"/>
      <c r="BF1" s="19"/>
      <c r="BG1" s="17" t="s">
        <v>215</v>
      </c>
      <c r="BH1" s="18"/>
      <c r="BI1" s="18"/>
      <c r="BJ1" s="19"/>
      <c r="BK1" s="17" t="s">
        <v>216</v>
      </c>
      <c r="BL1" s="18"/>
      <c r="BM1" s="18"/>
      <c r="BN1" s="19"/>
      <c r="BO1" s="17" t="s">
        <v>217</v>
      </c>
      <c r="BP1" s="18"/>
      <c r="BQ1" s="18"/>
      <c r="BR1" s="19"/>
    </row>
    <row r="2" spans="1:70" ht="31" thickTop="1" thickBot="1" x14ac:dyDescent="0.9">
      <c r="A2" s="3" t="s">
        <v>161</v>
      </c>
      <c r="B2" s="3" t="s">
        <v>174</v>
      </c>
      <c r="C2" s="7" t="s">
        <v>223</v>
      </c>
      <c r="D2" s="7" t="s">
        <v>224</v>
      </c>
      <c r="E2" s="7" t="s">
        <v>223</v>
      </c>
      <c r="F2" s="7" t="s">
        <v>224</v>
      </c>
      <c r="G2" s="3" t="s">
        <v>176</v>
      </c>
      <c r="H2" s="7" t="s">
        <v>226</v>
      </c>
      <c r="I2" s="7" t="s">
        <v>227</v>
      </c>
      <c r="J2" s="3" t="s">
        <v>225</v>
      </c>
      <c r="K2" s="3" t="s">
        <v>176</v>
      </c>
      <c r="L2" s="7" t="s">
        <v>226</v>
      </c>
      <c r="M2" s="7" t="s">
        <v>227</v>
      </c>
      <c r="N2" s="3" t="s">
        <v>225</v>
      </c>
      <c r="O2" s="3" t="s">
        <v>176</v>
      </c>
      <c r="P2" s="7" t="s">
        <v>226</v>
      </c>
      <c r="Q2" s="7" t="s">
        <v>227</v>
      </c>
      <c r="R2" s="3" t="s">
        <v>225</v>
      </c>
      <c r="S2" s="3" t="s">
        <v>176</v>
      </c>
      <c r="T2" s="7" t="s">
        <v>226</v>
      </c>
      <c r="U2" s="7" t="s">
        <v>227</v>
      </c>
      <c r="V2" s="3" t="s">
        <v>225</v>
      </c>
      <c r="W2" s="3" t="s">
        <v>176</v>
      </c>
      <c r="X2" s="7" t="s">
        <v>226</v>
      </c>
      <c r="Y2" s="7" t="s">
        <v>227</v>
      </c>
      <c r="Z2" s="3" t="s">
        <v>225</v>
      </c>
      <c r="AA2" s="3" t="s">
        <v>176</v>
      </c>
      <c r="AB2" s="7" t="s">
        <v>226</v>
      </c>
      <c r="AC2" s="7" t="s">
        <v>227</v>
      </c>
      <c r="AD2" s="3" t="s">
        <v>225</v>
      </c>
      <c r="AE2" s="3" t="s">
        <v>176</v>
      </c>
      <c r="AF2" s="7" t="s">
        <v>226</v>
      </c>
      <c r="AG2" s="7" t="s">
        <v>227</v>
      </c>
      <c r="AH2" s="3" t="s">
        <v>225</v>
      </c>
      <c r="AI2" s="3" t="s">
        <v>176</v>
      </c>
      <c r="AJ2" s="7" t="s">
        <v>226</v>
      </c>
      <c r="AK2" s="7" t="s">
        <v>227</v>
      </c>
      <c r="AL2" s="3" t="s">
        <v>225</v>
      </c>
      <c r="AM2" s="3" t="s">
        <v>176</v>
      </c>
      <c r="AN2" s="7" t="s">
        <v>226</v>
      </c>
      <c r="AO2" s="7" t="s">
        <v>227</v>
      </c>
      <c r="AP2" s="3" t="s">
        <v>225</v>
      </c>
      <c r="AQ2" s="3" t="s">
        <v>176</v>
      </c>
      <c r="AR2" s="7" t="s">
        <v>226</v>
      </c>
      <c r="AS2" s="7" t="s">
        <v>227</v>
      </c>
      <c r="AT2" s="3" t="s">
        <v>225</v>
      </c>
      <c r="AU2" s="3" t="s">
        <v>176</v>
      </c>
      <c r="AV2" s="7" t="s">
        <v>226</v>
      </c>
      <c r="AW2" s="7" t="s">
        <v>227</v>
      </c>
      <c r="AX2" s="3" t="s">
        <v>225</v>
      </c>
      <c r="AY2" s="3" t="s">
        <v>176</v>
      </c>
      <c r="AZ2" s="7" t="s">
        <v>226</v>
      </c>
      <c r="BA2" s="7" t="s">
        <v>227</v>
      </c>
      <c r="BB2" s="3" t="s">
        <v>225</v>
      </c>
      <c r="BC2" s="3" t="s">
        <v>176</v>
      </c>
      <c r="BD2" s="7" t="s">
        <v>226</v>
      </c>
      <c r="BE2" s="7" t="s">
        <v>227</v>
      </c>
      <c r="BF2" s="3" t="s">
        <v>225</v>
      </c>
      <c r="BG2" s="3" t="s">
        <v>176</v>
      </c>
      <c r="BH2" s="7" t="s">
        <v>226</v>
      </c>
      <c r="BI2" s="7" t="s">
        <v>227</v>
      </c>
      <c r="BJ2" s="3" t="s">
        <v>225</v>
      </c>
      <c r="BK2" s="3" t="s">
        <v>176</v>
      </c>
      <c r="BL2" s="7" t="s">
        <v>226</v>
      </c>
      <c r="BM2" s="7" t="s">
        <v>227</v>
      </c>
      <c r="BN2" s="3" t="s">
        <v>225</v>
      </c>
      <c r="BO2" s="3" t="s">
        <v>176</v>
      </c>
      <c r="BP2" s="7" t="s">
        <v>226</v>
      </c>
      <c r="BQ2" s="7" t="s">
        <v>227</v>
      </c>
      <c r="BR2" s="3" t="s">
        <v>225</v>
      </c>
    </row>
    <row r="3" spans="1:70" ht="16.25" thickTop="1" thickBot="1" x14ac:dyDescent="0.9">
      <c r="A3" s="3" t="s">
        <v>1</v>
      </c>
      <c r="B3" s="3" t="s">
        <v>162</v>
      </c>
      <c r="C3" s="7">
        <f ca="1">COUNTIF(G3:BF3,"W")</f>
        <v>6</v>
      </c>
      <c r="D3" s="7">
        <f ca="1">COUNTIF(G3:BF3,"L")</f>
        <v>5</v>
      </c>
      <c r="E3" s="7">
        <f ca="1">COUNTIF(BG3:BR3,"W")</f>
        <v>2</v>
      </c>
      <c r="F3" s="7">
        <f ca="1">COUNTIF(BG3:BR3,"L")</f>
        <v>0</v>
      </c>
      <c r="G3" s="3" t="str">
        <f ca="1">VLOOKUP(INDEX(INDIRECT("'"&amp;G$1&amp;"'!"&amp;"$A:$C"),MATCH('Schedule Optimizer'!$A3,INDIRECT("'"&amp;G$1&amp;"'!"&amp;"A:A"),0),MATCH('Schedule Optimizer'!G$2,INDIRECT("'"&amp;G$1&amp;"'!"&amp;"$A$1:$C$1"))),$A$3:$B$14,2,FALSE)</f>
        <v>Sara</v>
      </c>
      <c r="H3" s="3">
        <f ca="1">INDEX('Points For'!$B$1:$R$14,MATCH(G3,'Points For'!$B$1:$B$14,0),MATCH(G$1,'Points For'!$B$1:$R$1,0))</f>
        <v>93.9</v>
      </c>
      <c r="I3" s="3">
        <f ca="1">INDEX('Points For'!$B$1:$R$14,MATCH($B$16,'Points For'!$B$1:$B$14,0),MATCH(G$1,'Points For'!$B$1:$R$1,0))</f>
        <v>81</v>
      </c>
      <c r="J3" s="3" t="str">
        <f t="shared" ref="J3:J14" ca="1" si="0">IF(I3&gt;H3,"W",IF(I3&lt;H3,"L",IF(G3=$B$16,"N/A","T")))</f>
        <v>L</v>
      </c>
      <c r="K3" s="3" t="str">
        <f ca="1">VLOOKUP(INDEX(INDIRECT("'"&amp;K$1&amp;"'!"&amp;"$A:$C"),MATCH('Schedule Optimizer'!$A3,INDIRECT("'"&amp;K$1&amp;"'!"&amp;"A:A"),0),MATCH('Schedule Optimizer'!K$2,INDIRECT("'"&amp;K$1&amp;"'!"&amp;"$A$1:$C$1"))),$A$3:$B$14,2,FALSE)</f>
        <v>Sam</v>
      </c>
      <c r="L3" s="3">
        <f ca="1">INDEX('Points For'!$B$1:$R$14,MATCH(K3,'Points For'!$B$1:$B$14,0),MATCH(K$1,'Points For'!$B$1:$R$1,0))</f>
        <v>83.3</v>
      </c>
      <c r="M3" s="3">
        <f ca="1">INDEX('Points For'!$B$1:$R$14,MATCH($B$16,'Points For'!$B$1:$B$14,0),MATCH(K$1,'Points For'!$B$1:$R$1,0))</f>
        <v>91.1</v>
      </c>
      <c r="N3" s="3" t="str">
        <f t="shared" ref="N3:N14" ca="1" si="1">IF(M3&gt;L3,"W",IF(M3&lt;L3,"L",IF(K3=$B$16,"N/A","T")))</f>
        <v>W</v>
      </c>
      <c r="O3" s="3" t="str">
        <f ca="1">VLOOKUP(INDEX(INDIRECT("'"&amp;O$1&amp;"'!"&amp;"$A:$C"),MATCH('Schedule Optimizer'!$A3,INDIRECT("'"&amp;O$1&amp;"'!"&amp;"A:A"),0),MATCH('Schedule Optimizer'!O$2,INDIRECT("'"&amp;O$1&amp;"'!"&amp;"$A$1:$C$1"))),$A$3:$B$14,2,FALSE)</f>
        <v>Catina</v>
      </c>
      <c r="P3" s="3">
        <f ca="1">INDEX('Points For'!$B$1:$R$14,MATCH(O3,'Points For'!$B$1:$B$14,0),MATCH(O$1,'Points For'!$B$1:$R$1,0))</f>
        <v>95.9</v>
      </c>
      <c r="Q3" s="3">
        <f ca="1">INDEX('Points For'!$B$1:$R$14,MATCH($B$16,'Points For'!$B$1:$B$14,0),MATCH(O$1,'Points For'!$B$1:$R$1,0))</f>
        <v>95.9</v>
      </c>
      <c r="R3" s="3" t="str">
        <f t="shared" ref="R3:R14" ca="1" si="2">IF(Q3&gt;P3,"W",IF(Q3&lt;P3,"L",IF(O3=$B$16,"N/A","T")))</f>
        <v>N/A</v>
      </c>
      <c r="S3" s="3" t="str">
        <f ca="1">VLOOKUP(INDEX(INDIRECT("'"&amp;S$1&amp;"'!"&amp;"$A:$C"),MATCH('Schedule Optimizer'!$A3,INDIRECT("'"&amp;S$1&amp;"'!"&amp;"A:A"),0),MATCH('Schedule Optimizer'!S$2,INDIRECT("'"&amp;S$1&amp;"'!"&amp;"$A$1:$C$1"))),$A$3:$B$14,2,FALSE)</f>
        <v>Jesse</v>
      </c>
      <c r="T3" s="3">
        <f ca="1">INDEX('Points For'!$B$1:$R$14,MATCH(S3,'Points For'!$B$1:$B$14,0),MATCH(S$1,'Points For'!$B$1:$R$1,0))</f>
        <v>76.099999999999994</v>
      </c>
      <c r="U3" s="3">
        <f ca="1">INDEX('Points For'!$B$1:$R$14,MATCH($B$16,'Points For'!$B$1:$B$14,0),MATCH(S$1,'Points For'!$B$1:$R$1,0))</f>
        <v>86</v>
      </c>
      <c r="V3" s="3" t="str">
        <f t="shared" ref="V3:V14" ca="1" si="3">IF(U3&gt;T3,"W",IF(U3&lt;T3,"L",IF(S3=$B$16,"N/A","T")))</f>
        <v>W</v>
      </c>
      <c r="W3" s="3" t="str">
        <f ca="1">VLOOKUP(INDEX(INDIRECT("'"&amp;W$1&amp;"'!"&amp;"$A:$C"),MATCH('Schedule Optimizer'!$A3,INDIRECT("'"&amp;W$1&amp;"'!"&amp;"A:A"),0),MATCH('Schedule Optimizer'!W$2,INDIRECT("'"&amp;W$1&amp;"'!"&amp;"$A$1:$C$1"))),$A$3:$B$14,2,FALSE)</f>
        <v>Cody</v>
      </c>
      <c r="X3" s="3">
        <f ca="1">INDEX('Points For'!$B$1:$R$14,MATCH(W3,'Points For'!$B$1:$B$14,0),MATCH(W$1,'Points For'!$B$1:$R$1,0))</f>
        <v>106.4</v>
      </c>
      <c r="Y3" s="3">
        <f ca="1">INDEX('Points For'!$B$1:$R$14,MATCH($B$16,'Points For'!$B$1:$B$14,0),MATCH(W$1,'Points For'!$B$1:$R$1,0))</f>
        <v>65.5</v>
      </c>
      <c r="Z3" s="3" t="str">
        <f t="shared" ref="Z3:Z14" ca="1" si="4">IF(Y3&gt;X3,"W",IF(Y3&lt;X3,"L",IF(W3=$B$16,"N/A","T")))</f>
        <v>L</v>
      </c>
      <c r="AA3" s="3" t="str">
        <f ca="1">VLOOKUP(INDEX(INDIRECT("'"&amp;AA$1&amp;"'!"&amp;"$A:$C"),MATCH('Schedule Optimizer'!$A3,INDIRECT("'"&amp;AA$1&amp;"'!"&amp;"A:A"),0),MATCH('Schedule Optimizer'!AA$2,INDIRECT("'"&amp;AA$1&amp;"'!"&amp;"$A$1:$C$1"))),$A$3:$B$14,2,FALSE)</f>
        <v>Ed</v>
      </c>
      <c r="AB3" s="3">
        <f ca="1">INDEX('Points For'!$B$1:$R$14,MATCH(AA3,'Points For'!$B$1:$B$14,0),MATCH(AA$1,'Points For'!$B$1:$R$1,0))</f>
        <v>57.1</v>
      </c>
      <c r="AC3" s="3">
        <f ca="1">INDEX('Points For'!$B$1:$R$14,MATCH($B$16,'Points For'!$B$1:$B$14,0),MATCH(AA$1,'Points For'!$B$1:$R$1,0))</f>
        <v>85.8</v>
      </c>
      <c r="AD3" s="3" t="str">
        <f t="shared" ref="AD3:AD14" ca="1" si="5">IF(AC3&gt;AB3,"W",IF(AC3&lt;AB3,"L",IF(AA3=$B$16,"N/A","T")))</f>
        <v>W</v>
      </c>
      <c r="AE3" s="3" t="str">
        <f ca="1">VLOOKUP(INDEX(INDIRECT("'"&amp;AE$1&amp;"'!"&amp;"$A:$C"),MATCH('Schedule Optimizer'!$A3,INDIRECT("'"&amp;AE$1&amp;"'!"&amp;"A:A"),0),MATCH('Schedule Optimizer'!AE$2,INDIRECT("'"&amp;AE$1&amp;"'!"&amp;"$A$1:$C$1"))),$A$3:$B$14,2,FALSE)</f>
        <v>Steve</v>
      </c>
      <c r="AF3" s="3">
        <f ca="1">INDEX('Points For'!$B$1:$R$14,MATCH(AE3,'Points For'!$B$1:$B$14,0),MATCH(AE$1,'Points For'!$B$1:$R$1,0))</f>
        <v>57.2</v>
      </c>
      <c r="AG3" s="3">
        <f ca="1">INDEX('Points For'!$B$1:$R$14,MATCH($B$16,'Points For'!$B$1:$B$14,0),MATCH(AE$1,'Points For'!$B$1:$R$1,0))</f>
        <v>91.3</v>
      </c>
      <c r="AH3" s="3" t="str">
        <f t="shared" ref="AH3:AH14" ca="1" si="6">IF(AG3&gt;AF3,"W",IF(AG3&lt;AF3,"L",IF(AE3=$B$16,"N/A","T")))</f>
        <v>W</v>
      </c>
      <c r="AI3" s="3" t="str">
        <f ca="1">VLOOKUP(INDEX(INDIRECT("'"&amp;AI$1&amp;"'!"&amp;"$A:$C"),MATCH('Schedule Optimizer'!$A3,INDIRECT("'"&amp;AI$1&amp;"'!"&amp;"A:A"),0),MATCH('Schedule Optimizer'!AI$2,INDIRECT("'"&amp;AI$1&amp;"'!"&amp;"$A$1:$C$1"))),$A$3:$B$14,2,FALSE)</f>
        <v>Nicole</v>
      </c>
      <c r="AJ3" s="3">
        <f ca="1">INDEX('Points For'!$B$1:$R$14,MATCH(AI3,'Points For'!$B$1:$B$14,0),MATCH(AI$1,'Points For'!$B$1:$R$1,0))</f>
        <v>74.900000000000006</v>
      </c>
      <c r="AK3" s="3">
        <f ca="1">INDEX('Points For'!$B$1:$R$14,MATCH($B$16,'Points For'!$B$1:$B$14,0),MATCH(AI$1,'Points For'!$B$1:$R$1,0))</f>
        <v>82.8</v>
      </c>
      <c r="AL3" s="3" t="str">
        <f t="shared" ref="AL3:AL14" ca="1" si="7">IF(AK3&gt;AJ3,"W",IF(AK3&lt;AJ3,"L",IF(AI3=$B$16,"N/A","T")))</f>
        <v>W</v>
      </c>
      <c r="AM3" s="3" t="str">
        <f ca="1">VLOOKUP(INDEX(INDIRECT("'"&amp;AM$1&amp;"'!"&amp;"$A:$C"),MATCH('Schedule Optimizer'!$A3,INDIRECT("'"&amp;AM$1&amp;"'!"&amp;"A:A"),0),MATCH('Schedule Optimizer'!AM$2,INDIRECT("'"&amp;AM$1&amp;"'!"&amp;"$A$1:$C$1"))),$A$3:$B$14,2,FALSE)</f>
        <v>Binder</v>
      </c>
      <c r="AN3" s="3">
        <f ca="1">INDEX('Points For'!$B$1:$R$14,MATCH(AM3,'Points For'!$B$1:$B$14,0),MATCH(AM$1,'Points For'!$B$1:$R$1,0))</f>
        <v>83.8</v>
      </c>
      <c r="AO3" s="3">
        <f ca="1">INDEX('Points For'!$B$1:$R$14,MATCH($B$16,'Points For'!$B$1:$B$14,0),MATCH(AM$1,'Points For'!$B$1:$R$1,0))</f>
        <v>102.8</v>
      </c>
      <c r="AP3" s="3" t="str">
        <f t="shared" ref="AP3:AP14" ca="1" si="8">IF(AO3&gt;AN3,"W",IF(AO3&lt;AN3,"L",IF(AM3=$B$16,"N/A","T")))</f>
        <v>W</v>
      </c>
      <c r="AQ3" s="3" t="str">
        <f ca="1">VLOOKUP(INDEX(INDIRECT("'"&amp;AQ$1&amp;"'!"&amp;"$A:$C"),MATCH('Schedule Optimizer'!$A3,INDIRECT("'"&amp;AQ$1&amp;"'!"&amp;"A:A"),0),MATCH('Schedule Optimizer'!AQ$2,INDIRECT("'"&amp;AQ$1&amp;"'!"&amp;"$A$1:$C$1"))),$A$3:$B$14,2,FALSE)</f>
        <v>Jake</v>
      </c>
      <c r="AR3" s="3">
        <f ca="1">INDEX('Points For'!$B$1:$R$14,MATCH(AQ3,'Points For'!$B$1:$B$14,0),MATCH(AQ$1,'Points For'!$B$1:$R$1,0))</f>
        <v>101.6</v>
      </c>
      <c r="AS3" s="3">
        <f ca="1">INDEX('Points For'!$B$1:$R$14,MATCH($B$16,'Points For'!$B$1:$B$14,0),MATCH(AQ$1,'Points For'!$B$1:$R$1,0))</f>
        <v>65.599999999999994</v>
      </c>
      <c r="AT3" s="3" t="str">
        <f t="shared" ref="AT3:AT14" ca="1" si="9">IF(AS3&gt;AR3,"W",IF(AS3&lt;AR3,"L",IF(AQ3=$B$16,"N/A","T")))</f>
        <v>L</v>
      </c>
      <c r="AU3" s="3" t="str">
        <f ca="1">VLOOKUP(INDEX(INDIRECT("'"&amp;AU$1&amp;"'!"&amp;"$A:$C"),MATCH('Schedule Optimizer'!$A3,INDIRECT("'"&amp;AU$1&amp;"'!"&amp;"A:A"),0),MATCH('Schedule Optimizer'!AU$2,INDIRECT("'"&amp;AU$1&amp;"'!"&amp;"$A$1:$C$1"))),$A$3:$B$14,2,FALSE)</f>
        <v>Dave</v>
      </c>
      <c r="AV3" s="3">
        <f ca="1">INDEX('Points For'!$B$1:$R$14,MATCH(AU3,'Points For'!$B$1:$B$14,0),MATCH(AU$1,'Points For'!$B$1:$R$1,0))</f>
        <v>116.5</v>
      </c>
      <c r="AW3" s="3">
        <f ca="1">INDEX('Points For'!$B$1:$R$14,MATCH($B$16,'Points For'!$B$1:$B$14,0),MATCH(AU$1,'Points For'!$B$1:$R$1,0))</f>
        <v>100.6</v>
      </c>
      <c r="AX3" s="3" t="str">
        <f t="shared" ref="AX3:AX14" ca="1" si="10">IF(AW3&gt;AV3,"W",IF(AW3&lt;AV3,"L",IF(AU3=$B$16,"N/A","T")))</f>
        <v>L</v>
      </c>
      <c r="AY3" s="3" t="str">
        <f ca="1">VLOOKUP(INDEX(INDIRECT("'"&amp;AY$1&amp;"'!"&amp;"$A:$C"),MATCH('Schedule Optimizer'!$A3,INDIRECT("'"&amp;AY$1&amp;"'!"&amp;"A:A"),0),MATCH('Schedule Optimizer'!AY$2,INDIRECT("'"&amp;AY$1&amp;"'!"&amp;"$A$1:$C$1"))),$A$3:$B$14,2,FALSE)</f>
        <v>Catina</v>
      </c>
      <c r="AZ3" s="3">
        <f ca="1">INDEX('Points For'!$B$1:$R$14,MATCH(AY3,'Points For'!$B$1:$B$14,0),MATCH(AY$1,'Points For'!$B$1:$R$1,0))</f>
        <v>121.6</v>
      </c>
      <c r="BA3" s="3">
        <f ca="1">INDEX('Points For'!$B$1:$R$14,MATCH($B$16,'Points For'!$B$1:$B$14,0),MATCH(AY$1,'Points For'!$B$1:$R$1,0))</f>
        <v>121.6</v>
      </c>
      <c r="BB3" s="3" t="str">
        <f t="shared" ref="BB3:BB14" ca="1" si="11">IF(BA3&gt;AZ3,"W",IF(BA3&lt;AZ3,"L",IF(AY3=$B$16,"N/A","T")))</f>
        <v>N/A</v>
      </c>
      <c r="BC3" s="3" t="str">
        <f ca="1">VLOOKUP(INDEX(INDIRECT("'"&amp;BC$1&amp;"'!"&amp;"$A:$C"),MATCH('Schedule Optimizer'!$A3,INDIRECT("'"&amp;BC$1&amp;"'!"&amp;"A:A"),0),MATCH('Schedule Optimizer'!BC$2,INDIRECT("'"&amp;BC$1&amp;"'!"&amp;"$A$1:$C$1"))),$A$3:$B$14,2,FALSE)</f>
        <v>Jesse</v>
      </c>
      <c r="BD3" s="3">
        <f ca="1">INDEX('Points For'!$B$1:$R$14,MATCH(BC3,'Points For'!$B$1:$B$14,0),MATCH(BC$1,'Points For'!$B$1:$R$1,0))</f>
        <v>86.9</v>
      </c>
      <c r="BE3" s="3">
        <f ca="1">INDEX('Points For'!$B$1:$R$14,MATCH($B$16,'Points For'!$B$1:$B$14,0),MATCH(BC$1,'Points For'!$B$1:$R$1,0))</f>
        <v>79.400000000000006</v>
      </c>
      <c r="BF3" s="3" t="str">
        <f t="shared" ref="BF3:BF14" ca="1" si="12">IF(BE3&gt;BD3,"W",IF(BE3&lt;BD3,"L",IF(BC3=$B$16,"N/A","T")))</f>
        <v>L</v>
      </c>
      <c r="BG3" s="3" t="str">
        <f ca="1">VLOOKUP(INDEX(INDIRECT("'"&amp;BG$1&amp;"'!"&amp;"$A:$C"),MATCH('Schedule Optimizer'!$A3,INDIRECT("'"&amp;BG$1&amp;"'!"&amp;"A:A"),0),MATCH('Schedule Optimizer'!BG$2,INDIRECT("'"&amp;BG$1&amp;"'!"&amp;"$A$1:$C$1"))),$A$3:$B$14,2,FALSE)</f>
        <v>Steve</v>
      </c>
      <c r="BH3" s="3">
        <f ca="1">INDEX('Points For'!$B$1:$R$14,MATCH(BG3,'Points For'!$B$1:$B$14,0),MATCH(BG$1,'Points For'!$B$1:$R$1,0))</f>
        <v>80.8</v>
      </c>
      <c r="BI3" s="3">
        <f ca="1">INDEX('Points For'!$B$1:$R$14,MATCH($B$16,'Points For'!$B$1:$B$14,0),MATCH(BG$1,'Points For'!$B$1:$R$1,0))</f>
        <v>102.6</v>
      </c>
      <c r="BJ3" s="3" t="str">
        <f t="shared" ref="BJ3:BJ14" ca="1" si="13">IF(BI3&gt;BH3,"W",IF(BI3&lt;BH3,"L",IF(BG3=$B$16,"N/A","T")))</f>
        <v>W</v>
      </c>
      <c r="BK3" s="3" t="str">
        <f ca="1">VLOOKUP(INDEX(INDIRECT("'"&amp;BK$1&amp;"'!"&amp;"$A:$C"),MATCH('Schedule Optimizer'!$A3,INDIRECT("'"&amp;BK$1&amp;"'!"&amp;"A:A"),0),MATCH('Schedule Optimizer'!BK$2,INDIRECT("'"&amp;BK$1&amp;"'!"&amp;"$A$1:$C$1"))),$A$3:$B$14,2,FALSE)</f>
        <v>Sara</v>
      </c>
      <c r="BL3" s="3">
        <f ca="1">INDEX('Points For'!$B$1:$R$14,MATCH(BK3,'Points For'!$B$1:$B$14,0),MATCH(BK$1,'Points For'!$B$1:$R$1,0))</f>
        <v>88.6</v>
      </c>
      <c r="BM3" s="3">
        <f ca="1">INDEX('Points For'!$B$1:$R$14,MATCH($B$16,'Points For'!$B$1:$B$14,0),MATCH(BK$1,'Points For'!$B$1:$R$1,0))</f>
        <v>138.30000000000001</v>
      </c>
      <c r="BN3" s="3" t="str">
        <f t="shared" ref="BN3:BN14" ca="1" si="14">IF(BM3&gt;BL3,"W",IF(BM3&lt;BL3,"L",IF(BK3=$B$16,"N/A","T")))</f>
        <v>W</v>
      </c>
      <c r="BO3" s="3" t="str">
        <f ca="1">VLOOKUP(INDEX(INDIRECT("'"&amp;BO$1&amp;"'!"&amp;"$A:$C"),MATCH('Schedule Optimizer'!$A3,INDIRECT("'"&amp;BO$1&amp;"'!"&amp;"A:A"),0),MATCH('Schedule Optimizer'!BO$2,INDIRECT("'"&amp;BO$1&amp;"'!"&amp;"$A$1:$C$1"))),$A$3:$B$14,2,FALSE)</f>
        <v>Catina</v>
      </c>
      <c r="BP3" s="3">
        <f ca="1">INDEX('Points For'!$B$1:$R$14,MATCH(BO3,'Points For'!$B$1:$B$14,0),MATCH(BO$1,'Points For'!$B$1:$R$1,0))</f>
        <v>163.1</v>
      </c>
      <c r="BQ3" s="3">
        <f ca="1">INDEX('Points For'!$B$1:$R$14,MATCH($B$16,'Points For'!$B$1:$B$14,0),MATCH(BO$1,'Points For'!$B$1:$R$1,0))</f>
        <v>163.1</v>
      </c>
      <c r="BR3" s="3" t="str">
        <f t="shared" ref="BR3:BR14" ca="1" si="15">IF(BQ3&gt;BP3,"W",IF(BQ3&lt;BP3,"L",IF(BO3=$B$16,"N/A","T")))</f>
        <v>N/A</v>
      </c>
    </row>
    <row r="4" spans="1:70" ht="16.25" thickTop="1" thickBot="1" x14ac:dyDescent="0.9">
      <c r="A4" s="3" t="s">
        <v>3</v>
      </c>
      <c r="B4" s="3" t="s">
        <v>163</v>
      </c>
      <c r="C4" s="7">
        <f t="shared" ref="C4:C14" ca="1" si="16">COUNTIF(G4:BF4,"W")</f>
        <v>6</v>
      </c>
      <c r="D4" s="7">
        <f t="shared" ref="D4:D14" ca="1" si="17">COUNTIF(G4:BF4,"L")</f>
        <v>6</v>
      </c>
      <c r="E4" s="7">
        <f t="shared" ref="E4:E14" ca="1" si="18">COUNTIF(BG4:BR4,"W")</f>
        <v>2</v>
      </c>
      <c r="F4" s="7">
        <f t="shared" ref="F4:F14" ca="1" si="19">COUNTIF(BG4:BR4,"L")</f>
        <v>1</v>
      </c>
      <c r="G4" s="3" t="str">
        <f ca="1">VLOOKUP(INDEX(INDIRECT("'"&amp;G$1&amp;"'!"&amp;"$A:$C"),MATCH('Schedule Optimizer'!$A4,INDIRECT("'"&amp;G$1&amp;"'!"&amp;"A:A"),0),MATCH('Schedule Optimizer'!G$2,INDIRECT("'"&amp;G$1&amp;"'!"&amp;"$A$1:$C$1"))),$A$3:$B$14,2,FALSE)</f>
        <v>Tres</v>
      </c>
      <c r="H4" s="3">
        <f ca="1">INDEX('Points For'!$B$1:$R$14,MATCH(G4,'Points For'!$B$1:$B$14,0),MATCH(G$1,'Points For'!$B$1:$R$1,0))</f>
        <v>88.4</v>
      </c>
      <c r="I4" s="3">
        <f ca="1">INDEX('Points For'!$B$1:$R$14,MATCH($B$16,'Points For'!$B$1:$B$14,0),MATCH(G$1,'Points For'!$B$1:$R$1,0))</f>
        <v>81</v>
      </c>
      <c r="J4" s="3" t="str">
        <f t="shared" ca="1" si="0"/>
        <v>L</v>
      </c>
      <c r="K4" s="3" t="str">
        <f ca="1">VLOOKUP(INDEX(INDIRECT("'"&amp;K$1&amp;"'!"&amp;"$A:$C"),MATCH('Schedule Optimizer'!$A4,INDIRECT("'"&amp;K$1&amp;"'!"&amp;"A:A"),0),MATCH('Schedule Optimizer'!K$2,INDIRECT("'"&amp;K$1&amp;"'!"&amp;"$A$1:$C$1"))),$A$3:$B$14,2,FALSE)</f>
        <v>Dave</v>
      </c>
      <c r="L4" s="3">
        <f ca="1">INDEX('Points For'!$B$1:$R$14,MATCH(K4,'Points For'!$B$1:$B$14,0),MATCH(K$1,'Points For'!$B$1:$R$1,0))</f>
        <v>75.099999999999994</v>
      </c>
      <c r="M4" s="3">
        <f ca="1">INDEX('Points For'!$B$1:$R$14,MATCH($B$16,'Points For'!$B$1:$B$14,0),MATCH(K$1,'Points For'!$B$1:$R$1,0))</f>
        <v>91.1</v>
      </c>
      <c r="N4" s="3" t="str">
        <f t="shared" ca="1" si="1"/>
        <v>W</v>
      </c>
      <c r="O4" s="3" t="str">
        <f ca="1">VLOOKUP(INDEX(INDIRECT("'"&amp;O$1&amp;"'!"&amp;"$A:$C"),MATCH('Schedule Optimizer'!$A4,INDIRECT("'"&amp;O$1&amp;"'!"&amp;"A:A"),0),MATCH('Schedule Optimizer'!O$2,INDIRECT("'"&amp;O$1&amp;"'!"&amp;"$A$1:$C$1"))),$A$3:$B$14,2,FALSE)</f>
        <v>Nicole</v>
      </c>
      <c r="P4" s="3">
        <f ca="1">INDEX('Points For'!$B$1:$R$14,MATCH(O4,'Points For'!$B$1:$B$14,0),MATCH(O$1,'Points For'!$B$1:$R$1,0))</f>
        <v>92</v>
      </c>
      <c r="Q4" s="3">
        <f ca="1">INDEX('Points For'!$B$1:$R$14,MATCH($B$16,'Points For'!$B$1:$B$14,0),MATCH(O$1,'Points For'!$B$1:$R$1,0))</f>
        <v>95.9</v>
      </c>
      <c r="R4" s="3" t="str">
        <f t="shared" ca="1" si="2"/>
        <v>W</v>
      </c>
      <c r="S4" s="3" t="str">
        <f ca="1">VLOOKUP(INDEX(INDIRECT("'"&amp;S$1&amp;"'!"&amp;"$A:$C"),MATCH('Schedule Optimizer'!$A4,INDIRECT("'"&amp;S$1&amp;"'!"&amp;"A:A"),0),MATCH('Schedule Optimizer'!S$2,INDIRECT("'"&amp;S$1&amp;"'!"&amp;"$A$1:$C$1"))),$A$3:$B$14,2,FALSE)</f>
        <v>Sam</v>
      </c>
      <c r="T4" s="3">
        <f ca="1">INDEX('Points For'!$B$1:$R$14,MATCH(S4,'Points For'!$B$1:$B$14,0),MATCH(S$1,'Points For'!$B$1:$R$1,0))</f>
        <v>75.7</v>
      </c>
      <c r="U4" s="3">
        <f ca="1">INDEX('Points For'!$B$1:$R$14,MATCH($B$16,'Points For'!$B$1:$B$14,0),MATCH(S$1,'Points For'!$B$1:$R$1,0))</f>
        <v>86</v>
      </c>
      <c r="V4" s="3" t="str">
        <f t="shared" ca="1" si="3"/>
        <v>W</v>
      </c>
      <c r="W4" s="3" t="str">
        <f ca="1">VLOOKUP(INDEX(INDIRECT("'"&amp;W$1&amp;"'!"&amp;"$A:$C"),MATCH('Schedule Optimizer'!$A4,INDIRECT("'"&amp;W$1&amp;"'!"&amp;"A:A"),0),MATCH('Schedule Optimizer'!W$2,INDIRECT("'"&amp;W$1&amp;"'!"&amp;"$A$1:$C$1"))),$A$3:$B$14,2,FALSE)</f>
        <v>Binder</v>
      </c>
      <c r="X4" s="3">
        <f ca="1">INDEX('Points For'!$B$1:$R$14,MATCH(W4,'Points For'!$B$1:$B$14,0),MATCH(W$1,'Points For'!$B$1:$R$1,0))</f>
        <v>105.5</v>
      </c>
      <c r="Y4" s="3">
        <f ca="1">INDEX('Points For'!$B$1:$R$14,MATCH($B$16,'Points For'!$B$1:$B$14,0),MATCH(W$1,'Points For'!$B$1:$R$1,0))</f>
        <v>65.5</v>
      </c>
      <c r="Z4" s="3" t="str">
        <f t="shared" ca="1" si="4"/>
        <v>L</v>
      </c>
      <c r="AA4" s="3" t="str">
        <f ca="1">VLOOKUP(INDEX(INDIRECT("'"&amp;AA$1&amp;"'!"&amp;"$A:$C"),MATCH('Schedule Optimizer'!$A4,INDIRECT("'"&amp;AA$1&amp;"'!"&amp;"A:A"),0),MATCH('Schedule Optimizer'!AA$2,INDIRECT("'"&amp;AA$1&amp;"'!"&amp;"$A$1:$C$1"))),$A$3:$B$14,2,FALSE)</f>
        <v>Cody</v>
      </c>
      <c r="AB4" s="3">
        <f ca="1">INDEX('Points For'!$B$1:$R$14,MATCH(AA4,'Points For'!$B$1:$B$14,0),MATCH(AA$1,'Points For'!$B$1:$R$1,0))</f>
        <v>78.099999999999994</v>
      </c>
      <c r="AC4" s="3">
        <f ca="1">INDEX('Points For'!$B$1:$R$14,MATCH($B$16,'Points For'!$B$1:$B$14,0),MATCH(AA$1,'Points For'!$B$1:$R$1,0))</f>
        <v>85.8</v>
      </c>
      <c r="AD4" s="3" t="str">
        <f t="shared" ca="1" si="5"/>
        <v>W</v>
      </c>
      <c r="AE4" s="3" t="str">
        <f ca="1">VLOOKUP(INDEX(INDIRECT("'"&amp;AE$1&amp;"'!"&amp;"$A:$C"),MATCH('Schedule Optimizer'!$A4,INDIRECT("'"&amp;AE$1&amp;"'!"&amp;"A:A"),0),MATCH('Schedule Optimizer'!AE$2,INDIRECT("'"&amp;AE$1&amp;"'!"&amp;"$A$1:$C$1"))),$A$3:$B$14,2,FALSE)</f>
        <v>Jesse</v>
      </c>
      <c r="AF4" s="3">
        <f ca="1">INDEX('Points For'!$B$1:$R$14,MATCH(AE4,'Points For'!$B$1:$B$14,0),MATCH(AE$1,'Points For'!$B$1:$R$1,0))</f>
        <v>79.599999999999994</v>
      </c>
      <c r="AG4" s="3">
        <f ca="1">INDEX('Points For'!$B$1:$R$14,MATCH($B$16,'Points For'!$B$1:$B$14,0),MATCH(AE$1,'Points For'!$B$1:$R$1,0))</f>
        <v>91.3</v>
      </c>
      <c r="AH4" s="3" t="str">
        <f t="shared" ca="1" si="6"/>
        <v>W</v>
      </c>
      <c r="AI4" s="3" t="str">
        <f ca="1">VLOOKUP(INDEX(INDIRECT("'"&amp;AI$1&amp;"'!"&amp;"$A:$C"),MATCH('Schedule Optimizer'!$A4,INDIRECT("'"&amp;AI$1&amp;"'!"&amp;"A:A"),0),MATCH('Schedule Optimizer'!AI$2,INDIRECT("'"&amp;AI$1&amp;"'!"&amp;"$A$1:$C$1"))),$A$3:$B$14,2,FALSE)</f>
        <v>Ed</v>
      </c>
      <c r="AJ4" s="3">
        <f ca="1">INDEX('Points For'!$B$1:$R$14,MATCH(AI4,'Points For'!$B$1:$B$14,0),MATCH(AI$1,'Points For'!$B$1:$R$1,0))</f>
        <v>114</v>
      </c>
      <c r="AK4" s="3">
        <f ca="1">INDEX('Points For'!$B$1:$R$14,MATCH($B$16,'Points For'!$B$1:$B$14,0),MATCH(AI$1,'Points For'!$B$1:$R$1,0))</f>
        <v>82.8</v>
      </c>
      <c r="AL4" s="3" t="str">
        <f t="shared" ca="1" si="7"/>
        <v>L</v>
      </c>
      <c r="AM4" s="3" t="str">
        <f ca="1">VLOOKUP(INDEX(INDIRECT("'"&amp;AM$1&amp;"'!"&amp;"$A:$C"),MATCH('Schedule Optimizer'!$A4,INDIRECT("'"&amp;AM$1&amp;"'!"&amp;"A:A"),0),MATCH('Schedule Optimizer'!AM$2,INDIRECT("'"&amp;AM$1&amp;"'!"&amp;"$A$1:$C$1"))),$A$3:$B$14,2,FALSE)</f>
        <v>Jake</v>
      </c>
      <c r="AN4" s="3">
        <f ca="1">INDEX('Points For'!$B$1:$R$14,MATCH(AM4,'Points For'!$B$1:$B$14,0),MATCH(AM$1,'Points For'!$B$1:$R$1,0))</f>
        <v>106</v>
      </c>
      <c r="AO4" s="3">
        <f ca="1">INDEX('Points For'!$B$1:$R$14,MATCH($B$16,'Points For'!$B$1:$B$14,0),MATCH(AM$1,'Points For'!$B$1:$R$1,0))</f>
        <v>102.8</v>
      </c>
      <c r="AP4" s="3" t="str">
        <f t="shared" ca="1" si="8"/>
        <v>L</v>
      </c>
      <c r="AQ4" s="3" t="str">
        <f ca="1">VLOOKUP(INDEX(INDIRECT("'"&amp;AQ$1&amp;"'!"&amp;"$A:$C"),MATCH('Schedule Optimizer'!$A4,INDIRECT("'"&amp;AQ$1&amp;"'!"&amp;"A:A"),0),MATCH('Schedule Optimizer'!AQ$2,INDIRECT("'"&amp;AQ$1&amp;"'!"&amp;"$A$1:$C$1"))),$A$3:$B$14,2,FALSE)</f>
        <v>Catina</v>
      </c>
      <c r="AR4" s="3">
        <f ca="1">INDEX('Points For'!$B$1:$R$14,MATCH(AQ4,'Points For'!$B$1:$B$14,0),MATCH(AQ$1,'Points For'!$B$1:$R$1,0))</f>
        <v>65.599999999999994</v>
      </c>
      <c r="AS4" s="3">
        <f ca="1">INDEX('Points For'!$B$1:$R$14,MATCH($B$16,'Points For'!$B$1:$B$14,0),MATCH(AQ$1,'Points For'!$B$1:$R$1,0))</f>
        <v>65.599999999999994</v>
      </c>
      <c r="AT4" s="3" t="str">
        <f t="shared" ca="1" si="9"/>
        <v>N/A</v>
      </c>
      <c r="AU4" s="3" t="str">
        <f ca="1">VLOOKUP(INDEX(INDIRECT("'"&amp;AU$1&amp;"'!"&amp;"$A:$C"),MATCH('Schedule Optimizer'!$A4,INDIRECT("'"&amp;AU$1&amp;"'!"&amp;"A:A"),0),MATCH('Schedule Optimizer'!AU$2,INDIRECT("'"&amp;AU$1&amp;"'!"&amp;"$A$1:$C$1"))),$A$3:$B$14,2,FALSE)</f>
        <v>Steve</v>
      </c>
      <c r="AV4" s="3">
        <f ca="1">INDEX('Points For'!$B$1:$R$14,MATCH(AU4,'Points For'!$B$1:$B$14,0),MATCH(AU$1,'Points For'!$B$1:$R$1,0))</f>
        <v>103.3</v>
      </c>
      <c r="AW4" s="3">
        <f ca="1">INDEX('Points For'!$B$1:$R$14,MATCH($B$16,'Points For'!$B$1:$B$14,0),MATCH(AU$1,'Points For'!$B$1:$R$1,0))</f>
        <v>100.6</v>
      </c>
      <c r="AX4" s="3" t="str">
        <f t="shared" ca="1" si="10"/>
        <v>L</v>
      </c>
      <c r="AY4" s="3" t="str">
        <f ca="1">VLOOKUP(INDEX(INDIRECT("'"&amp;AY$1&amp;"'!"&amp;"$A:$C"),MATCH('Schedule Optimizer'!$A4,INDIRECT("'"&amp;AY$1&amp;"'!"&amp;"A:A"),0),MATCH('Schedule Optimizer'!AY$2,INDIRECT("'"&amp;AY$1&amp;"'!"&amp;"$A$1:$C$1"))),$A$3:$B$14,2,FALSE)</f>
        <v>Nicole</v>
      </c>
      <c r="AZ4" s="3">
        <f ca="1">INDEX('Points For'!$B$1:$R$14,MATCH(AY4,'Points For'!$B$1:$B$14,0),MATCH(AY$1,'Points For'!$B$1:$R$1,0))</f>
        <v>98.2</v>
      </c>
      <c r="BA4" s="3">
        <f ca="1">INDEX('Points For'!$B$1:$R$14,MATCH($B$16,'Points For'!$B$1:$B$14,0),MATCH(AY$1,'Points For'!$B$1:$R$1,0))</f>
        <v>121.6</v>
      </c>
      <c r="BB4" s="3" t="str">
        <f t="shared" ca="1" si="11"/>
        <v>W</v>
      </c>
      <c r="BC4" s="3" t="str">
        <f ca="1">VLOOKUP(INDEX(INDIRECT("'"&amp;BC$1&amp;"'!"&amp;"$A:$C"),MATCH('Schedule Optimizer'!$A4,INDIRECT("'"&amp;BC$1&amp;"'!"&amp;"A:A"),0),MATCH('Schedule Optimizer'!BC$2,INDIRECT("'"&amp;BC$1&amp;"'!"&amp;"$A$1:$C$1"))),$A$3:$B$14,2,FALSE)</f>
        <v>Sam</v>
      </c>
      <c r="BD4" s="3">
        <f ca="1">INDEX('Points For'!$B$1:$R$14,MATCH(BC4,'Points For'!$B$1:$B$14,0),MATCH(BC$1,'Points For'!$B$1:$R$1,0))</f>
        <v>109</v>
      </c>
      <c r="BE4" s="3">
        <f ca="1">INDEX('Points For'!$B$1:$R$14,MATCH($B$16,'Points For'!$B$1:$B$14,0),MATCH(BC$1,'Points For'!$B$1:$R$1,0))</f>
        <v>79.400000000000006</v>
      </c>
      <c r="BF4" s="3" t="str">
        <f t="shared" ca="1" si="12"/>
        <v>L</v>
      </c>
      <c r="BG4" s="3" t="str">
        <f ca="1">VLOOKUP(INDEX(INDIRECT("'"&amp;BG$1&amp;"'!"&amp;"$A:$C"),MATCH('Schedule Optimizer'!$A4,INDIRECT("'"&amp;BG$1&amp;"'!"&amp;"A:A"),0),MATCH('Schedule Optimizer'!BG$2,INDIRECT("'"&amp;BG$1&amp;"'!"&amp;"$A$1:$C$1"))),$A$3:$B$14,2,FALSE)</f>
        <v>Sam</v>
      </c>
      <c r="BH4" s="3">
        <f ca="1">INDEX('Points For'!$B$1:$R$14,MATCH(BG4,'Points For'!$B$1:$B$14,0),MATCH(BG$1,'Points For'!$B$1:$R$1,0))</f>
        <v>112.7</v>
      </c>
      <c r="BI4" s="3">
        <f ca="1">INDEX('Points For'!$B$1:$R$14,MATCH($B$16,'Points For'!$B$1:$B$14,0),MATCH(BG$1,'Points For'!$B$1:$R$1,0))</f>
        <v>102.6</v>
      </c>
      <c r="BJ4" s="3" t="str">
        <f t="shared" ca="1" si="13"/>
        <v>L</v>
      </c>
      <c r="BK4" s="3" t="str">
        <f ca="1">VLOOKUP(INDEX(INDIRECT("'"&amp;BK$1&amp;"'!"&amp;"$A:$C"),MATCH('Schedule Optimizer'!$A4,INDIRECT("'"&amp;BK$1&amp;"'!"&amp;"A:A"),0),MATCH('Schedule Optimizer'!BK$2,INDIRECT("'"&amp;BK$1&amp;"'!"&amp;"$A$1:$C$1"))),$A$3:$B$14,2,FALSE)</f>
        <v>Tres</v>
      </c>
      <c r="BL4" s="3">
        <f ca="1">INDEX('Points For'!$B$1:$R$14,MATCH(BK4,'Points For'!$B$1:$B$14,0),MATCH(BK$1,'Points For'!$B$1:$R$1,0))</f>
        <v>94.5</v>
      </c>
      <c r="BM4" s="3">
        <f ca="1">INDEX('Points For'!$B$1:$R$14,MATCH($B$16,'Points For'!$B$1:$B$14,0),MATCH(BK$1,'Points For'!$B$1:$R$1,0))</f>
        <v>138.30000000000001</v>
      </c>
      <c r="BN4" s="3" t="str">
        <f t="shared" ca="1" si="14"/>
        <v>W</v>
      </c>
      <c r="BO4" s="3" t="str">
        <f ca="1">VLOOKUP(INDEX(INDIRECT("'"&amp;BO$1&amp;"'!"&amp;"$A:$C"),MATCH('Schedule Optimizer'!$A4,INDIRECT("'"&amp;BO$1&amp;"'!"&amp;"A:A"),0),MATCH('Schedule Optimizer'!BO$2,INDIRECT("'"&amp;BO$1&amp;"'!"&amp;"$A$1:$C$1"))),$A$3:$B$14,2,FALSE)</f>
        <v>Steve</v>
      </c>
      <c r="BP4" s="3">
        <f ca="1">INDEX('Points For'!$B$1:$R$14,MATCH(BO4,'Points For'!$B$1:$B$14,0),MATCH(BO$1,'Points For'!$B$1:$R$1,0))</f>
        <v>82.1</v>
      </c>
      <c r="BQ4" s="3">
        <f ca="1">INDEX('Points For'!$B$1:$R$14,MATCH($B$16,'Points For'!$B$1:$B$14,0),MATCH(BO$1,'Points For'!$B$1:$R$1,0))</f>
        <v>163.1</v>
      </c>
      <c r="BR4" s="3" t="str">
        <f t="shared" ca="1" si="15"/>
        <v>W</v>
      </c>
    </row>
    <row r="5" spans="1:70" ht="16.25" thickTop="1" thickBot="1" x14ac:dyDescent="0.9">
      <c r="A5" s="3" t="s">
        <v>6</v>
      </c>
      <c r="B5" s="3" t="s">
        <v>164</v>
      </c>
      <c r="C5" s="7">
        <f t="shared" ca="1" si="16"/>
        <v>7</v>
      </c>
      <c r="D5" s="7">
        <f t="shared" ca="1" si="17"/>
        <v>5</v>
      </c>
      <c r="E5" s="7">
        <f t="shared" ca="1" si="18"/>
        <v>2</v>
      </c>
      <c r="F5" s="7">
        <f t="shared" ca="1" si="19"/>
        <v>0</v>
      </c>
      <c r="G5" s="3" t="str">
        <f ca="1">VLOOKUP(INDEX(INDIRECT("'"&amp;G$1&amp;"'!"&amp;"$A:$C"),MATCH('Schedule Optimizer'!$A5,INDIRECT("'"&amp;G$1&amp;"'!"&amp;"A:A"),0),MATCH('Schedule Optimizer'!G$2,INDIRECT("'"&amp;G$1&amp;"'!"&amp;"$A$1:$C$1"))),$A$3:$B$14,2,FALSE)</f>
        <v>Catina</v>
      </c>
      <c r="H5" s="3">
        <f ca="1">INDEX('Points For'!$B$1:$R$14,MATCH(G5,'Points For'!$B$1:$B$14,0),MATCH(G$1,'Points For'!$B$1:$R$1,0))</f>
        <v>81</v>
      </c>
      <c r="I5" s="3">
        <f ca="1">INDEX('Points For'!$B$1:$R$14,MATCH($B$16,'Points For'!$B$1:$B$14,0),MATCH(G$1,'Points For'!$B$1:$R$1,0))</f>
        <v>81</v>
      </c>
      <c r="J5" s="3" t="str">
        <f t="shared" ca="1" si="0"/>
        <v>N/A</v>
      </c>
      <c r="K5" s="3" t="str">
        <f ca="1">VLOOKUP(INDEX(INDIRECT("'"&amp;K$1&amp;"'!"&amp;"$A:$C"),MATCH('Schedule Optimizer'!$A5,INDIRECT("'"&amp;K$1&amp;"'!"&amp;"A:A"),0),MATCH('Schedule Optimizer'!K$2,INDIRECT("'"&amp;K$1&amp;"'!"&amp;"$A$1:$C$1"))),$A$3:$B$14,2,FALSE)</f>
        <v>Tres</v>
      </c>
      <c r="L5" s="3">
        <f ca="1">INDEX('Points For'!$B$1:$R$14,MATCH(K5,'Points For'!$B$1:$B$14,0),MATCH(K$1,'Points For'!$B$1:$R$1,0))</f>
        <v>97</v>
      </c>
      <c r="M5" s="3">
        <f ca="1">INDEX('Points For'!$B$1:$R$14,MATCH($B$16,'Points For'!$B$1:$B$14,0),MATCH(K$1,'Points For'!$B$1:$R$1,0))</f>
        <v>91.1</v>
      </c>
      <c r="N5" s="3" t="str">
        <f t="shared" ca="1" si="1"/>
        <v>L</v>
      </c>
      <c r="O5" s="3" t="str">
        <f ca="1">VLOOKUP(INDEX(INDIRECT("'"&amp;O$1&amp;"'!"&amp;"$A:$C"),MATCH('Schedule Optimizer'!$A5,INDIRECT("'"&amp;O$1&amp;"'!"&amp;"A:A"),0),MATCH('Schedule Optimizer'!O$2,INDIRECT("'"&amp;O$1&amp;"'!"&amp;"$A$1:$C$1"))),$A$3:$B$14,2,FALSE)</f>
        <v>Binder</v>
      </c>
      <c r="P5" s="3">
        <f ca="1">INDEX('Points For'!$B$1:$R$14,MATCH(O5,'Points For'!$B$1:$B$14,0),MATCH(O$1,'Points For'!$B$1:$R$1,0))</f>
        <v>80.2</v>
      </c>
      <c r="Q5" s="3">
        <f ca="1">INDEX('Points For'!$B$1:$R$14,MATCH($B$16,'Points For'!$B$1:$B$14,0),MATCH(O$1,'Points For'!$B$1:$R$1,0))</f>
        <v>95.9</v>
      </c>
      <c r="R5" s="3" t="str">
        <f t="shared" ca="1" si="2"/>
        <v>W</v>
      </c>
      <c r="S5" s="3" t="str">
        <f ca="1">VLOOKUP(INDEX(INDIRECT("'"&amp;S$1&amp;"'!"&amp;"$A:$C"),MATCH('Schedule Optimizer'!$A5,INDIRECT("'"&amp;S$1&amp;"'!"&amp;"A:A"),0),MATCH('Schedule Optimizer'!S$2,INDIRECT("'"&amp;S$1&amp;"'!"&amp;"$A$1:$C$1"))),$A$3:$B$14,2,FALSE)</f>
        <v>Sara</v>
      </c>
      <c r="T5" s="3">
        <f ca="1">INDEX('Points For'!$B$1:$R$14,MATCH(S5,'Points For'!$B$1:$B$14,0),MATCH(S$1,'Points For'!$B$1:$R$1,0))</f>
        <v>72.5</v>
      </c>
      <c r="U5" s="3">
        <f ca="1">INDEX('Points For'!$B$1:$R$14,MATCH($B$16,'Points For'!$B$1:$B$14,0),MATCH(S$1,'Points For'!$B$1:$R$1,0))</f>
        <v>86</v>
      </c>
      <c r="V5" s="3" t="str">
        <f t="shared" ca="1" si="3"/>
        <v>W</v>
      </c>
      <c r="W5" s="3" t="str">
        <f ca="1">VLOOKUP(INDEX(INDIRECT("'"&amp;W$1&amp;"'!"&amp;"$A:$C"),MATCH('Schedule Optimizer'!$A5,INDIRECT("'"&amp;W$1&amp;"'!"&amp;"A:A"),0),MATCH('Schedule Optimizer'!W$2,INDIRECT("'"&amp;W$1&amp;"'!"&amp;"$A$1:$C$1"))),$A$3:$B$14,2,FALSE)</f>
        <v>Ed</v>
      </c>
      <c r="X5" s="3">
        <f ca="1">INDEX('Points For'!$B$1:$R$14,MATCH(W5,'Points For'!$B$1:$B$14,0),MATCH(W$1,'Points For'!$B$1:$R$1,0))</f>
        <v>94.1</v>
      </c>
      <c r="Y5" s="3">
        <f ca="1">INDEX('Points For'!$B$1:$R$14,MATCH($B$16,'Points For'!$B$1:$B$14,0),MATCH(W$1,'Points For'!$B$1:$R$1,0))</f>
        <v>65.5</v>
      </c>
      <c r="Z5" s="3" t="str">
        <f t="shared" ca="1" si="4"/>
        <v>L</v>
      </c>
      <c r="AA5" s="3" t="str">
        <f ca="1">VLOOKUP(INDEX(INDIRECT("'"&amp;AA$1&amp;"'!"&amp;"$A:$C"),MATCH('Schedule Optimizer'!$A5,INDIRECT("'"&amp;AA$1&amp;"'!"&amp;"A:A"),0),MATCH('Schedule Optimizer'!AA$2,INDIRECT("'"&amp;AA$1&amp;"'!"&amp;"$A$1:$C$1"))),$A$3:$B$14,2,FALSE)</f>
        <v>Jake</v>
      </c>
      <c r="AB5" s="3">
        <f ca="1">INDEX('Points For'!$B$1:$R$14,MATCH(AA5,'Points For'!$B$1:$B$14,0),MATCH(AA$1,'Points For'!$B$1:$R$1,0))</f>
        <v>105.3</v>
      </c>
      <c r="AC5" s="3">
        <f ca="1">INDEX('Points For'!$B$1:$R$14,MATCH($B$16,'Points For'!$B$1:$B$14,0),MATCH(AA$1,'Points For'!$B$1:$R$1,0))</f>
        <v>85.8</v>
      </c>
      <c r="AD5" s="3" t="str">
        <f t="shared" ca="1" si="5"/>
        <v>L</v>
      </c>
      <c r="AE5" s="3" t="str">
        <f ca="1">VLOOKUP(INDEX(INDIRECT("'"&amp;AE$1&amp;"'!"&amp;"$A:$C"),MATCH('Schedule Optimizer'!$A5,INDIRECT("'"&amp;AE$1&amp;"'!"&amp;"A:A"),0),MATCH('Schedule Optimizer'!AE$2,INDIRECT("'"&amp;AE$1&amp;"'!"&amp;"$A$1:$C$1"))),$A$3:$B$14,2,FALSE)</f>
        <v>Dave</v>
      </c>
      <c r="AF5" s="3">
        <f ca="1">INDEX('Points For'!$B$1:$R$14,MATCH(AE5,'Points For'!$B$1:$B$14,0),MATCH(AE$1,'Points For'!$B$1:$R$1,0))</f>
        <v>110</v>
      </c>
      <c r="AG5" s="3">
        <f ca="1">INDEX('Points For'!$B$1:$R$14,MATCH($B$16,'Points For'!$B$1:$B$14,0),MATCH(AE$1,'Points For'!$B$1:$R$1,0))</f>
        <v>91.3</v>
      </c>
      <c r="AH5" s="3" t="str">
        <f t="shared" ca="1" si="6"/>
        <v>L</v>
      </c>
      <c r="AI5" s="3" t="str">
        <f ca="1">VLOOKUP(INDEX(INDIRECT("'"&amp;AI$1&amp;"'!"&amp;"$A:$C"),MATCH('Schedule Optimizer'!$A5,INDIRECT("'"&amp;AI$1&amp;"'!"&amp;"A:A"),0),MATCH('Schedule Optimizer'!AI$2,INDIRECT("'"&amp;AI$1&amp;"'!"&amp;"$A$1:$C$1"))),$A$3:$B$14,2,FALSE)</f>
        <v>Steve</v>
      </c>
      <c r="AJ5" s="3">
        <f ca="1">INDEX('Points For'!$B$1:$R$14,MATCH(AI5,'Points For'!$B$1:$B$14,0),MATCH(AI$1,'Points For'!$B$1:$R$1,0))</f>
        <v>71.400000000000006</v>
      </c>
      <c r="AK5" s="3">
        <f ca="1">INDEX('Points For'!$B$1:$R$14,MATCH($B$16,'Points For'!$B$1:$B$14,0),MATCH(AI$1,'Points For'!$B$1:$R$1,0))</f>
        <v>82.8</v>
      </c>
      <c r="AL5" s="3" t="str">
        <f t="shared" ca="1" si="7"/>
        <v>W</v>
      </c>
      <c r="AM5" s="3" t="str">
        <f ca="1">VLOOKUP(INDEX(INDIRECT("'"&amp;AM$1&amp;"'!"&amp;"$A:$C"),MATCH('Schedule Optimizer'!$A5,INDIRECT("'"&amp;AM$1&amp;"'!"&amp;"A:A"),0),MATCH('Schedule Optimizer'!AM$2,INDIRECT("'"&amp;AM$1&amp;"'!"&amp;"$A$1:$C$1"))),$A$3:$B$14,2,FALSE)</f>
        <v>Nicole</v>
      </c>
      <c r="AN5" s="3">
        <f ca="1">INDEX('Points For'!$B$1:$R$14,MATCH(AM5,'Points For'!$B$1:$B$14,0),MATCH(AM$1,'Points For'!$B$1:$R$1,0))</f>
        <v>90</v>
      </c>
      <c r="AO5" s="3">
        <f ca="1">INDEX('Points For'!$B$1:$R$14,MATCH($B$16,'Points For'!$B$1:$B$14,0),MATCH(AM$1,'Points For'!$B$1:$R$1,0))</f>
        <v>102.8</v>
      </c>
      <c r="AP5" s="3" t="str">
        <f t="shared" ca="1" si="8"/>
        <v>W</v>
      </c>
      <c r="AQ5" s="3" t="str">
        <f ca="1">VLOOKUP(INDEX(INDIRECT("'"&amp;AQ$1&amp;"'!"&amp;"$A:$C"),MATCH('Schedule Optimizer'!$A5,INDIRECT("'"&amp;AQ$1&amp;"'!"&amp;"A:A"),0),MATCH('Schedule Optimizer'!AQ$2,INDIRECT("'"&amp;AQ$1&amp;"'!"&amp;"$A$1:$C$1"))),$A$3:$B$14,2,FALSE)</f>
        <v>Jesse</v>
      </c>
      <c r="AR5" s="3">
        <f ca="1">INDEX('Points For'!$B$1:$R$14,MATCH(AQ5,'Points For'!$B$1:$B$14,0),MATCH(AQ$1,'Points For'!$B$1:$R$1,0))</f>
        <v>66.7</v>
      </c>
      <c r="AS5" s="3">
        <f ca="1">INDEX('Points For'!$B$1:$R$14,MATCH($B$16,'Points For'!$B$1:$B$14,0),MATCH(AQ$1,'Points For'!$B$1:$R$1,0))</f>
        <v>65.599999999999994</v>
      </c>
      <c r="AT5" s="3" t="str">
        <f t="shared" ca="1" si="9"/>
        <v>L</v>
      </c>
      <c r="AU5" s="3" t="str">
        <f ca="1">VLOOKUP(INDEX(INDIRECT("'"&amp;AU$1&amp;"'!"&amp;"$A:$C"),MATCH('Schedule Optimizer'!$A5,INDIRECT("'"&amp;AU$1&amp;"'!"&amp;"A:A"),0),MATCH('Schedule Optimizer'!AU$2,INDIRECT("'"&amp;AU$1&amp;"'!"&amp;"$A$1:$C$1"))),$A$3:$B$14,2,FALSE)</f>
        <v>Cody</v>
      </c>
      <c r="AV5" s="3">
        <f ca="1">INDEX('Points For'!$B$1:$R$14,MATCH(AU5,'Points For'!$B$1:$B$14,0),MATCH(AU$1,'Points For'!$B$1:$R$1,0))</f>
        <v>79.900000000000006</v>
      </c>
      <c r="AW5" s="3">
        <f ca="1">INDEX('Points For'!$B$1:$R$14,MATCH($B$16,'Points For'!$B$1:$B$14,0),MATCH(AU$1,'Points For'!$B$1:$R$1,0))</f>
        <v>100.6</v>
      </c>
      <c r="AX5" s="3" t="str">
        <f t="shared" ca="1" si="10"/>
        <v>W</v>
      </c>
      <c r="AY5" s="3" t="str">
        <f ca="1">VLOOKUP(INDEX(INDIRECT("'"&amp;AY$1&amp;"'!"&amp;"$A:$C"),MATCH('Schedule Optimizer'!$A5,INDIRECT("'"&amp;AY$1&amp;"'!"&amp;"A:A"),0),MATCH('Schedule Optimizer'!AY$2,INDIRECT("'"&amp;AY$1&amp;"'!"&amp;"$A$1:$C$1"))),$A$3:$B$14,2,FALSE)</f>
        <v>Binder</v>
      </c>
      <c r="AZ5" s="3">
        <f ca="1">INDEX('Points For'!$B$1:$R$14,MATCH(AY5,'Points For'!$B$1:$B$14,0),MATCH(AY$1,'Points For'!$B$1:$R$1,0))</f>
        <v>92.3</v>
      </c>
      <c r="BA5" s="3">
        <f ca="1">INDEX('Points For'!$B$1:$R$14,MATCH($B$16,'Points For'!$B$1:$B$14,0),MATCH(AY$1,'Points For'!$B$1:$R$1,0))</f>
        <v>121.6</v>
      </c>
      <c r="BB5" s="3" t="str">
        <f t="shared" ca="1" si="11"/>
        <v>W</v>
      </c>
      <c r="BC5" s="3" t="str">
        <f ca="1">VLOOKUP(INDEX(INDIRECT("'"&amp;BC$1&amp;"'!"&amp;"$A:$C"),MATCH('Schedule Optimizer'!$A5,INDIRECT("'"&amp;BC$1&amp;"'!"&amp;"A:A"),0),MATCH('Schedule Optimizer'!BC$2,INDIRECT("'"&amp;BC$1&amp;"'!"&amp;"$A$1:$C$1"))),$A$3:$B$14,2,FALSE)</f>
        <v>Sara</v>
      </c>
      <c r="BD5" s="3">
        <f ca="1">INDEX('Points For'!$B$1:$R$14,MATCH(BC5,'Points For'!$B$1:$B$14,0),MATCH(BC$1,'Points For'!$B$1:$R$1,0))</f>
        <v>73</v>
      </c>
      <c r="BE5" s="3">
        <f ca="1">INDEX('Points For'!$B$1:$R$14,MATCH($B$16,'Points For'!$B$1:$B$14,0),MATCH(BC$1,'Points For'!$B$1:$R$1,0))</f>
        <v>79.400000000000006</v>
      </c>
      <c r="BF5" s="3" t="str">
        <f t="shared" ca="1" si="12"/>
        <v>W</v>
      </c>
      <c r="BG5" s="3" t="str">
        <f ca="1">VLOOKUP(INDEX(INDIRECT("'"&amp;BG$1&amp;"'!"&amp;"$A:$C"),MATCH('Schedule Optimizer'!$A5,INDIRECT("'"&amp;BG$1&amp;"'!"&amp;"A:A"),0),MATCH('Schedule Optimizer'!BG$2,INDIRECT("'"&amp;BG$1&amp;"'!"&amp;"$A$1:$C$1"))),$A$3:$B$14,2,FALSE)</f>
        <v>Sara</v>
      </c>
      <c r="BH5" s="3">
        <f ca="1">INDEX('Points For'!$B$1:$R$14,MATCH(BG5,'Points For'!$B$1:$B$14,0),MATCH(BG$1,'Points For'!$B$1:$R$1,0))</f>
        <v>96</v>
      </c>
      <c r="BI5" s="3">
        <f ca="1">INDEX('Points For'!$B$1:$R$14,MATCH($B$16,'Points For'!$B$1:$B$14,0),MATCH(BG$1,'Points For'!$B$1:$R$1,0))</f>
        <v>102.6</v>
      </c>
      <c r="BJ5" s="3" t="str">
        <f t="shared" ca="1" si="13"/>
        <v>W</v>
      </c>
      <c r="BK5" s="3" t="str">
        <f ca="1">VLOOKUP(INDEX(INDIRECT("'"&amp;BK$1&amp;"'!"&amp;"$A:$C"),MATCH('Schedule Optimizer'!$A5,INDIRECT("'"&amp;BK$1&amp;"'!"&amp;"A:A"),0),MATCH('Schedule Optimizer'!BK$2,INDIRECT("'"&amp;BK$1&amp;"'!"&amp;"$A$1:$C$1"))),$A$3:$B$14,2,FALSE)</f>
        <v>Catina</v>
      </c>
      <c r="BL5" s="3">
        <f ca="1">INDEX('Points For'!$B$1:$R$14,MATCH(BK5,'Points For'!$B$1:$B$14,0),MATCH(BK$1,'Points For'!$B$1:$R$1,0))</f>
        <v>138.30000000000001</v>
      </c>
      <c r="BM5" s="3">
        <f ca="1">INDEX('Points For'!$B$1:$R$14,MATCH($B$16,'Points For'!$B$1:$B$14,0),MATCH(BK$1,'Points For'!$B$1:$R$1,0))</f>
        <v>138.30000000000001</v>
      </c>
      <c r="BN5" s="3" t="str">
        <f t="shared" ca="1" si="14"/>
        <v>N/A</v>
      </c>
      <c r="BO5" s="3" t="str">
        <f ca="1">VLOOKUP(INDEX(INDIRECT("'"&amp;BO$1&amp;"'!"&amp;"$A:$C"),MATCH('Schedule Optimizer'!$A5,INDIRECT("'"&amp;BO$1&amp;"'!"&amp;"A:A"),0),MATCH('Schedule Optimizer'!BO$2,INDIRECT("'"&amp;BO$1&amp;"'!"&amp;"$A$1:$C$1"))),$A$3:$B$14,2,FALSE)</f>
        <v>Binder</v>
      </c>
      <c r="BP5" s="3">
        <f ca="1">INDEX('Points For'!$B$1:$R$14,MATCH(BO5,'Points For'!$B$1:$B$14,0),MATCH(BO$1,'Points For'!$B$1:$R$1,0))</f>
        <v>99</v>
      </c>
      <c r="BQ5" s="3">
        <f ca="1">INDEX('Points For'!$B$1:$R$14,MATCH($B$16,'Points For'!$B$1:$B$14,0),MATCH(BO$1,'Points For'!$B$1:$R$1,0))</f>
        <v>163.1</v>
      </c>
      <c r="BR5" s="3" t="str">
        <f t="shared" ca="1" si="15"/>
        <v>W</v>
      </c>
    </row>
    <row r="6" spans="1:70" ht="16.25" thickTop="1" thickBot="1" x14ac:dyDescent="0.9">
      <c r="A6" s="3" t="s">
        <v>8</v>
      </c>
      <c r="B6" s="3" t="s">
        <v>165</v>
      </c>
      <c r="C6" s="7">
        <f t="shared" ca="1" si="16"/>
        <v>6</v>
      </c>
      <c r="D6" s="7">
        <f t="shared" ca="1" si="17"/>
        <v>7</v>
      </c>
      <c r="E6" s="7">
        <f t="shared" ca="1" si="18"/>
        <v>3</v>
      </c>
      <c r="F6" s="7">
        <f t="shared" ca="1" si="19"/>
        <v>0</v>
      </c>
      <c r="G6" s="3" t="str">
        <f ca="1">VLOOKUP(INDEX(INDIRECT("'"&amp;G$1&amp;"'!"&amp;"$A:$C"),MATCH('Schedule Optimizer'!$A6,INDIRECT("'"&amp;G$1&amp;"'!"&amp;"A:A"),0),MATCH('Schedule Optimizer'!G$2,INDIRECT("'"&amp;G$1&amp;"'!"&amp;"$A$1:$C$1"))),$A$3:$B$14,2,FALSE)</f>
        <v>Sam</v>
      </c>
      <c r="H6" s="3">
        <f ca="1">INDEX('Points For'!$B$1:$R$14,MATCH(G6,'Points For'!$B$1:$B$14,0),MATCH(G$1,'Points For'!$B$1:$R$1,0))</f>
        <v>63.9</v>
      </c>
      <c r="I6" s="3">
        <f ca="1">INDEX('Points For'!$B$1:$R$14,MATCH($B$16,'Points For'!$B$1:$B$14,0),MATCH(G$1,'Points For'!$B$1:$R$1,0))</f>
        <v>81</v>
      </c>
      <c r="J6" s="3" t="str">
        <f t="shared" ca="1" si="0"/>
        <v>W</v>
      </c>
      <c r="K6" s="3" t="str">
        <f ca="1">VLOOKUP(INDEX(INDIRECT("'"&amp;K$1&amp;"'!"&amp;"$A:$C"),MATCH('Schedule Optimizer'!$A6,INDIRECT("'"&amp;K$1&amp;"'!"&amp;"A:A"),0),MATCH('Schedule Optimizer'!K$2,INDIRECT("'"&amp;K$1&amp;"'!"&amp;"$A$1:$C$1"))),$A$3:$B$14,2,FALSE)</f>
        <v>Cody</v>
      </c>
      <c r="L6" s="3">
        <f ca="1">INDEX('Points For'!$B$1:$R$14,MATCH(K6,'Points For'!$B$1:$B$14,0),MATCH(K$1,'Points For'!$B$1:$R$1,0))</f>
        <v>86.7</v>
      </c>
      <c r="M6" s="3">
        <f ca="1">INDEX('Points For'!$B$1:$R$14,MATCH($B$16,'Points For'!$B$1:$B$14,0),MATCH(K$1,'Points For'!$B$1:$R$1,0))</f>
        <v>91.1</v>
      </c>
      <c r="N6" s="3" t="str">
        <f t="shared" ca="1" si="1"/>
        <v>W</v>
      </c>
      <c r="O6" s="3" t="str">
        <f ca="1">VLOOKUP(INDEX(INDIRECT("'"&amp;O$1&amp;"'!"&amp;"$A:$C"),MATCH('Schedule Optimizer'!$A6,INDIRECT("'"&amp;O$1&amp;"'!"&amp;"A:A"),0),MATCH('Schedule Optimizer'!O$2,INDIRECT("'"&amp;O$1&amp;"'!"&amp;"$A$1:$C$1"))),$A$3:$B$14,2,FALSE)</f>
        <v>Tres</v>
      </c>
      <c r="P6" s="3">
        <f ca="1">INDEX('Points For'!$B$1:$R$14,MATCH(O6,'Points For'!$B$1:$B$14,0),MATCH(O$1,'Points For'!$B$1:$R$1,0))</f>
        <v>81.400000000000006</v>
      </c>
      <c r="Q6" s="3">
        <f ca="1">INDEX('Points For'!$B$1:$R$14,MATCH($B$16,'Points For'!$B$1:$B$14,0),MATCH(O$1,'Points For'!$B$1:$R$1,0))</f>
        <v>95.9</v>
      </c>
      <c r="R6" s="3" t="str">
        <f t="shared" ca="1" si="2"/>
        <v>W</v>
      </c>
      <c r="S6" s="3" t="str">
        <f ca="1">VLOOKUP(INDEX(INDIRECT("'"&amp;S$1&amp;"'!"&amp;"$A:$C"),MATCH('Schedule Optimizer'!$A6,INDIRECT("'"&amp;S$1&amp;"'!"&amp;"A:A"),0),MATCH('Schedule Optimizer'!S$2,INDIRECT("'"&amp;S$1&amp;"'!"&amp;"$A$1:$C$1"))),$A$3:$B$14,2,FALSE)</f>
        <v>Steve</v>
      </c>
      <c r="T6" s="3">
        <f ca="1">INDEX('Points For'!$B$1:$R$14,MATCH(S6,'Points For'!$B$1:$B$14,0),MATCH(S$1,'Points For'!$B$1:$R$1,0))</f>
        <v>146.5</v>
      </c>
      <c r="U6" s="3">
        <f ca="1">INDEX('Points For'!$B$1:$R$14,MATCH($B$16,'Points For'!$B$1:$B$14,0),MATCH(S$1,'Points For'!$B$1:$R$1,0))</f>
        <v>86</v>
      </c>
      <c r="V6" s="3" t="str">
        <f t="shared" ca="1" si="3"/>
        <v>L</v>
      </c>
      <c r="W6" s="3" t="str">
        <f ca="1">VLOOKUP(INDEX(INDIRECT("'"&amp;W$1&amp;"'!"&amp;"$A:$C"),MATCH('Schedule Optimizer'!$A6,INDIRECT("'"&amp;W$1&amp;"'!"&amp;"A:A"),0),MATCH('Schedule Optimizer'!W$2,INDIRECT("'"&amp;W$1&amp;"'!"&amp;"$A$1:$C$1"))),$A$3:$B$14,2,FALSE)</f>
        <v>Nicole</v>
      </c>
      <c r="X6" s="3">
        <f ca="1">INDEX('Points For'!$B$1:$R$14,MATCH(W6,'Points For'!$B$1:$B$14,0),MATCH(W$1,'Points For'!$B$1:$R$1,0))</f>
        <v>103.9</v>
      </c>
      <c r="Y6" s="3">
        <f ca="1">INDEX('Points For'!$B$1:$R$14,MATCH($B$16,'Points For'!$B$1:$B$14,0),MATCH(W$1,'Points For'!$B$1:$R$1,0))</f>
        <v>65.5</v>
      </c>
      <c r="Z6" s="3" t="str">
        <f t="shared" ca="1" si="4"/>
        <v>L</v>
      </c>
      <c r="AA6" s="3" t="str">
        <f ca="1">VLOOKUP(INDEX(INDIRECT("'"&amp;AA$1&amp;"'!"&amp;"$A:$C"),MATCH('Schedule Optimizer'!$A6,INDIRECT("'"&amp;AA$1&amp;"'!"&amp;"A:A"),0),MATCH('Schedule Optimizer'!AA$2,INDIRECT("'"&amp;AA$1&amp;"'!"&amp;"$A$1:$C$1"))),$A$3:$B$14,2,FALSE)</f>
        <v>Dave</v>
      </c>
      <c r="AB6" s="3">
        <f ca="1">INDEX('Points For'!$B$1:$R$14,MATCH(AA6,'Points For'!$B$1:$B$14,0),MATCH(AA$1,'Points For'!$B$1:$R$1,0))</f>
        <v>117.4</v>
      </c>
      <c r="AC6" s="3">
        <f ca="1">INDEX('Points For'!$B$1:$R$14,MATCH($B$16,'Points For'!$B$1:$B$14,0),MATCH(AA$1,'Points For'!$B$1:$R$1,0))</f>
        <v>85.8</v>
      </c>
      <c r="AD6" s="3" t="str">
        <f t="shared" ca="1" si="5"/>
        <v>L</v>
      </c>
      <c r="AE6" s="3" t="str">
        <f ca="1">VLOOKUP(INDEX(INDIRECT("'"&amp;AE$1&amp;"'!"&amp;"$A:$C"),MATCH('Schedule Optimizer'!$A6,INDIRECT("'"&amp;AE$1&amp;"'!"&amp;"A:A"),0),MATCH('Schedule Optimizer'!AE$2,INDIRECT("'"&amp;AE$1&amp;"'!"&amp;"$A$1:$C$1"))),$A$3:$B$14,2,FALSE)</f>
        <v>Binder</v>
      </c>
      <c r="AF6" s="3">
        <f ca="1">INDEX('Points For'!$B$1:$R$14,MATCH(AE6,'Points For'!$B$1:$B$14,0),MATCH(AE$1,'Points For'!$B$1:$R$1,0))</f>
        <v>47.4</v>
      </c>
      <c r="AG6" s="3">
        <f ca="1">INDEX('Points For'!$B$1:$R$14,MATCH($B$16,'Points For'!$B$1:$B$14,0),MATCH(AE$1,'Points For'!$B$1:$R$1,0))</f>
        <v>91.3</v>
      </c>
      <c r="AH6" s="3" t="str">
        <f t="shared" ca="1" si="6"/>
        <v>W</v>
      </c>
      <c r="AI6" s="3" t="str">
        <f ca="1">VLOOKUP(INDEX(INDIRECT("'"&amp;AI$1&amp;"'!"&amp;"$A:$C"),MATCH('Schedule Optimizer'!$A6,INDIRECT("'"&amp;AI$1&amp;"'!"&amp;"A:A"),0),MATCH('Schedule Optimizer'!AI$2,INDIRECT("'"&amp;AI$1&amp;"'!"&amp;"$A$1:$C$1"))),$A$3:$B$14,2,FALSE)</f>
        <v>Jake</v>
      </c>
      <c r="AJ6" s="3">
        <f ca="1">INDEX('Points For'!$B$1:$R$14,MATCH(AI6,'Points For'!$B$1:$B$14,0),MATCH(AI$1,'Points For'!$B$1:$R$1,0))</f>
        <v>87</v>
      </c>
      <c r="AK6" s="3">
        <f ca="1">INDEX('Points For'!$B$1:$R$14,MATCH($B$16,'Points For'!$B$1:$B$14,0),MATCH(AI$1,'Points For'!$B$1:$R$1,0))</f>
        <v>82.8</v>
      </c>
      <c r="AL6" s="3" t="str">
        <f t="shared" ca="1" si="7"/>
        <v>L</v>
      </c>
      <c r="AM6" s="3" t="str">
        <f ca="1">VLOOKUP(INDEX(INDIRECT("'"&amp;AM$1&amp;"'!"&amp;"$A:$C"),MATCH('Schedule Optimizer'!$A6,INDIRECT("'"&amp;AM$1&amp;"'!"&amp;"A:A"),0),MATCH('Schedule Optimizer'!AM$2,INDIRECT("'"&amp;AM$1&amp;"'!"&amp;"$A$1:$C$1"))),$A$3:$B$14,2,FALSE)</f>
        <v>Ed</v>
      </c>
      <c r="AN6" s="3">
        <f ca="1">INDEX('Points For'!$B$1:$R$14,MATCH(AM6,'Points For'!$B$1:$B$14,0),MATCH(AM$1,'Points For'!$B$1:$R$1,0))</f>
        <v>120.2</v>
      </c>
      <c r="AO6" s="3">
        <f ca="1">INDEX('Points For'!$B$1:$R$14,MATCH($B$16,'Points For'!$B$1:$B$14,0),MATCH(AM$1,'Points For'!$B$1:$R$1,0))</f>
        <v>102.8</v>
      </c>
      <c r="AP6" s="3" t="str">
        <f t="shared" ca="1" si="8"/>
        <v>L</v>
      </c>
      <c r="AQ6" s="3" t="str">
        <f ca="1">VLOOKUP(INDEX(INDIRECT("'"&amp;AQ$1&amp;"'!"&amp;"$A:$C"),MATCH('Schedule Optimizer'!$A6,INDIRECT("'"&amp;AQ$1&amp;"'!"&amp;"A:A"),0),MATCH('Schedule Optimizer'!AQ$2,INDIRECT("'"&amp;AQ$1&amp;"'!"&amp;"$A$1:$C$1"))),$A$3:$B$14,2,FALSE)</f>
        <v>Sara</v>
      </c>
      <c r="AR6" s="3">
        <f ca="1">INDEX('Points For'!$B$1:$R$14,MATCH(AQ6,'Points For'!$B$1:$B$14,0),MATCH(AQ$1,'Points For'!$B$1:$R$1,0))</f>
        <v>137.6</v>
      </c>
      <c r="AS6" s="3">
        <f ca="1">INDEX('Points For'!$B$1:$R$14,MATCH($B$16,'Points For'!$B$1:$B$14,0),MATCH(AQ$1,'Points For'!$B$1:$R$1,0))</f>
        <v>65.599999999999994</v>
      </c>
      <c r="AT6" s="3" t="str">
        <f t="shared" ca="1" si="9"/>
        <v>L</v>
      </c>
      <c r="AU6" s="3" t="str">
        <f ca="1">VLOOKUP(INDEX(INDIRECT("'"&amp;AU$1&amp;"'!"&amp;"$A:$C"),MATCH('Schedule Optimizer'!$A6,INDIRECT("'"&amp;AU$1&amp;"'!"&amp;"A:A"),0),MATCH('Schedule Optimizer'!AU$2,INDIRECT("'"&amp;AU$1&amp;"'!"&amp;"$A$1:$C$1"))),$A$3:$B$14,2,FALSE)</f>
        <v>Jesse</v>
      </c>
      <c r="AV6" s="3">
        <f ca="1">INDEX('Points For'!$B$1:$R$14,MATCH(AU6,'Points For'!$B$1:$B$14,0),MATCH(AU$1,'Points For'!$B$1:$R$1,0))</f>
        <v>87.1</v>
      </c>
      <c r="AW6" s="3">
        <f ca="1">INDEX('Points For'!$B$1:$R$14,MATCH($B$16,'Points For'!$B$1:$B$14,0),MATCH(AU$1,'Points For'!$B$1:$R$1,0))</f>
        <v>100.6</v>
      </c>
      <c r="AX6" s="3" t="str">
        <f t="shared" ca="1" si="10"/>
        <v>W</v>
      </c>
      <c r="AY6" s="3" t="str">
        <f ca="1">VLOOKUP(INDEX(INDIRECT("'"&amp;AY$1&amp;"'!"&amp;"$A:$C"),MATCH('Schedule Optimizer'!$A6,INDIRECT("'"&amp;AY$1&amp;"'!"&amp;"A:A"),0),MATCH('Schedule Optimizer'!AY$2,INDIRECT("'"&amp;AY$1&amp;"'!"&amp;"$A$1:$C$1"))),$A$3:$B$14,2,FALSE)</f>
        <v>Tres</v>
      </c>
      <c r="AZ6" s="3">
        <f ca="1">INDEX('Points For'!$B$1:$R$14,MATCH(AY6,'Points For'!$B$1:$B$14,0),MATCH(AY$1,'Points For'!$B$1:$R$1,0))</f>
        <v>62.4</v>
      </c>
      <c r="BA6" s="3">
        <f ca="1">INDEX('Points For'!$B$1:$R$14,MATCH($B$16,'Points For'!$B$1:$B$14,0),MATCH(AY$1,'Points For'!$B$1:$R$1,0))</f>
        <v>121.6</v>
      </c>
      <c r="BB6" s="3" t="str">
        <f t="shared" ca="1" si="11"/>
        <v>W</v>
      </c>
      <c r="BC6" s="3" t="str">
        <f ca="1">VLOOKUP(INDEX(INDIRECT("'"&amp;BC$1&amp;"'!"&amp;"$A:$C"),MATCH('Schedule Optimizer'!$A6,INDIRECT("'"&amp;BC$1&amp;"'!"&amp;"A:A"),0),MATCH('Schedule Optimizer'!BC$2,INDIRECT("'"&amp;BC$1&amp;"'!"&amp;"$A$1:$C$1"))),$A$3:$B$14,2,FALSE)</f>
        <v>Steve</v>
      </c>
      <c r="BD6" s="3">
        <f ca="1">INDEX('Points For'!$B$1:$R$14,MATCH(BC6,'Points For'!$B$1:$B$14,0),MATCH(BC$1,'Points For'!$B$1:$R$1,0))</f>
        <v>110.8</v>
      </c>
      <c r="BE6" s="3">
        <f ca="1">INDEX('Points For'!$B$1:$R$14,MATCH($B$16,'Points For'!$B$1:$B$14,0),MATCH(BC$1,'Points For'!$B$1:$R$1,0))</f>
        <v>79.400000000000006</v>
      </c>
      <c r="BF6" s="3" t="str">
        <f t="shared" ca="1" si="12"/>
        <v>L</v>
      </c>
      <c r="BG6" s="3" t="str">
        <f ca="1">VLOOKUP(INDEX(INDIRECT("'"&amp;BG$1&amp;"'!"&amp;"$A:$C"),MATCH('Schedule Optimizer'!$A6,INDIRECT("'"&amp;BG$1&amp;"'!"&amp;"A:A"),0),MATCH('Schedule Optimizer'!BG$2,INDIRECT("'"&amp;BG$1&amp;"'!"&amp;"$A$1:$C$1"))),$A$3:$B$14,2,FALSE)</f>
        <v>Binder</v>
      </c>
      <c r="BH6" s="3">
        <f ca="1">INDEX('Points For'!$B$1:$R$14,MATCH(BG6,'Points For'!$B$1:$B$14,0),MATCH(BG$1,'Points For'!$B$1:$R$1,0))</f>
        <v>71.2</v>
      </c>
      <c r="BI6" s="3">
        <f ca="1">INDEX('Points For'!$B$1:$R$14,MATCH($B$16,'Points For'!$B$1:$B$14,0),MATCH(BG$1,'Points For'!$B$1:$R$1,0))</f>
        <v>102.6</v>
      </c>
      <c r="BJ6" s="3" t="str">
        <f t="shared" ca="1" si="13"/>
        <v>W</v>
      </c>
      <c r="BK6" s="3" t="str">
        <f ca="1">VLOOKUP(INDEX(INDIRECT("'"&amp;BK$1&amp;"'!"&amp;"$A:$C"),MATCH('Schedule Optimizer'!$A6,INDIRECT("'"&amp;BK$1&amp;"'!"&amp;"A:A"),0),MATCH('Schedule Optimizer'!BK$2,INDIRECT("'"&amp;BK$1&amp;"'!"&amp;"$A$1:$C$1"))),$A$3:$B$14,2,FALSE)</f>
        <v>Sam</v>
      </c>
      <c r="BL6" s="3">
        <f ca="1">INDEX('Points For'!$B$1:$R$14,MATCH(BK6,'Points For'!$B$1:$B$14,0),MATCH(BK$1,'Points For'!$B$1:$R$1,0))</f>
        <v>82.9</v>
      </c>
      <c r="BM6" s="3">
        <f ca="1">INDEX('Points For'!$B$1:$R$14,MATCH($B$16,'Points For'!$B$1:$B$14,0),MATCH(BK$1,'Points For'!$B$1:$R$1,0))</f>
        <v>138.30000000000001</v>
      </c>
      <c r="BN6" s="3" t="str">
        <f t="shared" ca="1" si="14"/>
        <v>W</v>
      </c>
      <c r="BO6" s="3" t="str">
        <f ca="1">VLOOKUP(INDEX(INDIRECT("'"&amp;BO$1&amp;"'!"&amp;"$A:$C"),MATCH('Schedule Optimizer'!$A6,INDIRECT("'"&amp;BO$1&amp;"'!"&amp;"A:A"),0),MATCH('Schedule Optimizer'!BO$2,INDIRECT("'"&amp;BO$1&amp;"'!"&amp;"$A$1:$C$1"))),$A$3:$B$14,2,FALSE)</f>
        <v>Tres</v>
      </c>
      <c r="BP6" s="3">
        <f ca="1">INDEX('Points For'!$B$1:$R$14,MATCH(BO6,'Points For'!$B$1:$B$14,0),MATCH(BO$1,'Points For'!$B$1:$R$1,0))</f>
        <v>62.2</v>
      </c>
      <c r="BQ6" s="3">
        <f ca="1">INDEX('Points For'!$B$1:$R$14,MATCH($B$16,'Points For'!$B$1:$B$14,0),MATCH(BO$1,'Points For'!$B$1:$R$1,0))</f>
        <v>163.1</v>
      </c>
      <c r="BR6" s="3" t="str">
        <f t="shared" ca="1" si="15"/>
        <v>W</v>
      </c>
    </row>
    <row r="7" spans="1:70" ht="16.25" thickTop="1" thickBot="1" x14ac:dyDescent="0.9">
      <c r="A7" s="3" t="s">
        <v>11</v>
      </c>
      <c r="B7" s="3" t="s">
        <v>166</v>
      </c>
      <c r="C7" s="7">
        <f t="shared" ca="1" si="16"/>
        <v>4</v>
      </c>
      <c r="D7" s="7">
        <f t="shared" ca="1" si="17"/>
        <v>8</v>
      </c>
      <c r="E7" s="7">
        <f t="shared" ca="1" si="18"/>
        <v>2</v>
      </c>
      <c r="F7" s="7">
        <f t="shared" ca="1" si="19"/>
        <v>1</v>
      </c>
      <c r="G7" s="3" t="str">
        <f ca="1">VLOOKUP(INDEX(INDIRECT("'"&amp;G$1&amp;"'!"&amp;"$A:$C"),MATCH('Schedule Optimizer'!$A7,INDIRECT("'"&amp;G$1&amp;"'!"&amp;"A:A"),0),MATCH('Schedule Optimizer'!G$2,INDIRECT("'"&amp;G$1&amp;"'!"&amp;"$A$1:$C$1"))),$A$3:$B$14,2,FALSE)</f>
        <v>Jake</v>
      </c>
      <c r="H7" s="3">
        <f ca="1">INDEX('Points For'!$B$1:$R$14,MATCH(G7,'Points For'!$B$1:$B$14,0),MATCH(G$1,'Points For'!$B$1:$R$1,0))</f>
        <v>87.8</v>
      </c>
      <c r="I7" s="3">
        <f ca="1">INDEX('Points For'!$B$1:$R$14,MATCH($B$16,'Points For'!$B$1:$B$14,0),MATCH(G$1,'Points For'!$B$1:$R$1,0))</f>
        <v>81</v>
      </c>
      <c r="J7" s="3" t="str">
        <f t="shared" ca="1" si="0"/>
        <v>L</v>
      </c>
      <c r="K7" s="3" t="str">
        <f ca="1">VLOOKUP(INDEX(INDIRECT("'"&amp;K$1&amp;"'!"&amp;"$A:$C"),MATCH('Schedule Optimizer'!$A7,INDIRECT("'"&amp;K$1&amp;"'!"&amp;"A:A"),0),MATCH('Schedule Optimizer'!K$2,INDIRECT("'"&amp;K$1&amp;"'!"&amp;"$A$1:$C$1"))),$A$3:$B$14,2,FALSE)</f>
        <v>Sara</v>
      </c>
      <c r="L7" s="3">
        <f ca="1">INDEX('Points For'!$B$1:$R$14,MATCH(K7,'Points For'!$B$1:$B$14,0),MATCH(K$1,'Points For'!$B$1:$R$1,0))</f>
        <v>123.6</v>
      </c>
      <c r="M7" s="3">
        <f ca="1">INDEX('Points For'!$B$1:$R$14,MATCH($B$16,'Points For'!$B$1:$B$14,0),MATCH(K$1,'Points For'!$B$1:$R$1,0))</f>
        <v>91.1</v>
      </c>
      <c r="N7" s="3" t="str">
        <f t="shared" ca="1" si="1"/>
        <v>L</v>
      </c>
      <c r="O7" s="3" t="str">
        <f ca="1">VLOOKUP(INDEX(INDIRECT("'"&amp;O$1&amp;"'!"&amp;"$A:$C"),MATCH('Schedule Optimizer'!$A7,INDIRECT("'"&amp;O$1&amp;"'!"&amp;"A:A"),0),MATCH('Schedule Optimizer'!O$2,INDIRECT("'"&amp;O$1&amp;"'!"&amp;"$A$1:$C$1"))),$A$3:$B$14,2,FALSE)</f>
        <v>Ed</v>
      </c>
      <c r="P7" s="3">
        <f ca="1">INDEX('Points For'!$B$1:$R$14,MATCH(O7,'Points For'!$B$1:$B$14,0),MATCH(O$1,'Points For'!$B$1:$R$1,0))</f>
        <v>100.4</v>
      </c>
      <c r="Q7" s="3">
        <f ca="1">INDEX('Points For'!$B$1:$R$14,MATCH($B$16,'Points For'!$B$1:$B$14,0),MATCH(O$1,'Points For'!$B$1:$R$1,0))</f>
        <v>95.9</v>
      </c>
      <c r="R7" s="3" t="str">
        <f t="shared" ca="1" si="2"/>
        <v>L</v>
      </c>
      <c r="S7" s="3" t="str">
        <f ca="1">VLOOKUP(INDEX(INDIRECT("'"&amp;S$1&amp;"'!"&amp;"$A:$C"),MATCH('Schedule Optimizer'!$A7,INDIRECT("'"&amp;S$1&amp;"'!"&amp;"A:A"),0),MATCH('Schedule Optimizer'!S$2,INDIRECT("'"&amp;S$1&amp;"'!"&amp;"$A$1:$C$1"))),$A$3:$B$14,2,FALSE)</f>
        <v>Binder</v>
      </c>
      <c r="T7" s="3">
        <f ca="1">INDEX('Points For'!$B$1:$R$14,MATCH(S7,'Points For'!$B$1:$B$14,0),MATCH(S$1,'Points For'!$B$1:$R$1,0))</f>
        <v>78.7</v>
      </c>
      <c r="U7" s="3">
        <f ca="1">INDEX('Points For'!$B$1:$R$14,MATCH($B$16,'Points For'!$B$1:$B$14,0),MATCH(S$1,'Points For'!$B$1:$R$1,0))</f>
        <v>86</v>
      </c>
      <c r="V7" s="3" t="str">
        <f t="shared" ca="1" si="3"/>
        <v>W</v>
      </c>
      <c r="W7" s="3" t="str">
        <f ca="1">VLOOKUP(INDEX(INDIRECT("'"&amp;W$1&amp;"'!"&amp;"$A:$C"),MATCH('Schedule Optimizer'!$A7,INDIRECT("'"&amp;W$1&amp;"'!"&amp;"A:A"),0),MATCH('Schedule Optimizer'!W$2,INDIRECT("'"&amp;W$1&amp;"'!"&amp;"$A$1:$C$1"))),$A$3:$B$14,2,FALSE)</f>
        <v>Steve</v>
      </c>
      <c r="X7" s="3">
        <f ca="1">INDEX('Points For'!$B$1:$R$14,MATCH(W7,'Points For'!$B$1:$B$14,0),MATCH(W$1,'Points For'!$B$1:$R$1,0))</f>
        <v>112.9</v>
      </c>
      <c r="Y7" s="3">
        <f ca="1">INDEX('Points For'!$B$1:$R$14,MATCH($B$16,'Points For'!$B$1:$B$14,0),MATCH(W$1,'Points For'!$B$1:$R$1,0))</f>
        <v>65.5</v>
      </c>
      <c r="Z7" s="3" t="str">
        <f t="shared" ca="1" si="4"/>
        <v>L</v>
      </c>
      <c r="AA7" s="3" t="str">
        <f ca="1">VLOOKUP(INDEX(INDIRECT("'"&amp;AA$1&amp;"'!"&amp;"$A:$C"),MATCH('Schedule Optimizer'!$A7,INDIRECT("'"&amp;AA$1&amp;"'!"&amp;"A:A"),0),MATCH('Schedule Optimizer'!AA$2,INDIRECT("'"&amp;AA$1&amp;"'!"&amp;"$A$1:$C$1"))),$A$3:$B$14,2,FALSE)</f>
        <v>Catina</v>
      </c>
      <c r="AB7" s="3">
        <f ca="1">INDEX('Points For'!$B$1:$R$14,MATCH(AA7,'Points For'!$B$1:$B$14,0),MATCH(AA$1,'Points For'!$B$1:$R$1,0))</f>
        <v>85.8</v>
      </c>
      <c r="AC7" s="3">
        <f ca="1">INDEX('Points For'!$B$1:$R$14,MATCH($B$16,'Points For'!$B$1:$B$14,0),MATCH(AA$1,'Points For'!$B$1:$R$1,0))</f>
        <v>85.8</v>
      </c>
      <c r="AD7" s="3" t="str">
        <f t="shared" ca="1" si="5"/>
        <v>N/A</v>
      </c>
      <c r="AE7" s="3" t="str">
        <f ca="1">VLOOKUP(INDEX(INDIRECT("'"&amp;AE$1&amp;"'!"&amp;"$A:$C"),MATCH('Schedule Optimizer'!$A7,INDIRECT("'"&amp;AE$1&amp;"'!"&amp;"A:A"),0),MATCH('Schedule Optimizer'!AE$2,INDIRECT("'"&amp;AE$1&amp;"'!"&amp;"$A$1:$C$1"))),$A$3:$B$14,2,FALSE)</f>
        <v>Sam</v>
      </c>
      <c r="AF7" s="3">
        <f ca="1">INDEX('Points For'!$B$1:$R$14,MATCH(AE7,'Points For'!$B$1:$B$14,0),MATCH(AE$1,'Points For'!$B$1:$R$1,0))</f>
        <v>87.9</v>
      </c>
      <c r="AG7" s="3">
        <f ca="1">INDEX('Points For'!$B$1:$R$14,MATCH($B$16,'Points For'!$B$1:$B$14,0),MATCH(AE$1,'Points For'!$B$1:$R$1,0))</f>
        <v>91.3</v>
      </c>
      <c r="AH7" s="3" t="str">
        <f t="shared" ca="1" si="6"/>
        <v>W</v>
      </c>
      <c r="AI7" s="3" t="str">
        <f ca="1">VLOOKUP(INDEX(INDIRECT("'"&amp;AI$1&amp;"'!"&amp;"$A:$C"),MATCH('Schedule Optimizer'!$A7,INDIRECT("'"&amp;AI$1&amp;"'!"&amp;"A:A"),0),MATCH('Schedule Optimizer'!AI$2,INDIRECT("'"&amp;AI$1&amp;"'!"&amp;"$A$1:$C$1"))),$A$3:$B$14,2,FALSE)</f>
        <v>Cody</v>
      </c>
      <c r="AJ7" s="3">
        <f ca="1">INDEX('Points For'!$B$1:$R$14,MATCH(AI7,'Points For'!$B$1:$B$14,0),MATCH(AI$1,'Points For'!$B$1:$R$1,0))</f>
        <v>90.3</v>
      </c>
      <c r="AK7" s="3">
        <f ca="1">INDEX('Points For'!$B$1:$R$14,MATCH($B$16,'Points For'!$B$1:$B$14,0),MATCH(AI$1,'Points For'!$B$1:$R$1,0))</f>
        <v>82.8</v>
      </c>
      <c r="AL7" s="3" t="str">
        <f t="shared" ca="1" si="7"/>
        <v>L</v>
      </c>
      <c r="AM7" s="3" t="str">
        <f ca="1">VLOOKUP(INDEX(INDIRECT("'"&amp;AM$1&amp;"'!"&amp;"$A:$C"),MATCH('Schedule Optimizer'!$A7,INDIRECT("'"&amp;AM$1&amp;"'!"&amp;"A:A"),0),MATCH('Schedule Optimizer'!AM$2,INDIRECT("'"&amp;AM$1&amp;"'!"&amp;"$A$1:$C$1"))),$A$3:$B$14,2,FALSE)</f>
        <v>Jesse</v>
      </c>
      <c r="AN7" s="3">
        <f ca="1">INDEX('Points For'!$B$1:$R$14,MATCH(AM7,'Points For'!$B$1:$B$14,0),MATCH(AM$1,'Points For'!$B$1:$R$1,0))</f>
        <v>108.1</v>
      </c>
      <c r="AO7" s="3">
        <f ca="1">INDEX('Points For'!$B$1:$R$14,MATCH($B$16,'Points For'!$B$1:$B$14,0),MATCH(AM$1,'Points For'!$B$1:$R$1,0))</f>
        <v>102.8</v>
      </c>
      <c r="AP7" s="3" t="str">
        <f t="shared" ca="1" si="8"/>
        <v>L</v>
      </c>
      <c r="AQ7" s="3" t="str">
        <f ca="1">VLOOKUP(INDEX(INDIRECT("'"&amp;AQ$1&amp;"'!"&amp;"$A:$C"),MATCH('Schedule Optimizer'!$A7,INDIRECT("'"&amp;AQ$1&amp;"'!"&amp;"A:A"),0),MATCH('Schedule Optimizer'!AQ$2,INDIRECT("'"&amp;AQ$1&amp;"'!"&amp;"$A$1:$C$1"))),$A$3:$B$14,2,FALSE)</f>
        <v>Nicole</v>
      </c>
      <c r="AR7" s="3">
        <f ca="1">INDEX('Points For'!$B$1:$R$14,MATCH(AQ7,'Points For'!$B$1:$B$14,0),MATCH(AQ$1,'Points For'!$B$1:$R$1,0))</f>
        <v>98.5</v>
      </c>
      <c r="AS7" s="3">
        <f ca="1">INDEX('Points For'!$B$1:$R$14,MATCH($B$16,'Points For'!$B$1:$B$14,0),MATCH(AQ$1,'Points For'!$B$1:$R$1,0))</f>
        <v>65.599999999999994</v>
      </c>
      <c r="AT7" s="3" t="str">
        <f t="shared" ca="1" si="9"/>
        <v>L</v>
      </c>
      <c r="AU7" s="3" t="str">
        <f ca="1">VLOOKUP(INDEX(INDIRECT("'"&amp;AU$1&amp;"'!"&amp;"$A:$C"),MATCH('Schedule Optimizer'!$A7,INDIRECT("'"&amp;AU$1&amp;"'!"&amp;"A:A"),0),MATCH('Schedule Optimizer'!AU$2,INDIRECT("'"&amp;AU$1&amp;"'!"&amp;"$A$1:$C$1"))),$A$3:$B$14,2,FALSE)</f>
        <v>Tres</v>
      </c>
      <c r="AV7" s="3">
        <f ca="1">INDEX('Points For'!$B$1:$R$14,MATCH(AU7,'Points For'!$B$1:$B$14,0),MATCH(AU$1,'Points For'!$B$1:$R$1,0))</f>
        <v>81.8</v>
      </c>
      <c r="AW7" s="3">
        <f ca="1">INDEX('Points For'!$B$1:$R$14,MATCH($B$16,'Points For'!$B$1:$B$14,0),MATCH(AU$1,'Points For'!$B$1:$R$1,0))</f>
        <v>100.6</v>
      </c>
      <c r="AX7" s="3" t="str">
        <f t="shared" ca="1" si="10"/>
        <v>W</v>
      </c>
      <c r="AY7" s="3" t="str">
        <f ca="1">VLOOKUP(INDEX(INDIRECT("'"&amp;AY$1&amp;"'!"&amp;"$A:$C"),MATCH('Schedule Optimizer'!$A7,INDIRECT("'"&amp;AY$1&amp;"'!"&amp;"A:A"),0),MATCH('Schedule Optimizer'!AY$2,INDIRECT("'"&amp;AY$1&amp;"'!"&amp;"$A$1:$C$1"))),$A$3:$B$14,2,FALSE)</f>
        <v>Ed</v>
      </c>
      <c r="AZ7" s="3">
        <f ca="1">INDEX('Points For'!$B$1:$R$14,MATCH(AY7,'Points For'!$B$1:$B$14,0),MATCH(AY$1,'Points For'!$B$1:$R$1,0))</f>
        <v>103.9</v>
      </c>
      <c r="BA7" s="3">
        <f ca="1">INDEX('Points For'!$B$1:$R$14,MATCH($B$16,'Points For'!$B$1:$B$14,0),MATCH(AY$1,'Points For'!$B$1:$R$1,0))</f>
        <v>121.6</v>
      </c>
      <c r="BB7" s="3" t="str">
        <f t="shared" ca="1" si="11"/>
        <v>W</v>
      </c>
      <c r="BC7" s="3" t="str">
        <f ca="1">VLOOKUP(INDEX(INDIRECT("'"&amp;BC$1&amp;"'!"&amp;"$A:$C"),MATCH('Schedule Optimizer'!$A7,INDIRECT("'"&amp;BC$1&amp;"'!"&amp;"A:A"),0),MATCH('Schedule Optimizer'!BC$2,INDIRECT("'"&amp;BC$1&amp;"'!"&amp;"$A$1:$C$1"))),$A$3:$B$14,2,FALSE)</f>
        <v>Binder</v>
      </c>
      <c r="BD7" s="3">
        <f ca="1">INDEX('Points For'!$B$1:$R$14,MATCH(BC7,'Points For'!$B$1:$B$14,0),MATCH(BC$1,'Points For'!$B$1:$R$1,0))</f>
        <v>94</v>
      </c>
      <c r="BE7" s="3">
        <f ca="1">INDEX('Points For'!$B$1:$R$14,MATCH($B$16,'Points For'!$B$1:$B$14,0),MATCH(BC$1,'Points For'!$B$1:$R$1,0))</f>
        <v>79.400000000000006</v>
      </c>
      <c r="BF7" s="3" t="str">
        <f t="shared" ca="1" si="12"/>
        <v>L</v>
      </c>
      <c r="BG7" s="3" t="str">
        <f ca="1">VLOOKUP(INDEX(INDIRECT("'"&amp;BG$1&amp;"'!"&amp;"$A:$C"),MATCH('Schedule Optimizer'!$A7,INDIRECT("'"&amp;BG$1&amp;"'!"&amp;"A:A"),0),MATCH('Schedule Optimizer'!BG$2,INDIRECT("'"&amp;BG$1&amp;"'!"&amp;"$A$1:$C$1"))),$A$3:$B$14,2,FALSE)</f>
        <v>Jesse</v>
      </c>
      <c r="BH7" s="3">
        <f ca="1">INDEX('Points For'!$B$1:$R$14,MATCH(BG7,'Points For'!$B$1:$B$14,0),MATCH(BG$1,'Points For'!$B$1:$R$1,0))</f>
        <v>108.1</v>
      </c>
      <c r="BI7" s="3">
        <f ca="1">INDEX('Points For'!$B$1:$R$14,MATCH($B$16,'Points For'!$B$1:$B$14,0),MATCH(BG$1,'Points For'!$B$1:$R$1,0))</f>
        <v>102.6</v>
      </c>
      <c r="BJ7" s="3" t="str">
        <f t="shared" ca="1" si="13"/>
        <v>L</v>
      </c>
      <c r="BK7" s="3" t="str">
        <f ca="1">VLOOKUP(INDEX(INDIRECT("'"&amp;BK$1&amp;"'!"&amp;"$A:$C"),MATCH('Schedule Optimizer'!$A7,INDIRECT("'"&amp;BK$1&amp;"'!"&amp;"A:A"),0),MATCH('Schedule Optimizer'!BK$2,INDIRECT("'"&amp;BK$1&amp;"'!"&amp;"$A$1:$C$1"))),$A$3:$B$14,2,FALSE)</f>
        <v>Cody</v>
      </c>
      <c r="BL7" s="3">
        <f ca="1">INDEX('Points For'!$B$1:$R$14,MATCH(BK7,'Points For'!$B$1:$B$14,0),MATCH(BK$1,'Points For'!$B$1:$R$1,0))</f>
        <v>85.2</v>
      </c>
      <c r="BM7" s="3">
        <f ca="1">INDEX('Points For'!$B$1:$R$14,MATCH($B$16,'Points For'!$B$1:$B$14,0),MATCH(BK$1,'Points For'!$B$1:$R$1,0))</f>
        <v>138.30000000000001</v>
      </c>
      <c r="BN7" s="3" t="str">
        <f t="shared" ca="1" si="14"/>
        <v>W</v>
      </c>
      <c r="BO7" s="3" t="str">
        <f ca="1">VLOOKUP(INDEX(INDIRECT("'"&amp;BO$1&amp;"'!"&amp;"$A:$C"),MATCH('Schedule Optimizer'!$A7,INDIRECT("'"&amp;BO$1&amp;"'!"&amp;"A:A"),0),MATCH('Schedule Optimizer'!BO$2,INDIRECT("'"&amp;BO$1&amp;"'!"&amp;"$A$1:$C$1"))),$A$3:$B$14,2,FALSE)</f>
        <v>Cody</v>
      </c>
      <c r="BP7" s="3">
        <f ca="1">INDEX('Points For'!$B$1:$R$14,MATCH(BO7,'Points For'!$B$1:$B$14,0),MATCH(BO$1,'Points For'!$B$1:$R$1,0))</f>
        <v>108.5</v>
      </c>
      <c r="BQ7" s="3">
        <f ca="1">INDEX('Points For'!$B$1:$R$14,MATCH($B$16,'Points For'!$B$1:$B$14,0),MATCH(BO$1,'Points For'!$B$1:$R$1,0))</f>
        <v>163.1</v>
      </c>
      <c r="BR7" s="3" t="str">
        <f t="shared" ca="1" si="15"/>
        <v>W</v>
      </c>
    </row>
    <row r="8" spans="1:70" ht="16.25" thickTop="1" thickBot="1" x14ac:dyDescent="0.9">
      <c r="A8" s="3" t="s">
        <v>13</v>
      </c>
      <c r="B8" s="3" t="s">
        <v>167</v>
      </c>
      <c r="C8" s="7">
        <f t="shared" ca="1" si="16"/>
        <v>5</v>
      </c>
      <c r="D8" s="7">
        <f t="shared" ca="1" si="17"/>
        <v>7</v>
      </c>
      <c r="E8" s="7">
        <f t="shared" ca="1" si="18"/>
        <v>3</v>
      </c>
      <c r="F8" s="7">
        <f t="shared" ca="1" si="19"/>
        <v>0</v>
      </c>
      <c r="G8" s="3" t="str">
        <f ca="1">VLOOKUP(INDEX(INDIRECT("'"&amp;G$1&amp;"'!"&amp;"$A:$C"),MATCH('Schedule Optimizer'!$A8,INDIRECT("'"&amp;G$1&amp;"'!"&amp;"A:A"),0),MATCH('Schedule Optimizer'!G$2,INDIRECT("'"&amp;G$1&amp;"'!"&amp;"$A$1:$C$1"))),$A$3:$B$14,2,FALSE)</f>
        <v>Dave</v>
      </c>
      <c r="H8" s="3">
        <f ca="1">INDEX('Points For'!$B$1:$R$14,MATCH(G8,'Points For'!$B$1:$B$14,0),MATCH(G$1,'Points For'!$B$1:$R$1,0))</f>
        <v>86.5</v>
      </c>
      <c r="I8" s="3">
        <f ca="1">INDEX('Points For'!$B$1:$R$14,MATCH($B$16,'Points For'!$B$1:$B$14,0),MATCH(G$1,'Points For'!$B$1:$R$1,0))</f>
        <v>81</v>
      </c>
      <c r="J8" s="3" t="str">
        <f t="shared" ca="1" si="0"/>
        <v>L</v>
      </c>
      <c r="K8" s="3" t="str">
        <f ca="1">VLOOKUP(INDEX(INDIRECT("'"&amp;K$1&amp;"'!"&amp;"$A:$C"),MATCH('Schedule Optimizer'!$A8,INDIRECT("'"&amp;K$1&amp;"'!"&amp;"A:A"),0),MATCH('Schedule Optimizer'!K$2,INDIRECT("'"&amp;K$1&amp;"'!"&amp;"$A$1:$C$1"))),$A$3:$B$14,2,FALSE)</f>
        <v>Steve</v>
      </c>
      <c r="L8" s="3">
        <f ca="1">INDEX('Points For'!$B$1:$R$14,MATCH(K8,'Points For'!$B$1:$B$14,0),MATCH(K$1,'Points For'!$B$1:$R$1,0))</f>
        <v>82.9</v>
      </c>
      <c r="M8" s="3">
        <f ca="1">INDEX('Points For'!$B$1:$R$14,MATCH($B$16,'Points For'!$B$1:$B$14,0),MATCH(K$1,'Points For'!$B$1:$R$1,0))</f>
        <v>91.1</v>
      </c>
      <c r="N8" s="3" t="str">
        <f t="shared" ca="1" si="1"/>
        <v>W</v>
      </c>
      <c r="O8" s="3" t="str">
        <f ca="1">VLOOKUP(INDEX(INDIRECT("'"&amp;O$1&amp;"'!"&amp;"$A:$C"),MATCH('Schedule Optimizer'!$A8,INDIRECT("'"&amp;O$1&amp;"'!"&amp;"A:A"),0),MATCH('Schedule Optimizer'!O$2,INDIRECT("'"&amp;O$1&amp;"'!"&amp;"$A$1:$C$1"))),$A$3:$B$14,2,FALSE)</f>
        <v>Cody</v>
      </c>
      <c r="P8" s="3">
        <f ca="1">INDEX('Points For'!$B$1:$R$14,MATCH(O8,'Points For'!$B$1:$B$14,0),MATCH(O$1,'Points For'!$B$1:$R$1,0))</f>
        <v>113.6</v>
      </c>
      <c r="Q8" s="3">
        <f ca="1">INDEX('Points For'!$B$1:$R$14,MATCH($B$16,'Points For'!$B$1:$B$14,0),MATCH(O$1,'Points For'!$B$1:$R$1,0))</f>
        <v>95.9</v>
      </c>
      <c r="R8" s="3" t="str">
        <f t="shared" ca="1" si="2"/>
        <v>L</v>
      </c>
      <c r="S8" s="3" t="str">
        <f ca="1">VLOOKUP(INDEX(INDIRECT("'"&amp;S$1&amp;"'!"&amp;"$A:$C"),MATCH('Schedule Optimizer'!$A8,INDIRECT("'"&amp;S$1&amp;"'!"&amp;"A:A"),0),MATCH('Schedule Optimizer'!S$2,INDIRECT("'"&amp;S$1&amp;"'!"&amp;"$A$1:$C$1"))),$A$3:$B$14,2,FALSE)</f>
        <v>Nicole</v>
      </c>
      <c r="T8" s="3">
        <f ca="1">INDEX('Points For'!$B$1:$R$14,MATCH(S8,'Points For'!$B$1:$B$14,0),MATCH(S$1,'Points For'!$B$1:$R$1,0))</f>
        <v>81</v>
      </c>
      <c r="U8" s="3">
        <f ca="1">INDEX('Points For'!$B$1:$R$14,MATCH($B$16,'Points For'!$B$1:$B$14,0),MATCH(S$1,'Points For'!$B$1:$R$1,0))</f>
        <v>86</v>
      </c>
      <c r="V8" s="3" t="str">
        <f t="shared" ca="1" si="3"/>
        <v>W</v>
      </c>
      <c r="W8" s="3" t="str">
        <f ca="1">VLOOKUP(INDEX(INDIRECT("'"&amp;W$1&amp;"'!"&amp;"$A:$C"),MATCH('Schedule Optimizer'!$A8,INDIRECT("'"&amp;W$1&amp;"'!"&amp;"A:A"),0),MATCH('Schedule Optimizer'!W$2,INDIRECT("'"&amp;W$1&amp;"'!"&amp;"$A$1:$C$1"))),$A$3:$B$14,2,FALSE)</f>
        <v>Jesse</v>
      </c>
      <c r="X8" s="3">
        <f ca="1">INDEX('Points For'!$B$1:$R$14,MATCH(W8,'Points For'!$B$1:$B$14,0),MATCH(W$1,'Points For'!$B$1:$R$1,0))</f>
        <v>80.900000000000006</v>
      </c>
      <c r="Y8" s="3">
        <f ca="1">INDEX('Points For'!$B$1:$R$14,MATCH($B$16,'Points For'!$B$1:$B$14,0),MATCH(W$1,'Points For'!$B$1:$R$1,0))</f>
        <v>65.5</v>
      </c>
      <c r="Z8" s="3" t="str">
        <f t="shared" ca="1" si="4"/>
        <v>L</v>
      </c>
      <c r="AA8" s="3" t="str">
        <f ca="1">VLOOKUP(INDEX(INDIRECT("'"&amp;AA$1&amp;"'!"&amp;"$A:$C"),MATCH('Schedule Optimizer'!$A8,INDIRECT("'"&amp;AA$1&amp;"'!"&amp;"A:A"),0),MATCH('Schedule Optimizer'!AA$2,INDIRECT("'"&amp;AA$1&amp;"'!"&amp;"$A$1:$C$1"))),$A$3:$B$14,2,FALSE)</f>
        <v>Sam</v>
      </c>
      <c r="AB8" s="3">
        <f ca="1">INDEX('Points For'!$B$1:$R$14,MATCH(AA8,'Points For'!$B$1:$B$14,0),MATCH(AA$1,'Points For'!$B$1:$R$1,0))</f>
        <v>129.9</v>
      </c>
      <c r="AC8" s="3">
        <f ca="1">INDEX('Points For'!$B$1:$R$14,MATCH($B$16,'Points For'!$B$1:$B$14,0),MATCH(AA$1,'Points For'!$B$1:$R$1,0))</f>
        <v>85.8</v>
      </c>
      <c r="AD8" s="3" t="str">
        <f t="shared" ca="1" si="5"/>
        <v>L</v>
      </c>
      <c r="AE8" s="3" t="str">
        <f ca="1">VLOOKUP(INDEX(INDIRECT("'"&amp;AE$1&amp;"'!"&amp;"$A:$C"),MATCH('Schedule Optimizer'!$A8,INDIRECT("'"&amp;AE$1&amp;"'!"&amp;"A:A"),0),MATCH('Schedule Optimizer'!AE$2,INDIRECT("'"&amp;AE$1&amp;"'!"&amp;"$A$1:$C$1"))),$A$3:$B$14,2,FALSE)</f>
        <v>Ed</v>
      </c>
      <c r="AF8" s="3">
        <f ca="1">INDEX('Points For'!$B$1:$R$14,MATCH(AE8,'Points For'!$B$1:$B$14,0),MATCH(AE$1,'Points For'!$B$1:$R$1,0))</f>
        <v>105.8</v>
      </c>
      <c r="AG8" s="3">
        <f ca="1">INDEX('Points For'!$B$1:$R$14,MATCH($B$16,'Points For'!$B$1:$B$14,0),MATCH(AE$1,'Points For'!$B$1:$R$1,0))</f>
        <v>91.3</v>
      </c>
      <c r="AH8" s="3" t="str">
        <f t="shared" ca="1" si="6"/>
        <v>L</v>
      </c>
      <c r="AI8" s="3" t="str">
        <f ca="1">VLOOKUP(INDEX(INDIRECT("'"&amp;AI$1&amp;"'!"&amp;"$A:$C"),MATCH('Schedule Optimizer'!$A8,INDIRECT("'"&amp;AI$1&amp;"'!"&amp;"A:A"),0),MATCH('Schedule Optimizer'!AI$2,INDIRECT("'"&amp;AI$1&amp;"'!"&amp;"$A$1:$C$1"))),$A$3:$B$14,2,FALSE)</f>
        <v>Catina</v>
      </c>
      <c r="AJ8" s="3">
        <f ca="1">INDEX('Points For'!$B$1:$R$14,MATCH(AI8,'Points For'!$B$1:$B$14,0),MATCH(AI$1,'Points For'!$B$1:$R$1,0))</f>
        <v>82.8</v>
      </c>
      <c r="AK8" s="3">
        <f ca="1">INDEX('Points For'!$B$1:$R$14,MATCH($B$16,'Points For'!$B$1:$B$14,0),MATCH(AI$1,'Points For'!$B$1:$R$1,0))</f>
        <v>82.8</v>
      </c>
      <c r="AL8" s="3" t="str">
        <f t="shared" ca="1" si="7"/>
        <v>N/A</v>
      </c>
      <c r="AM8" s="3" t="str">
        <f ca="1">VLOOKUP(INDEX(INDIRECT("'"&amp;AM$1&amp;"'!"&amp;"$A:$C"),MATCH('Schedule Optimizer'!$A8,INDIRECT("'"&amp;AM$1&amp;"'!"&amp;"A:A"),0),MATCH('Schedule Optimizer'!AM$2,INDIRECT("'"&amp;AM$1&amp;"'!"&amp;"$A$1:$C$1"))),$A$3:$B$14,2,FALSE)</f>
        <v>Sara</v>
      </c>
      <c r="AN8" s="3">
        <f ca="1">INDEX('Points For'!$B$1:$R$14,MATCH(AM8,'Points For'!$B$1:$B$14,0),MATCH(AM$1,'Points For'!$B$1:$R$1,0))</f>
        <v>70.3</v>
      </c>
      <c r="AO8" s="3">
        <f ca="1">INDEX('Points For'!$B$1:$R$14,MATCH($B$16,'Points For'!$B$1:$B$14,0),MATCH(AM$1,'Points For'!$B$1:$R$1,0))</f>
        <v>102.8</v>
      </c>
      <c r="AP8" s="3" t="str">
        <f t="shared" ca="1" si="8"/>
        <v>W</v>
      </c>
      <c r="AQ8" s="3" t="str">
        <f ca="1">VLOOKUP(INDEX(INDIRECT("'"&amp;AQ$1&amp;"'!"&amp;"$A:$C"),MATCH('Schedule Optimizer'!$A8,INDIRECT("'"&amp;AQ$1&amp;"'!"&amp;"A:A"),0),MATCH('Schedule Optimizer'!AQ$2,INDIRECT("'"&amp;AQ$1&amp;"'!"&amp;"$A$1:$C$1"))),$A$3:$B$14,2,FALSE)</f>
        <v>Tres</v>
      </c>
      <c r="AR8" s="3">
        <f ca="1">INDEX('Points For'!$B$1:$R$14,MATCH(AQ8,'Points For'!$B$1:$B$14,0),MATCH(AQ$1,'Points For'!$B$1:$R$1,0))</f>
        <v>73.900000000000006</v>
      </c>
      <c r="AS8" s="3">
        <f ca="1">INDEX('Points For'!$B$1:$R$14,MATCH($B$16,'Points For'!$B$1:$B$14,0),MATCH(AQ$1,'Points For'!$B$1:$R$1,0))</f>
        <v>65.599999999999994</v>
      </c>
      <c r="AT8" s="3" t="str">
        <f t="shared" ca="1" si="9"/>
        <v>L</v>
      </c>
      <c r="AU8" s="3" t="str">
        <f ca="1">VLOOKUP(INDEX(INDIRECT("'"&amp;AU$1&amp;"'!"&amp;"$A:$C"),MATCH('Schedule Optimizer'!$A8,INDIRECT("'"&amp;AU$1&amp;"'!"&amp;"A:A"),0),MATCH('Schedule Optimizer'!AU$2,INDIRECT("'"&amp;AU$1&amp;"'!"&amp;"$A$1:$C$1"))),$A$3:$B$14,2,FALSE)</f>
        <v>Binder</v>
      </c>
      <c r="AV8" s="3">
        <f ca="1">INDEX('Points For'!$B$1:$R$14,MATCH(AU8,'Points For'!$B$1:$B$14,0),MATCH(AU$1,'Points For'!$B$1:$R$1,0))</f>
        <v>74.8</v>
      </c>
      <c r="AW8" s="3">
        <f ca="1">INDEX('Points For'!$B$1:$R$14,MATCH($B$16,'Points For'!$B$1:$B$14,0),MATCH(AU$1,'Points For'!$B$1:$R$1,0))</f>
        <v>100.6</v>
      </c>
      <c r="AX8" s="3" t="str">
        <f t="shared" ca="1" si="10"/>
        <v>W</v>
      </c>
      <c r="AY8" s="3" t="str">
        <f ca="1">VLOOKUP(INDEX(INDIRECT("'"&amp;AY$1&amp;"'!"&amp;"$A:$C"),MATCH('Schedule Optimizer'!$A8,INDIRECT("'"&amp;AY$1&amp;"'!"&amp;"A:A"),0),MATCH('Schedule Optimizer'!AY$2,INDIRECT("'"&amp;AY$1&amp;"'!"&amp;"$A$1:$C$1"))),$A$3:$B$14,2,FALSE)</f>
        <v>Cody</v>
      </c>
      <c r="AZ8" s="3">
        <f ca="1">INDEX('Points For'!$B$1:$R$14,MATCH(AY8,'Points For'!$B$1:$B$14,0),MATCH(AY$1,'Points For'!$B$1:$R$1,0))</f>
        <v>98.8</v>
      </c>
      <c r="BA8" s="3">
        <f ca="1">INDEX('Points For'!$B$1:$R$14,MATCH($B$16,'Points For'!$B$1:$B$14,0),MATCH(AY$1,'Points For'!$B$1:$R$1,0))</f>
        <v>121.6</v>
      </c>
      <c r="BB8" s="3" t="str">
        <f t="shared" ca="1" si="11"/>
        <v>W</v>
      </c>
      <c r="BC8" s="3" t="str">
        <f ca="1">VLOOKUP(INDEX(INDIRECT("'"&amp;BC$1&amp;"'!"&amp;"$A:$C"),MATCH('Schedule Optimizer'!$A8,INDIRECT("'"&amp;BC$1&amp;"'!"&amp;"A:A"),0),MATCH('Schedule Optimizer'!BC$2,INDIRECT("'"&amp;BC$1&amp;"'!"&amp;"$A$1:$C$1"))),$A$3:$B$14,2,FALSE)</f>
        <v>Nicole</v>
      </c>
      <c r="BD8" s="3">
        <f ca="1">INDEX('Points For'!$B$1:$R$14,MATCH(BC8,'Points For'!$B$1:$B$14,0),MATCH(BC$1,'Points For'!$B$1:$R$1,0))</f>
        <v>139.1</v>
      </c>
      <c r="BE8" s="3">
        <f ca="1">INDEX('Points For'!$B$1:$R$14,MATCH($B$16,'Points For'!$B$1:$B$14,0),MATCH(BC$1,'Points For'!$B$1:$R$1,0))</f>
        <v>79.400000000000006</v>
      </c>
      <c r="BF8" s="3" t="str">
        <f t="shared" ca="1" si="12"/>
        <v>L</v>
      </c>
      <c r="BG8" s="3" t="str">
        <f ca="1">VLOOKUP(INDEX(INDIRECT("'"&amp;BG$1&amp;"'!"&amp;"$A:$C"),MATCH('Schedule Optimizer'!$A8,INDIRECT("'"&amp;BG$1&amp;"'!"&amp;"A:A"),0),MATCH('Schedule Optimizer'!BG$2,INDIRECT("'"&amp;BG$1&amp;"'!"&amp;"$A$1:$C$1"))),$A$3:$B$14,2,FALSE)</f>
        <v>Cody</v>
      </c>
      <c r="BH8" s="3">
        <f ca="1">INDEX('Points For'!$B$1:$R$14,MATCH(BG8,'Points For'!$B$1:$B$14,0),MATCH(BG$1,'Points For'!$B$1:$R$1,0))</f>
        <v>88.6</v>
      </c>
      <c r="BI8" s="3">
        <f ca="1">INDEX('Points For'!$B$1:$R$14,MATCH($B$16,'Points For'!$B$1:$B$14,0),MATCH(BG$1,'Points For'!$B$1:$R$1,0))</f>
        <v>102.6</v>
      </c>
      <c r="BJ8" s="3" t="str">
        <f t="shared" ca="1" si="13"/>
        <v>W</v>
      </c>
      <c r="BK8" s="3" t="str">
        <f ca="1">VLOOKUP(INDEX(INDIRECT("'"&amp;BK$1&amp;"'!"&amp;"$A:$C"),MATCH('Schedule Optimizer'!$A8,INDIRECT("'"&amp;BK$1&amp;"'!"&amp;"A:A"),0),MATCH('Schedule Optimizer'!BK$2,INDIRECT("'"&amp;BK$1&amp;"'!"&amp;"$A$1:$C$1"))),$A$3:$B$14,2,FALSE)</f>
        <v>Nicole</v>
      </c>
      <c r="BL8" s="3">
        <f ca="1">INDEX('Points For'!$B$1:$R$14,MATCH(BK8,'Points For'!$B$1:$B$14,0),MATCH(BK$1,'Points For'!$B$1:$R$1,0))</f>
        <v>93.8</v>
      </c>
      <c r="BM8" s="3">
        <f ca="1">INDEX('Points For'!$B$1:$R$14,MATCH($B$16,'Points For'!$B$1:$B$14,0),MATCH(BK$1,'Points For'!$B$1:$R$1,0))</f>
        <v>138.30000000000001</v>
      </c>
      <c r="BN8" s="3" t="str">
        <f t="shared" ca="1" si="14"/>
        <v>W</v>
      </c>
      <c r="BO8" s="3" t="str">
        <f ca="1">VLOOKUP(INDEX(INDIRECT("'"&amp;BO$1&amp;"'!"&amp;"$A:$C"),MATCH('Schedule Optimizer'!$A8,INDIRECT("'"&amp;BO$1&amp;"'!"&amp;"A:A"),0),MATCH('Schedule Optimizer'!BO$2,INDIRECT("'"&amp;BO$1&amp;"'!"&amp;"$A$1:$C$1"))),$A$3:$B$14,2,FALSE)</f>
        <v>Ed</v>
      </c>
      <c r="BP8" s="3">
        <f ca="1">INDEX('Points For'!$B$1:$R$14,MATCH(BO8,'Points For'!$B$1:$B$14,0),MATCH(BO$1,'Points For'!$B$1:$R$1,0))</f>
        <v>102.8</v>
      </c>
      <c r="BQ8" s="3">
        <f ca="1">INDEX('Points For'!$B$1:$R$14,MATCH($B$16,'Points For'!$B$1:$B$14,0),MATCH(BO$1,'Points For'!$B$1:$R$1,0))</f>
        <v>163.1</v>
      </c>
      <c r="BR8" s="3" t="str">
        <f t="shared" ca="1" si="15"/>
        <v>W</v>
      </c>
    </row>
    <row r="9" spans="1:70" ht="16.25" thickTop="1" thickBot="1" x14ac:dyDescent="0.9">
      <c r="A9" s="3" t="s">
        <v>16</v>
      </c>
      <c r="B9" s="3" t="s">
        <v>168</v>
      </c>
      <c r="C9" s="7">
        <f t="shared" ca="1" si="16"/>
        <v>2</v>
      </c>
      <c r="D9" s="7">
        <f t="shared" ca="1" si="17"/>
        <v>10</v>
      </c>
      <c r="E9" s="7">
        <f t="shared" ca="1" si="18"/>
        <v>2</v>
      </c>
      <c r="F9" s="7">
        <f t="shared" ca="1" si="19"/>
        <v>1</v>
      </c>
      <c r="G9" s="3" t="str">
        <f ca="1">VLOOKUP(INDEX(INDIRECT("'"&amp;G$1&amp;"'!"&amp;"$A:$C"),MATCH('Schedule Optimizer'!$A9,INDIRECT("'"&amp;G$1&amp;"'!"&amp;"A:A"),0),MATCH('Schedule Optimizer'!G$2,INDIRECT("'"&amp;G$1&amp;"'!"&amp;"$A$1:$C$1"))),$A$3:$B$14,2,FALSE)</f>
        <v>Jesse</v>
      </c>
      <c r="H9" s="3">
        <f ca="1">INDEX('Points For'!$B$1:$R$14,MATCH(G9,'Points For'!$B$1:$B$14,0),MATCH(G$1,'Points For'!$B$1:$R$1,0))</f>
        <v>61.1</v>
      </c>
      <c r="I9" s="3">
        <f ca="1">INDEX('Points For'!$B$1:$R$14,MATCH($B$16,'Points For'!$B$1:$B$14,0),MATCH(G$1,'Points For'!$B$1:$R$1,0))</f>
        <v>81</v>
      </c>
      <c r="J9" s="3" t="str">
        <f t="shared" ca="1" si="0"/>
        <v>W</v>
      </c>
      <c r="K9" s="3" t="str">
        <f ca="1">VLOOKUP(INDEX(INDIRECT("'"&amp;K$1&amp;"'!"&amp;"$A:$C"),MATCH('Schedule Optimizer'!$A9,INDIRECT("'"&amp;K$1&amp;"'!"&amp;"A:A"),0),MATCH('Schedule Optimizer'!K$2,INDIRECT("'"&amp;K$1&amp;"'!"&amp;"$A$1:$C$1"))),$A$3:$B$14,2,FALSE)</f>
        <v>Catina</v>
      </c>
      <c r="L9" s="3">
        <f ca="1">INDEX('Points For'!$B$1:$R$14,MATCH(K9,'Points For'!$B$1:$B$14,0),MATCH(K$1,'Points For'!$B$1:$R$1,0))</f>
        <v>91.1</v>
      </c>
      <c r="M9" s="3">
        <f ca="1">INDEX('Points For'!$B$1:$R$14,MATCH($B$16,'Points For'!$B$1:$B$14,0),MATCH(K$1,'Points For'!$B$1:$R$1,0))</f>
        <v>91.1</v>
      </c>
      <c r="N9" s="3" t="str">
        <f t="shared" ca="1" si="1"/>
        <v>N/A</v>
      </c>
      <c r="O9" s="3" t="str">
        <f ca="1">VLOOKUP(INDEX(INDIRECT("'"&amp;O$1&amp;"'!"&amp;"$A:$C"),MATCH('Schedule Optimizer'!$A9,INDIRECT("'"&amp;O$1&amp;"'!"&amp;"A:A"),0),MATCH('Schedule Optimizer'!O$2,INDIRECT("'"&amp;O$1&amp;"'!"&amp;"$A$1:$C$1"))),$A$3:$B$14,2,FALSE)</f>
        <v>Jake</v>
      </c>
      <c r="P9" s="3">
        <f ca="1">INDEX('Points For'!$B$1:$R$14,MATCH(O9,'Points For'!$B$1:$B$14,0),MATCH(O$1,'Points For'!$B$1:$R$1,0))</f>
        <v>109</v>
      </c>
      <c r="Q9" s="3">
        <f ca="1">INDEX('Points For'!$B$1:$R$14,MATCH($B$16,'Points For'!$B$1:$B$14,0),MATCH(O$1,'Points For'!$B$1:$R$1,0))</f>
        <v>95.9</v>
      </c>
      <c r="R9" s="3" t="str">
        <f t="shared" ca="1" si="2"/>
        <v>L</v>
      </c>
      <c r="S9" s="3" t="str">
        <f ca="1">VLOOKUP(INDEX(INDIRECT("'"&amp;S$1&amp;"'!"&amp;"$A:$C"),MATCH('Schedule Optimizer'!$A9,INDIRECT("'"&amp;S$1&amp;"'!"&amp;"A:A"),0),MATCH('Schedule Optimizer'!S$2,INDIRECT("'"&amp;S$1&amp;"'!"&amp;"$A$1:$C$1"))),$A$3:$B$14,2,FALSE)</f>
        <v>Ed</v>
      </c>
      <c r="T9" s="3">
        <f ca="1">INDEX('Points For'!$B$1:$R$14,MATCH(S9,'Points For'!$B$1:$B$14,0),MATCH(S$1,'Points For'!$B$1:$R$1,0))</f>
        <v>97.8</v>
      </c>
      <c r="U9" s="3">
        <f ca="1">INDEX('Points For'!$B$1:$R$14,MATCH($B$16,'Points For'!$B$1:$B$14,0),MATCH(S$1,'Points For'!$B$1:$R$1,0))</f>
        <v>86</v>
      </c>
      <c r="V9" s="3" t="str">
        <f t="shared" ca="1" si="3"/>
        <v>L</v>
      </c>
      <c r="W9" s="3" t="str">
        <f ca="1">VLOOKUP(INDEX(INDIRECT("'"&amp;W$1&amp;"'!"&amp;"$A:$C"),MATCH('Schedule Optimizer'!$A9,INDIRECT("'"&amp;W$1&amp;"'!"&amp;"A:A"),0),MATCH('Schedule Optimizer'!W$2,INDIRECT("'"&amp;W$1&amp;"'!"&amp;"$A$1:$C$1"))),$A$3:$B$14,2,FALSE)</f>
        <v>Tres</v>
      </c>
      <c r="X9" s="3">
        <f ca="1">INDEX('Points For'!$B$1:$R$14,MATCH(W9,'Points For'!$B$1:$B$14,0),MATCH(W$1,'Points For'!$B$1:$R$1,0))</f>
        <v>100.6</v>
      </c>
      <c r="Y9" s="3">
        <f ca="1">INDEX('Points For'!$B$1:$R$14,MATCH($B$16,'Points For'!$B$1:$B$14,0),MATCH(W$1,'Points For'!$B$1:$R$1,0))</f>
        <v>65.5</v>
      </c>
      <c r="Z9" s="3" t="str">
        <f t="shared" ca="1" si="4"/>
        <v>L</v>
      </c>
      <c r="AA9" s="3" t="str">
        <f ca="1">VLOOKUP(INDEX(INDIRECT("'"&amp;AA$1&amp;"'!"&amp;"$A:$C"),MATCH('Schedule Optimizer'!$A9,INDIRECT("'"&amp;AA$1&amp;"'!"&amp;"A:A"),0),MATCH('Schedule Optimizer'!AA$2,INDIRECT("'"&amp;AA$1&amp;"'!"&amp;"$A$1:$C$1"))),$A$3:$B$14,2,FALSE)</f>
        <v>Sara</v>
      </c>
      <c r="AB9" s="3">
        <f ca="1">INDEX('Points For'!$B$1:$R$14,MATCH(AA9,'Points For'!$B$1:$B$14,0),MATCH(AA$1,'Points For'!$B$1:$R$1,0))</f>
        <v>108.2</v>
      </c>
      <c r="AC9" s="3">
        <f ca="1">INDEX('Points For'!$B$1:$R$14,MATCH($B$16,'Points For'!$B$1:$B$14,0),MATCH(AA$1,'Points For'!$B$1:$R$1,0))</f>
        <v>85.8</v>
      </c>
      <c r="AD9" s="3" t="str">
        <f t="shared" ca="1" si="5"/>
        <v>L</v>
      </c>
      <c r="AE9" s="3" t="str">
        <f ca="1">VLOOKUP(INDEX(INDIRECT("'"&amp;AE$1&amp;"'!"&amp;"$A:$C"),MATCH('Schedule Optimizer'!$A9,INDIRECT("'"&amp;AE$1&amp;"'!"&amp;"A:A"),0),MATCH('Schedule Optimizer'!AE$2,INDIRECT("'"&amp;AE$1&amp;"'!"&amp;"$A$1:$C$1"))),$A$3:$B$14,2,FALSE)</f>
        <v>Nicole</v>
      </c>
      <c r="AF9" s="3">
        <f ca="1">INDEX('Points For'!$B$1:$R$14,MATCH(AE9,'Points For'!$B$1:$B$14,0),MATCH(AE$1,'Points For'!$B$1:$R$1,0))</f>
        <v>105.8</v>
      </c>
      <c r="AG9" s="3">
        <f ca="1">INDEX('Points For'!$B$1:$R$14,MATCH($B$16,'Points For'!$B$1:$B$14,0),MATCH(AE$1,'Points For'!$B$1:$R$1,0))</f>
        <v>91.3</v>
      </c>
      <c r="AH9" s="3" t="str">
        <f t="shared" ca="1" si="6"/>
        <v>L</v>
      </c>
      <c r="AI9" s="3" t="str">
        <f ca="1">VLOOKUP(INDEX(INDIRECT("'"&amp;AI$1&amp;"'!"&amp;"$A:$C"),MATCH('Schedule Optimizer'!$A9,INDIRECT("'"&amp;AI$1&amp;"'!"&amp;"A:A"),0),MATCH('Schedule Optimizer'!AI$2,INDIRECT("'"&amp;AI$1&amp;"'!"&amp;"$A$1:$C$1"))),$A$3:$B$14,2,FALSE)</f>
        <v>Dave</v>
      </c>
      <c r="AJ9" s="3">
        <f ca="1">INDEX('Points For'!$B$1:$R$14,MATCH(AI9,'Points For'!$B$1:$B$14,0),MATCH(AI$1,'Points For'!$B$1:$R$1,0))</f>
        <v>96.4</v>
      </c>
      <c r="AK9" s="3">
        <f ca="1">INDEX('Points For'!$B$1:$R$14,MATCH($B$16,'Points For'!$B$1:$B$14,0),MATCH(AI$1,'Points For'!$B$1:$R$1,0))</f>
        <v>82.8</v>
      </c>
      <c r="AL9" s="3" t="str">
        <f t="shared" ca="1" si="7"/>
        <v>L</v>
      </c>
      <c r="AM9" s="3" t="str">
        <f ca="1">VLOOKUP(INDEX(INDIRECT("'"&amp;AM$1&amp;"'!"&amp;"$A:$C"),MATCH('Schedule Optimizer'!$A9,INDIRECT("'"&amp;AM$1&amp;"'!"&amp;"A:A"),0),MATCH('Schedule Optimizer'!AM$2,INDIRECT("'"&amp;AM$1&amp;"'!"&amp;"$A$1:$C$1"))),$A$3:$B$14,2,FALSE)</f>
        <v>Steve</v>
      </c>
      <c r="AN9" s="3">
        <f ca="1">INDEX('Points For'!$B$1:$R$14,MATCH(AM9,'Points For'!$B$1:$B$14,0),MATCH(AM$1,'Points For'!$B$1:$R$1,0))</f>
        <v>69.8</v>
      </c>
      <c r="AO9" s="3">
        <f ca="1">INDEX('Points For'!$B$1:$R$14,MATCH($B$16,'Points For'!$B$1:$B$14,0),MATCH(AM$1,'Points For'!$B$1:$R$1,0))</f>
        <v>102.8</v>
      </c>
      <c r="AP9" s="3" t="str">
        <f t="shared" ca="1" si="8"/>
        <v>W</v>
      </c>
      <c r="AQ9" s="3" t="str">
        <f ca="1">VLOOKUP(INDEX(INDIRECT("'"&amp;AQ$1&amp;"'!"&amp;"$A:$C"),MATCH('Schedule Optimizer'!$A9,INDIRECT("'"&amp;AQ$1&amp;"'!"&amp;"A:A"),0),MATCH('Schedule Optimizer'!AQ$2,INDIRECT("'"&amp;AQ$1&amp;"'!"&amp;"$A$1:$C$1"))),$A$3:$B$14,2,FALSE)</f>
        <v>Binder</v>
      </c>
      <c r="AR9" s="3">
        <f ca="1">INDEX('Points For'!$B$1:$R$14,MATCH(AQ9,'Points For'!$B$1:$B$14,0),MATCH(AQ$1,'Points For'!$B$1:$R$1,0))</f>
        <v>104.9</v>
      </c>
      <c r="AS9" s="3">
        <f ca="1">INDEX('Points For'!$B$1:$R$14,MATCH($B$16,'Points For'!$B$1:$B$14,0),MATCH(AQ$1,'Points For'!$B$1:$R$1,0))</f>
        <v>65.599999999999994</v>
      </c>
      <c r="AT9" s="3" t="str">
        <f t="shared" ca="1" si="9"/>
        <v>L</v>
      </c>
      <c r="AU9" s="3" t="str">
        <f ca="1">VLOOKUP(INDEX(INDIRECT("'"&amp;AU$1&amp;"'!"&amp;"$A:$C"),MATCH('Schedule Optimizer'!$A9,INDIRECT("'"&amp;AU$1&amp;"'!"&amp;"A:A"),0),MATCH('Schedule Optimizer'!AU$2,INDIRECT("'"&amp;AU$1&amp;"'!"&amp;"$A$1:$C$1"))),$A$3:$B$14,2,FALSE)</f>
        <v>Sam</v>
      </c>
      <c r="AV9" s="3">
        <f ca="1">INDEX('Points For'!$B$1:$R$14,MATCH(AU9,'Points For'!$B$1:$B$14,0),MATCH(AU$1,'Points For'!$B$1:$R$1,0))</f>
        <v>117.4</v>
      </c>
      <c r="AW9" s="3">
        <f ca="1">INDEX('Points For'!$B$1:$R$14,MATCH($B$16,'Points For'!$B$1:$B$14,0),MATCH(AU$1,'Points For'!$B$1:$R$1,0))</f>
        <v>100.6</v>
      </c>
      <c r="AX9" s="3" t="str">
        <f t="shared" ca="1" si="10"/>
        <v>L</v>
      </c>
      <c r="AY9" s="3" t="str">
        <f ca="1">VLOOKUP(INDEX(INDIRECT("'"&amp;AY$1&amp;"'!"&amp;"$A:$C"),MATCH('Schedule Optimizer'!$A9,INDIRECT("'"&amp;AY$1&amp;"'!"&amp;"A:A"),0),MATCH('Schedule Optimizer'!AY$2,INDIRECT("'"&amp;AY$1&amp;"'!"&amp;"$A$1:$C$1"))),$A$3:$B$14,2,FALSE)</f>
        <v>Jake</v>
      </c>
      <c r="AZ9" s="3">
        <f ca="1">INDEX('Points For'!$B$1:$R$14,MATCH(AY9,'Points For'!$B$1:$B$14,0),MATCH(AY$1,'Points For'!$B$1:$R$1,0))</f>
        <v>134.9</v>
      </c>
      <c r="BA9" s="3">
        <f ca="1">INDEX('Points For'!$B$1:$R$14,MATCH($B$16,'Points For'!$B$1:$B$14,0),MATCH(AY$1,'Points For'!$B$1:$R$1,0))</f>
        <v>121.6</v>
      </c>
      <c r="BB9" s="3" t="str">
        <f t="shared" ca="1" si="11"/>
        <v>L</v>
      </c>
      <c r="BC9" s="3" t="str">
        <f ca="1">VLOOKUP(INDEX(INDIRECT("'"&amp;BC$1&amp;"'!"&amp;"$A:$C"),MATCH('Schedule Optimizer'!$A9,INDIRECT("'"&amp;BC$1&amp;"'!"&amp;"A:A"),0),MATCH('Schedule Optimizer'!BC$2,INDIRECT("'"&amp;BC$1&amp;"'!"&amp;"$A$1:$C$1"))),$A$3:$B$14,2,FALSE)</f>
        <v>Ed</v>
      </c>
      <c r="BD9" s="3">
        <f ca="1">INDEX('Points For'!$B$1:$R$14,MATCH(BC9,'Points For'!$B$1:$B$14,0),MATCH(BC$1,'Points For'!$B$1:$R$1,0))</f>
        <v>105.5</v>
      </c>
      <c r="BE9" s="3">
        <f ca="1">INDEX('Points For'!$B$1:$R$14,MATCH($B$16,'Points For'!$B$1:$B$14,0),MATCH(BC$1,'Points For'!$B$1:$R$1,0))</f>
        <v>79.400000000000006</v>
      </c>
      <c r="BF9" s="3" t="str">
        <f t="shared" ca="1" si="12"/>
        <v>L</v>
      </c>
      <c r="BG9" s="3" t="str">
        <f ca="1">VLOOKUP(INDEX(INDIRECT("'"&amp;BG$1&amp;"'!"&amp;"$A:$C"),MATCH('Schedule Optimizer'!$A9,INDIRECT("'"&amp;BG$1&amp;"'!"&amp;"A:A"),0),MATCH('Schedule Optimizer'!BG$2,INDIRECT("'"&amp;BG$1&amp;"'!"&amp;"$A$1:$C$1"))),$A$3:$B$14,2,FALSE)</f>
        <v>Jake</v>
      </c>
      <c r="BH9" s="3">
        <f ca="1">INDEX('Points For'!$B$1:$R$14,MATCH(BG9,'Points For'!$B$1:$B$14,0),MATCH(BG$1,'Points For'!$B$1:$R$1,0))</f>
        <v>104.3</v>
      </c>
      <c r="BI9" s="3">
        <f ca="1">INDEX('Points For'!$B$1:$R$14,MATCH($B$16,'Points For'!$B$1:$B$14,0),MATCH(BG$1,'Points For'!$B$1:$R$1,0))</f>
        <v>102.6</v>
      </c>
      <c r="BJ9" s="3" t="str">
        <f t="shared" ca="1" si="13"/>
        <v>L</v>
      </c>
      <c r="BK9" s="3" t="str">
        <f ca="1">VLOOKUP(INDEX(INDIRECT("'"&amp;BK$1&amp;"'!"&amp;"$A:$C"),MATCH('Schedule Optimizer'!$A9,INDIRECT("'"&amp;BK$1&amp;"'!"&amp;"A:A"),0),MATCH('Schedule Optimizer'!BK$2,INDIRECT("'"&amp;BK$1&amp;"'!"&amp;"$A$1:$C$1"))),$A$3:$B$14,2,FALSE)</f>
        <v>Dave</v>
      </c>
      <c r="BL9" s="3">
        <f ca="1">INDEX('Points For'!$B$1:$R$14,MATCH(BK9,'Points For'!$B$1:$B$14,0),MATCH(BK$1,'Points For'!$B$1:$R$1,0))</f>
        <v>75.599999999999994</v>
      </c>
      <c r="BM9" s="3">
        <f ca="1">INDEX('Points For'!$B$1:$R$14,MATCH($B$16,'Points For'!$B$1:$B$14,0),MATCH(BK$1,'Points For'!$B$1:$R$1,0))</f>
        <v>138.30000000000001</v>
      </c>
      <c r="BN9" s="3" t="str">
        <f t="shared" ca="1" si="14"/>
        <v>W</v>
      </c>
      <c r="BO9" s="3" t="str">
        <f ca="1">VLOOKUP(INDEX(INDIRECT("'"&amp;BO$1&amp;"'!"&amp;"$A:$C"),MATCH('Schedule Optimizer'!$A9,INDIRECT("'"&amp;BO$1&amp;"'!"&amp;"A:A"),0),MATCH('Schedule Optimizer'!BO$2,INDIRECT("'"&amp;BO$1&amp;"'!"&amp;"$A$1:$C$1"))),$A$3:$B$14,2,FALSE)</f>
        <v>Dave</v>
      </c>
      <c r="BP9" s="3">
        <f ca="1">INDEX('Points For'!$B$1:$R$14,MATCH(BO9,'Points For'!$B$1:$B$14,0),MATCH(BO$1,'Points For'!$B$1:$R$1,0))</f>
        <v>70.3</v>
      </c>
      <c r="BQ9" s="3">
        <f ca="1">INDEX('Points For'!$B$1:$R$14,MATCH($B$16,'Points For'!$B$1:$B$14,0),MATCH(BO$1,'Points For'!$B$1:$R$1,0))</f>
        <v>163.1</v>
      </c>
      <c r="BR9" s="3" t="str">
        <f t="shared" ca="1" si="15"/>
        <v>W</v>
      </c>
    </row>
    <row r="10" spans="1:70" ht="16.25" thickTop="1" thickBot="1" x14ac:dyDescent="0.9">
      <c r="A10" s="3" t="s">
        <v>18</v>
      </c>
      <c r="B10" s="3" t="s">
        <v>169</v>
      </c>
      <c r="C10" s="7">
        <f t="shared" ca="1" si="16"/>
        <v>8</v>
      </c>
      <c r="D10" s="7">
        <f t="shared" ca="1" si="17"/>
        <v>4</v>
      </c>
      <c r="E10" s="7">
        <f t="shared" ca="1" si="18"/>
        <v>2</v>
      </c>
      <c r="F10" s="7">
        <f t="shared" ca="1" si="19"/>
        <v>1</v>
      </c>
      <c r="G10" s="3" t="str">
        <f ca="1">VLOOKUP(INDEX(INDIRECT("'"&amp;G$1&amp;"'!"&amp;"$A:$C"),MATCH('Schedule Optimizer'!$A10,INDIRECT("'"&amp;G$1&amp;"'!"&amp;"A:A"),0),MATCH('Schedule Optimizer'!G$2,INDIRECT("'"&amp;G$1&amp;"'!"&amp;"$A$1:$C$1"))),$A$3:$B$14,2,FALSE)</f>
        <v>Cody</v>
      </c>
      <c r="H10" s="3">
        <f ca="1">INDEX('Points For'!$B$1:$R$14,MATCH(G10,'Points For'!$B$1:$B$14,0),MATCH(G$1,'Points For'!$B$1:$R$1,0))</f>
        <v>72.099999999999994</v>
      </c>
      <c r="I10" s="3">
        <f ca="1">INDEX('Points For'!$B$1:$R$14,MATCH($B$16,'Points For'!$B$1:$B$14,0),MATCH(G$1,'Points For'!$B$1:$R$1,0))</f>
        <v>81</v>
      </c>
      <c r="J10" s="3" t="str">
        <f t="shared" ca="1" si="0"/>
        <v>W</v>
      </c>
      <c r="K10" s="3" t="str">
        <f ca="1">VLOOKUP(INDEX(INDIRECT("'"&amp;K$1&amp;"'!"&amp;"$A:$C"),MATCH('Schedule Optimizer'!$A10,INDIRECT("'"&amp;K$1&amp;"'!"&amp;"A:A"),0),MATCH('Schedule Optimizer'!K$2,INDIRECT("'"&amp;K$1&amp;"'!"&amp;"$A$1:$C$1"))),$A$3:$B$14,2,FALSE)</f>
        <v>Ed</v>
      </c>
      <c r="L10" s="3">
        <f ca="1">INDEX('Points For'!$B$1:$R$14,MATCH(K10,'Points For'!$B$1:$B$14,0),MATCH(K$1,'Points For'!$B$1:$R$1,0))</f>
        <v>85.3</v>
      </c>
      <c r="M10" s="3">
        <f ca="1">INDEX('Points For'!$B$1:$R$14,MATCH($B$16,'Points For'!$B$1:$B$14,0),MATCH(K$1,'Points For'!$B$1:$R$1,0))</f>
        <v>91.1</v>
      </c>
      <c r="N10" s="3" t="str">
        <f t="shared" ca="1" si="1"/>
        <v>W</v>
      </c>
      <c r="O10" s="3" t="str">
        <f ca="1">VLOOKUP(INDEX(INDIRECT("'"&amp;O$1&amp;"'!"&amp;"$A:$C"),MATCH('Schedule Optimizer'!$A10,INDIRECT("'"&amp;O$1&amp;"'!"&amp;"A:A"),0),MATCH('Schedule Optimizer'!O$2,INDIRECT("'"&amp;O$1&amp;"'!"&amp;"$A$1:$C$1"))),$A$3:$B$14,2,FALSE)</f>
        <v>Steve</v>
      </c>
      <c r="P10" s="3">
        <f ca="1">INDEX('Points For'!$B$1:$R$14,MATCH(O10,'Points For'!$B$1:$B$14,0),MATCH(O$1,'Points For'!$B$1:$R$1,0))</f>
        <v>80.7</v>
      </c>
      <c r="Q10" s="3">
        <f ca="1">INDEX('Points For'!$B$1:$R$14,MATCH($B$16,'Points For'!$B$1:$B$14,0),MATCH(O$1,'Points For'!$B$1:$R$1,0))</f>
        <v>95.9</v>
      </c>
      <c r="R10" s="3" t="str">
        <f t="shared" ca="1" si="2"/>
        <v>W</v>
      </c>
      <c r="S10" s="3" t="str">
        <f ca="1">VLOOKUP(INDEX(INDIRECT("'"&amp;S$1&amp;"'!"&amp;"$A:$C"),MATCH('Schedule Optimizer'!$A10,INDIRECT("'"&amp;S$1&amp;"'!"&amp;"A:A"),0),MATCH('Schedule Optimizer'!S$2,INDIRECT("'"&amp;S$1&amp;"'!"&amp;"$A$1:$C$1"))),$A$3:$B$14,2,FALSE)</f>
        <v>Tres</v>
      </c>
      <c r="T10" s="3">
        <f ca="1">INDEX('Points For'!$B$1:$R$14,MATCH(S10,'Points For'!$B$1:$B$14,0),MATCH(S$1,'Points For'!$B$1:$R$1,0))</f>
        <v>95.3</v>
      </c>
      <c r="U10" s="3">
        <f ca="1">INDEX('Points For'!$B$1:$R$14,MATCH($B$16,'Points For'!$B$1:$B$14,0),MATCH(S$1,'Points For'!$B$1:$R$1,0))</f>
        <v>86</v>
      </c>
      <c r="V10" s="3" t="str">
        <f t="shared" ca="1" si="3"/>
        <v>L</v>
      </c>
      <c r="W10" s="3" t="str">
        <f ca="1">VLOOKUP(INDEX(INDIRECT("'"&amp;W$1&amp;"'!"&amp;"$A:$C"),MATCH('Schedule Optimizer'!$A10,INDIRECT("'"&amp;W$1&amp;"'!"&amp;"A:A"),0),MATCH('Schedule Optimizer'!W$2,INDIRECT("'"&amp;W$1&amp;"'!"&amp;"$A$1:$C$1"))),$A$3:$B$14,2,FALSE)</f>
        <v>Jake</v>
      </c>
      <c r="X10" s="3">
        <f ca="1">INDEX('Points For'!$B$1:$R$14,MATCH(W10,'Points For'!$B$1:$B$14,0),MATCH(W$1,'Points For'!$B$1:$R$1,0))</f>
        <v>109.7</v>
      </c>
      <c r="Y10" s="3">
        <f ca="1">INDEX('Points For'!$B$1:$R$14,MATCH($B$16,'Points For'!$B$1:$B$14,0),MATCH(W$1,'Points For'!$B$1:$R$1,0))</f>
        <v>65.5</v>
      </c>
      <c r="Z10" s="3" t="str">
        <f t="shared" ca="1" si="4"/>
        <v>L</v>
      </c>
      <c r="AA10" s="3" t="str">
        <f ca="1">VLOOKUP(INDEX(INDIRECT("'"&amp;AA$1&amp;"'!"&amp;"$A:$C"),MATCH('Schedule Optimizer'!$A10,INDIRECT("'"&amp;AA$1&amp;"'!"&amp;"A:A"),0),MATCH('Schedule Optimizer'!AA$2,INDIRECT("'"&amp;AA$1&amp;"'!"&amp;"$A$1:$C$1"))),$A$3:$B$14,2,FALSE)</f>
        <v>Nicole</v>
      </c>
      <c r="AB10" s="3">
        <f ca="1">INDEX('Points For'!$B$1:$R$14,MATCH(AA10,'Points For'!$B$1:$B$14,0),MATCH(AA$1,'Points For'!$B$1:$R$1,0))</f>
        <v>79.7</v>
      </c>
      <c r="AC10" s="3">
        <f ca="1">INDEX('Points For'!$B$1:$R$14,MATCH($B$16,'Points For'!$B$1:$B$14,0),MATCH(AA$1,'Points For'!$B$1:$R$1,0))</f>
        <v>85.8</v>
      </c>
      <c r="AD10" s="3" t="str">
        <f t="shared" ca="1" si="5"/>
        <v>W</v>
      </c>
      <c r="AE10" s="3" t="str">
        <f ca="1">VLOOKUP(INDEX(INDIRECT("'"&amp;AE$1&amp;"'!"&amp;"$A:$C"),MATCH('Schedule Optimizer'!$A10,INDIRECT("'"&amp;AE$1&amp;"'!"&amp;"A:A"),0),MATCH('Schedule Optimizer'!AE$2,INDIRECT("'"&amp;AE$1&amp;"'!"&amp;"$A$1:$C$1"))),$A$3:$B$14,2,FALSE)</f>
        <v>Sara</v>
      </c>
      <c r="AF10" s="3">
        <f ca="1">INDEX('Points For'!$B$1:$R$14,MATCH(AE10,'Points For'!$B$1:$B$14,0),MATCH(AE$1,'Points For'!$B$1:$R$1,0))</f>
        <v>89.1</v>
      </c>
      <c r="AG10" s="3">
        <f ca="1">INDEX('Points For'!$B$1:$R$14,MATCH($B$16,'Points For'!$B$1:$B$14,0),MATCH(AE$1,'Points For'!$B$1:$R$1,0))</f>
        <v>91.3</v>
      </c>
      <c r="AH10" s="3" t="str">
        <f t="shared" ca="1" si="6"/>
        <v>W</v>
      </c>
      <c r="AI10" s="3" t="str">
        <f ca="1">VLOOKUP(INDEX(INDIRECT("'"&amp;AI$1&amp;"'!"&amp;"$A:$C"),MATCH('Schedule Optimizer'!$A10,INDIRECT("'"&amp;AI$1&amp;"'!"&amp;"A:A"),0),MATCH('Schedule Optimizer'!AI$2,INDIRECT("'"&amp;AI$1&amp;"'!"&amp;"$A$1:$C$1"))),$A$3:$B$14,2,FALSE)</f>
        <v>Binder</v>
      </c>
      <c r="AJ10" s="3">
        <f ca="1">INDEX('Points For'!$B$1:$R$14,MATCH(AI10,'Points For'!$B$1:$B$14,0),MATCH(AI$1,'Points For'!$B$1:$R$1,0))</f>
        <v>84.2</v>
      </c>
      <c r="AK10" s="3">
        <f ca="1">INDEX('Points For'!$B$1:$R$14,MATCH($B$16,'Points For'!$B$1:$B$14,0),MATCH(AI$1,'Points For'!$B$1:$R$1,0))</f>
        <v>82.8</v>
      </c>
      <c r="AL10" s="3" t="str">
        <f t="shared" ca="1" si="7"/>
        <v>L</v>
      </c>
      <c r="AM10" s="3" t="str">
        <f ca="1">VLOOKUP(INDEX(INDIRECT("'"&amp;AM$1&amp;"'!"&amp;"$A:$C"),MATCH('Schedule Optimizer'!$A10,INDIRECT("'"&amp;AM$1&amp;"'!"&amp;"A:A"),0),MATCH('Schedule Optimizer'!AM$2,INDIRECT("'"&amp;AM$1&amp;"'!"&amp;"$A$1:$C$1"))),$A$3:$B$14,2,FALSE)</f>
        <v>Dave</v>
      </c>
      <c r="AN10" s="3">
        <f ca="1">INDEX('Points For'!$B$1:$R$14,MATCH(AM10,'Points For'!$B$1:$B$14,0),MATCH(AM$1,'Points For'!$B$1:$R$1,0))</f>
        <v>99.8</v>
      </c>
      <c r="AO10" s="3">
        <f ca="1">INDEX('Points For'!$B$1:$R$14,MATCH($B$16,'Points For'!$B$1:$B$14,0),MATCH(AM$1,'Points For'!$B$1:$R$1,0))</f>
        <v>102.8</v>
      </c>
      <c r="AP10" s="3" t="str">
        <f t="shared" ca="1" si="8"/>
        <v>W</v>
      </c>
      <c r="AQ10" s="3" t="str">
        <f ca="1">VLOOKUP(INDEX(INDIRECT("'"&amp;AQ$1&amp;"'!"&amp;"$A:$C"),MATCH('Schedule Optimizer'!$A10,INDIRECT("'"&amp;AQ$1&amp;"'!"&amp;"A:A"),0),MATCH('Schedule Optimizer'!AQ$2,INDIRECT("'"&amp;AQ$1&amp;"'!"&amp;"$A$1:$C$1"))),$A$3:$B$14,2,FALSE)</f>
        <v>Sam</v>
      </c>
      <c r="AR10" s="3">
        <f ca="1">INDEX('Points For'!$B$1:$R$14,MATCH(AQ10,'Points For'!$B$1:$B$14,0),MATCH(AQ$1,'Points For'!$B$1:$R$1,0))</f>
        <v>123.4</v>
      </c>
      <c r="AS10" s="3">
        <f ca="1">INDEX('Points For'!$B$1:$R$14,MATCH($B$16,'Points For'!$B$1:$B$14,0),MATCH(AQ$1,'Points For'!$B$1:$R$1,0))</f>
        <v>65.599999999999994</v>
      </c>
      <c r="AT10" s="3" t="str">
        <f t="shared" ca="1" si="9"/>
        <v>L</v>
      </c>
      <c r="AU10" s="3" t="str">
        <f ca="1">VLOOKUP(INDEX(INDIRECT("'"&amp;AU$1&amp;"'!"&amp;"$A:$C"),MATCH('Schedule Optimizer'!$A10,INDIRECT("'"&amp;AU$1&amp;"'!"&amp;"A:A"),0),MATCH('Schedule Optimizer'!AU$2,INDIRECT("'"&amp;AU$1&amp;"'!"&amp;"$A$1:$C$1"))),$A$3:$B$14,2,FALSE)</f>
        <v>Catina</v>
      </c>
      <c r="AV10" s="3">
        <f ca="1">INDEX('Points For'!$B$1:$R$14,MATCH(AU10,'Points For'!$B$1:$B$14,0),MATCH(AU$1,'Points For'!$B$1:$R$1,0))</f>
        <v>100.6</v>
      </c>
      <c r="AW10" s="3">
        <f ca="1">INDEX('Points For'!$B$1:$R$14,MATCH($B$16,'Points For'!$B$1:$B$14,0),MATCH(AU$1,'Points For'!$B$1:$R$1,0))</f>
        <v>100.6</v>
      </c>
      <c r="AX10" s="3" t="str">
        <f t="shared" ca="1" si="10"/>
        <v>N/A</v>
      </c>
      <c r="AY10" s="3" t="str">
        <f ca="1">VLOOKUP(INDEX(INDIRECT("'"&amp;AY$1&amp;"'!"&amp;"$A:$C"),MATCH('Schedule Optimizer'!$A10,INDIRECT("'"&amp;AY$1&amp;"'!"&amp;"A:A"),0),MATCH('Schedule Optimizer'!AY$2,INDIRECT("'"&amp;AY$1&amp;"'!"&amp;"$A$1:$C$1"))),$A$3:$B$14,2,FALSE)</f>
        <v>Steve</v>
      </c>
      <c r="AZ10" s="3">
        <f ca="1">INDEX('Points For'!$B$1:$R$14,MATCH(AY10,'Points For'!$B$1:$B$14,0),MATCH(AY$1,'Points For'!$B$1:$R$1,0))</f>
        <v>75.8</v>
      </c>
      <c r="BA10" s="3">
        <f ca="1">INDEX('Points For'!$B$1:$R$14,MATCH($B$16,'Points For'!$B$1:$B$14,0),MATCH(AY$1,'Points For'!$B$1:$R$1,0))</f>
        <v>121.6</v>
      </c>
      <c r="BB10" s="3" t="str">
        <f t="shared" ca="1" si="11"/>
        <v>W</v>
      </c>
      <c r="BC10" s="3" t="str">
        <f ca="1">VLOOKUP(INDEX(INDIRECT("'"&amp;BC$1&amp;"'!"&amp;"$A:$C"),MATCH('Schedule Optimizer'!$A10,INDIRECT("'"&amp;BC$1&amp;"'!"&amp;"A:A"),0),MATCH('Schedule Optimizer'!BC$2,INDIRECT("'"&amp;BC$1&amp;"'!"&amp;"$A$1:$C$1"))),$A$3:$B$14,2,FALSE)</f>
        <v>Tres</v>
      </c>
      <c r="BD10" s="3">
        <f ca="1">INDEX('Points For'!$B$1:$R$14,MATCH(BC10,'Points For'!$B$1:$B$14,0),MATCH(BC$1,'Points For'!$B$1:$R$1,0))</f>
        <v>72.7</v>
      </c>
      <c r="BE10" s="3">
        <f ca="1">INDEX('Points For'!$B$1:$R$14,MATCH($B$16,'Points For'!$B$1:$B$14,0),MATCH(BC$1,'Points For'!$B$1:$R$1,0))</f>
        <v>79.400000000000006</v>
      </c>
      <c r="BF10" s="3" t="str">
        <f t="shared" ca="1" si="12"/>
        <v>W</v>
      </c>
      <c r="BG10" s="3" t="str">
        <f ca="1">VLOOKUP(INDEX(INDIRECT("'"&amp;BG$1&amp;"'!"&amp;"$A:$C"),MATCH('Schedule Optimizer'!$A10,INDIRECT("'"&amp;BG$1&amp;"'!"&amp;"A:A"),0),MATCH('Schedule Optimizer'!BG$2,INDIRECT("'"&amp;BG$1&amp;"'!"&amp;"$A$1:$C$1"))),$A$3:$B$14,2,FALSE)</f>
        <v>Dave</v>
      </c>
      <c r="BH10" s="3">
        <f ca="1">INDEX('Points For'!$B$1:$R$14,MATCH(BG10,'Points For'!$B$1:$B$14,0),MATCH(BG$1,'Points For'!$B$1:$R$1,0))</f>
        <v>92.6</v>
      </c>
      <c r="BI10" s="3">
        <f ca="1">INDEX('Points For'!$B$1:$R$14,MATCH($B$16,'Points For'!$B$1:$B$14,0),MATCH(BG$1,'Points For'!$B$1:$R$1,0))</f>
        <v>102.6</v>
      </c>
      <c r="BJ10" s="3" t="str">
        <f t="shared" ca="1" si="13"/>
        <v>W</v>
      </c>
      <c r="BK10" s="3" t="str">
        <f ca="1">VLOOKUP(INDEX(INDIRECT("'"&amp;BK$1&amp;"'!"&amp;"$A:$C"),MATCH('Schedule Optimizer'!$A10,INDIRECT("'"&amp;BK$1&amp;"'!"&amp;"A:A"),0),MATCH('Schedule Optimizer'!BK$2,INDIRECT("'"&amp;BK$1&amp;"'!"&amp;"$A$1:$C$1"))),$A$3:$B$14,2,FALSE)</f>
        <v>Ed</v>
      </c>
      <c r="BL10" s="3">
        <f ca="1">INDEX('Points For'!$B$1:$R$14,MATCH(BK10,'Points For'!$B$1:$B$14,0),MATCH(BK$1,'Points For'!$B$1:$R$1,0))</f>
        <v>152.80000000000001</v>
      </c>
      <c r="BM10" s="3">
        <f ca="1">INDEX('Points For'!$B$1:$R$14,MATCH($B$16,'Points For'!$B$1:$B$14,0),MATCH(BK$1,'Points For'!$B$1:$R$1,0))</f>
        <v>138.30000000000001</v>
      </c>
      <c r="BN10" s="3" t="str">
        <f t="shared" ca="1" si="14"/>
        <v>L</v>
      </c>
      <c r="BO10" s="3" t="str">
        <f ca="1">VLOOKUP(INDEX(INDIRECT("'"&amp;BO$1&amp;"'!"&amp;"$A:$C"),MATCH('Schedule Optimizer'!$A10,INDIRECT("'"&amp;BO$1&amp;"'!"&amp;"A:A"),0),MATCH('Schedule Optimizer'!BO$2,INDIRECT("'"&amp;BO$1&amp;"'!"&amp;"$A$1:$C$1"))),$A$3:$B$14,2,FALSE)</f>
        <v>Nicole</v>
      </c>
      <c r="BP10" s="3">
        <f ca="1">INDEX('Points For'!$B$1:$R$14,MATCH(BO10,'Points For'!$B$1:$B$14,0),MATCH(BO$1,'Points For'!$B$1:$R$1,0))</f>
        <v>98.5</v>
      </c>
      <c r="BQ10" s="3">
        <f ca="1">INDEX('Points For'!$B$1:$R$14,MATCH($B$16,'Points For'!$B$1:$B$14,0),MATCH(BO$1,'Points For'!$B$1:$R$1,0))</f>
        <v>163.1</v>
      </c>
      <c r="BR10" s="3" t="str">
        <f t="shared" ca="1" si="15"/>
        <v>W</v>
      </c>
    </row>
    <row r="11" spans="1:70" ht="16.25" thickTop="1" thickBot="1" x14ac:dyDescent="0.9">
      <c r="A11" s="3" t="s">
        <v>21</v>
      </c>
      <c r="B11" s="3" t="s">
        <v>170</v>
      </c>
      <c r="C11" s="7">
        <f t="shared" ca="1" si="16"/>
        <v>2</v>
      </c>
      <c r="D11" s="7">
        <f t="shared" ca="1" si="17"/>
        <v>9</v>
      </c>
      <c r="E11" s="7">
        <f t="shared" ca="1" si="18"/>
        <v>2</v>
      </c>
      <c r="F11" s="7">
        <f t="shared" ca="1" si="19"/>
        <v>1</v>
      </c>
      <c r="G11" s="3" t="str">
        <f ca="1">VLOOKUP(INDEX(INDIRECT("'"&amp;G$1&amp;"'!"&amp;"$A:$C"),MATCH('Schedule Optimizer'!$A11,INDIRECT("'"&amp;G$1&amp;"'!"&amp;"A:A"),0),MATCH('Schedule Optimizer'!G$2,INDIRECT("'"&amp;G$1&amp;"'!"&amp;"$A$1:$C$1"))),$A$3:$B$14,2,FALSE)</f>
        <v>Nicole</v>
      </c>
      <c r="H11" s="3">
        <f ca="1">INDEX('Points For'!$B$1:$R$14,MATCH(G11,'Points For'!$B$1:$B$14,0),MATCH(G$1,'Points For'!$B$1:$R$1,0))</f>
        <v>93.6</v>
      </c>
      <c r="I11" s="3">
        <f ca="1">INDEX('Points For'!$B$1:$R$14,MATCH($B$16,'Points For'!$B$1:$B$14,0),MATCH(G$1,'Points For'!$B$1:$R$1,0))</f>
        <v>81</v>
      </c>
      <c r="J11" s="3" t="str">
        <f t="shared" ca="1" si="0"/>
        <v>L</v>
      </c>
      <c r="K11" s="3" t="str">
        <f ca="1">VLOOKUP(INDEX(INDIRECT("'"&amp;K$1&amp;"'!"&amp;"$A:$C"),MATCH('Schedule Optimizer'!$A11,INDIRECT("'"&amp;K$1&amp;"'!"&amp;"A:A"),0),MATCH('Schedule Optimizer'!K$2,INDIRECT("'"&amp;K$1&amp;"'!"&amp;"$A$1:$C$1"))),$A$3:$B$14,2,FALSE)</f>
        <v>Jake</v>
      </c>
      <c r="L11" s="3">
        <f ca="1">INDEX('Points For'!$B$1:$R$14,MATCH(K11,'Points For'!$B$1:$B$14,0),MATCH(K$1,'Points For'!$B$1:$R$1,0))</f>
        <v>96</v>
      </c>
      <c r="M11" s="3">
        <f ca="1">INDEX('Points For'!$B$1:$R$14,MATCH($B$16,'Points For'!$B$1:$B$14,0),MATCH(K$1,'Points For'!$B$1:$R$1,0))</f>
        <v>91.1</v>
      </c>
      <c r="N11" s="3" t="str">
        <f t="shared" ca="1" si="1"/>
        <v>L</v>
      </c>
      <c r="O11" s="3" t="str">
        <f ca="1">VLOOKUP(INDEX(INDIRECT("'"&amp;O$1&amp;"'!"&amp;"$A:$C"),MATCH('Schedule Optimizer'!$A11,INDIRECT("'"&amp;O$1&amp;"'!"&amp;"A:A"),0),MATCH('Schedule Optimizer'!O$2,INDIRECT("'"&amp;O$1&amp;"'!"&amp;"$A$1:$C$1"))),$A$3:$B$14,2,FALSE)</f>
        <v>Jesse</v>
      </c>
      <c r="P11" s="3">
        <f ca="1">INDEX('Points For'!$B$1:$R$14,MATCH(O11,'Points For'!$B$1:$B$14,0),MATCH(O$1,'Points For'!$B$1:$R$1,0))</f>
        <v>137.9</v>
      </c>
      <c r="Q11" s="3">
        <f ca="1">INDEX('Points For'!$B$1:$R$14,MATCH($B$16,'Points For'!$B$1:$B$14,0),MATCH(O$1,'Points For'!$B$1:$R$1,0))</f>
        <v>95.9</v>
      </c>
      <c r="R11" s="3" t="str">
        <f t="shared" ca="1" si="2"/>
        <v>L</v>
      </c>
      <c r="S11" s="3" t="str">
        <f ca="1">VLOOKUP(INDEX(INDIRECT("'"&amp;S$1&amp;"'!"&amp;"$A:$C"),MATCH('Schedule Optimizer'!$A11,INDIRECT("'"&amp;S$1&amp;"'!"&amp;"A:A"),0),MATCH('Schedule Optimizer'!S$2,INDIRECT("'"&amp;S$1&amp;"'!"&amp;"$A$1:$C$1"))),$A$3:$B$14,2,FALSE)</f>
        <v>Catina</v>
      </c>
      <c r="T11" s="3">
        <f ca="1">INDEX('Points For'!$B$1:$R$14,MATCH(S11,'Points For'!$B$1:$B$14,0),MATCH(S$1,'Points For'!$B$1:$R$1,0))</f>
        <v>86</v>
      </c>
      <c r="U11" s="3">
        <f ca="1">INDEX('Points For'!$B$1:$R$14,MATCH($B$16,'Points For'!$B$1:$B$14,0),MATCH(S$1,'Points For'!$B$1:$R$1,0))</f>
        <v>86</v>
      </c>
      <c r="V11" s="3" t="str">
        <f t="shared" ca="1" si="3"/>
        <v>N/A</v>
      </c>
      <c r="W11" s="3" t="str">
        <f ca="1">VLOOKUP(INDEX(INDIRECT("'"&amp;W$1&amp;"'!"&amp;"$A:$C"),MATCH('Schedule Optimizer'!$A11,INDIRECT("'"&amp;W$1&amp;"'!"&amp;"A:A"),0),MATCH('Schedule Optimizer'!W$2,INDIRECT("'"&amp;W$1&amp;"'!"&amp;"$A$1:$C$1"))),$A$3:$B$14,2,FALSE)</f>
        <v>Dave</v>
      </c>
      <c r="X11" s="3">
        <f ca="1">INDEX('Points For'!$B$1:$R$14,MATCH(W11,'Points For'!$B$1:$B$14,0),MATCH(W$1,'Points For'!$B$1:$R$1,0))</f>
        <v>70.900000000000006</v>
      </c>
      <c r="Y11" s="3">
        <f ca="1">INDEX('Points For'!$B$1:$R$14,MATCH($B$16,'Points For'!$B$1:$B$14,0),MATCH(W$1,'Points For'!$B$1:$R$1,0))</f>
        <v>65.5</v>
      </c>
      <c r="Z11" s="3" t="str">
        <f t="shared" ca="1" si="4"/>
        <v>L</v>
      </c>
      <c r="AA11" s="3" t="str">
        <f ca="1">VLOOKUP(INDEX(INDIRECT("'"&amp;AA$1&amp;"'!"&amp;"$A:$C"),MATCH('Schedule Optimizer'!$A11,INDIRECT("'"&amp;AA$1&amp;"'!"&amp;"A:A"),0),MATCH('Schedule Optimizer'!AA$2,INDIRECT("'"&amp;AA$1&amp;"'!"&amp;"$A$1:$C$1"))),$A$3:$B$14,2,FALSE)</f>
        <v>Binder</v>
      </c>
      <c r="AB11" s="3">
        <f ca="1">INDEX('Points For'!$B$1:$R$14,MATCH(AA11,'Points For'!$B$1:$B$14,0),MATCH(AA$1,'Points For'!$B$1:$R$1,0))</f>
        <v>112.6</v>
      </c>
      <c r="AC11" s="3">
        <f ca="1">INDEX('Points For'!$B$1:$R$14,MATCH($B$16,'Points For'!$B$1:$B$14,0),MATCH(AA$1,'Points For'!$B$1:$R$1,0))</f>
        <v>85.8</v>
      </c>
      <c r="AD11" s="3" t="str">
        <f t="shared" ca="1" si="5"/>
        <v>L</v>
      </c>
      <c r="AE11" s="3" t="str">
        <f ca="1">VLOOKUP(INDEX(INDIRECT("'"&amp;AE$1&amp;"'!"&amp;"$A:$C"),MATCH('Schedule Optimizer'!$A11,INDIRECT("'"&amp;AE$1&amp;"'!"&amp;"A:A"),0),MATCH('Schedule Optimizer'!AE$2,INDIRECT("'"&amp;AE$1&amp;"'!"&amp;"$A$1:$C$1"))),$A$3:$B$14,2,FALSE)</f>
        <v>Tres</v>
      </c>
      <c r="AF11" s="3">
        <f ca="1">INDEX('Points For'!$B$1:$R$14,MATCH(AE11,'Points For'!$B$1:$B$14,0),MATCH(AE$1,'Points For'!$B$1:$R$1,0))</f>
        <v>108.9</v>
      </c>
      <c r="AG11" s="3">
        <f ca="1">INDEX('Points For'!$B$1:$R$14,MATCH($B$16,'Points For'!$B$1:$B$14,0),MATCH(AE$1,'Points For'!$B$1:$R$1,0))</f>
        <v>91.3</v>
      </c>
      <c r="AH11" s="3" t="str">
        <f t="shared" ca="1" si="6"/>
        <v>L</v>
      </c>
      <c r="AI11" s="3" t="str">
        <f ca="1">VLOOKUP(INDEX(INDIRECT("'"&amp;AI$1&amp;"'!"&amp;"$A:$C"),MATCH('Schedule Optimizer'!$A11,INDIRECT("'"&amp;AI$1&amp;"'!"&amp;"A:A"),0),MATCH('Schedule Optimizer'!AI$2,INDIRECT("'"&amp;AI$1&amp;"'!"&amp;"$A$1:$C$1"))),$A$3:$B$14,2,FALSE)</f>
        <v>Sam</v>
      </c>
      <c r="AJ11" s="3">
        <f ca="1">INDEX('Points For'!$B$1:$R$14,MATCH(AI11,'Points For'!$B$1:$B$14,0),MATCH(AI$1,'Points For'!$B$1:$R$1,0))</f>
        <v>89.3</v>
      </c>
      <c r="AK11" s="3">
        <f ca="1">INDEX('Points For'!$B$1:$R$14,MATCH($B$16,'Points For'!$B$1:$B$14,0),MATCH(AI$1,'Points For'!$B$1:$R$1,0))</f>
        <v>82.8</v>
      </c>
      <c r="AL11" s="3" t="str">
        <f t="shared" ca="1" si="7"/>
        <v>L</v>
      </c>
      <c r="AM11" s="3" t="str">
        <f ca="1">VLOOKUP(INDEX(INDIRECT("'"&amp;AM$1&amp;"'!"&amp;"$A:$C"),MATCH('Schedule Optimizer'!$A11,INDIRECT("'"&amp;AM$1&amp;"'!"&amp;"A:A"),0),MATCH('Schedule Optimizer'!AM$2,INDIRECT("'"&amp;AM$1&amp;"'!"&amp;"$A$1:$C$1"))),$A$3:$B$14,2,FALSE)</f>
        <v>Cody</v>
      </c>
      <c r="AN11" s="3">
        <f ca="1">INDEX('Points For'!$B$1:$R$14,MATCH(AM11,'Points For'!$B$1:$B$14,0),MATCH(AM$1,'Points For'!$B$1:$R$1,0))</f>
        <v>84.7</v>
      </c>
      <c r="AO11" s="3">
        <f ca="1">INDEX('Points For'!$B$1:$R$14,MATCH($B$16,'Points For'!$B$1:$B$14,0),MATCH(AM$1,'Points For'!$B$1:$R$1,0))</f>
        <v>102.8</v>
      </c>
      <c r="AP11" s="3" t="str">
        <f t="shared" ca="1" si="8"/>
        <v>W</v>
      </c>
      <c r="AQ11" s="3" t="str">
        <f ca="1">VLOOKUP(INDEX(INDIRECT("'"&amp;AQ$1&amp;"'!"&amp;"$A:$C"),MATCH('Schedule Optimizer'!$A11,INDIRECT("'"&amp;AQ$1&amp;"'!"&amp;"A:A"),0),MATCH('Schedule Optimizer'!AQ$2,INDIRECT("'"&amp;AQ$1&amp;"'!"&amp;"$A$1:$C$1"))),$A$3:$B$14,2,FALSE)</f>
        <v>Ed</v>
      </c>
      <c r="AR11" s="3">
        <f ca="1">INDEX('Points For'!$B$1:$R$14,MATCH(AQ11,'Points For'!$B$1:$B$14,0),MATCH(AQ$1,'Points For'!$B$1:$R$1,0))</f>
        <v>79.8</v>
      </c>
      <c r="AS11" s="3">
        <f ca="1">INDEX('Points For'!$B$1:$R$14,MATCH($B$16,'Points For'!$B$1:$B$14,0),MATCH(AQ$1,'Points For'!$B$1:$R$1,0))</f>
        <v>65.599999999999994</v>
      </c>
      <c r="AT11" s="3" t="str">
        <f t="shared" ca="1" si="9"/>
        <v>L</v>
      </c>
      <c r="AU11" s="3" t="str">
        <f ca="1">VLOOKUP(INDEX(INDIRECT("'"&amp;AU$1&amp;"'!"&amp;"$A:$C"),MATCH('Schedule Optimizer'!$A11,INDIRECT("'"&amp;AU$1&amp;"'!"&amp;"A:A"),0),MATCH('Schedule Optimizer'!AU$2,INDIRECT("'"&amp;AU$1&amp;"'!"&amp;"$A$1:$C$1"))),$A$3:$B$14,2,FALSE)</f>
        <v>Sara</v>
      </c>
      <c r="AV11" s="3">
        <f ca="1">INDEX('Points For'!$B$1:$R$14,MATCH(AU11,'Points For'!$B$1:$B$14,0),MATCH(AU$1,'Points For'!$B$1:$R$1,0))</f>
        <v>105.2</v>
      </c>
      <c r="AW11" s="3">
        <f ca="1">INDEX('Points For'!$B$1:$R$14,MATCH($B$16,'Points For'!$B$1:$B$14,0),MATCH(AU$1,'Points For'!$B$1:$R$1,0))</f>
        <v>100.6</v>
      </c>
      <c r="AX11" s="3" t="str">
        <f t="shared" ca="1" si="10"/>
        <v>L</v>
      </c>
      <c r="AY11" s="3" t="str">
        <f ca="1">VLOOKUP(INDEX(INDIRECT("'"&amp;AY$1&amp;"'!"&amp;"$A:$C"),MATCH('Schedule Optimizer'!$A11,INDIRECT("'"&amp;AY$1&amp;"'!"&amp;"A:A"),0),MATCH('Schedule Optimizer'!AY$2,INDIRECT("'"&amp;AY$1&amp;"'!"&amp;"$A$1:$C$1"))),$A$3:$B$14,2,FALSE)</f>
        <v>Jesse</v>
      </c>
      <c r="AZ11" s="3">
        <f ca="1">INDEX('Points For'!$B$1:$R$14,MATCH(AY11,'Points For'!$B$1:$B$14,0),MATCH(AY$1,'Points For'!$B$1:$R$1,0))</f>
        <v>96.6</v>
      </c>
      <c r="BA11" s="3">
        <f ca="1">INDEX('Points For'!$B$1:$R$14,MATCH($B$16,'Points For'!$B$1:$B$14,0),MATCH(AY$1,'Points For'!$B$1:$R$1,0))</f>
        <v>121.6</v>
      </c>
      <c r="BB11" s="3" t="str">
        <f t="shared" ca="1" si="11"/>
        <v>W</v>
      </c>
      <c r="BC11" s="3" t="str">
        <f ca="1">VLOOKUP(INDEX(INDIRECT("'"&amp;BC$1&amp;"'!"&amp;"$A:$C"),MATCH('Schedule Optimizer'!$A11,INDIRECT("'"&amp;BC$1&amp;"'!"&amp;"A:A"),0),MATCH('Schedule Optimizer'!BC$2,INDIRECT("'"&amp;BC$1&amp;"'!"&amp;"$A$1:$C$1"))),$A$3:$B$14,2,FALSE)</f>
        <v>Catina</v>
      </c>
      <c r="BD11" s="3">
        <f ca="1">INDEX('Points For'!$B$1:$R$14,MATCH(BC11,'Points For'!$B$1:$B$14,0),MATCH(BC$1,'Points For'!$B$1:$R$1,0))</f>
        <v>79.400000000000006</v>
      </c>
      <c r="BE11" s="3">
        <f ca="1">INDEX('Points For'!$B$1:$R$14,MATCH($B$16,'Points For'!$B$1:$B$14,0),MATCH(BC$1,'Points For'!$B$1:$R$1,0))</f>
        <v>79.400000000000006</v>
      </c>
      <c r="BF11" s="3" t="str">
        <f t="shared" ca="1" si="12"/>
        <v>N/A</v>
      </c>
      <c r="BG11" s="3" t="str">
        <f ca="1">VLOOKUP(INDEX(INDIRECT("'"&amp;BG$1&amp;"'!"&amp;"$A:$C"),MATCH('Schedule Optimizer'!$A11,INDIRECT("'"&amp;BG$1&amp;"'!"&amp;"A:A"),0),MATCH('Schedule Optimizer'!BG$2,INDIRECT("'"&amp;BG$1&amp;"'!"&amp;"$A$1:$C$1"))),$A$3:$B$14,2,FALSE)</f>
        <v>Tres</v>
      </c>
      <c r="BH11" s="3">
        <f ca="1">INDEX('Points For'!$B$1:$R$14,MATCH(BG11,'Points For'!$B$1:$B$14,0),MATCH(BG$1,'Points For'!$B$1:$R$1,0))</f>
        <v>118.8</v>
      </c>
      <c r="BI11" s="3">
        <f ca="1">INDEX('Points For'!$B$1:$R$14,MATCH($B$16,'Points For'!$B$1:$B$14,0),MATCH(BG$1,'Points For'!$B$1:$R$1,0))</f>
        <v>102.6</v>
      </c>
      <c r="BJ11" s="3" t="str">
        <f t="shared" ca="1" si="13"/>
        <v>L</v>
      </c>
      <c r="BK11" s="3" t="str">
        <f ca="1">VLOOKUP(INDEX(INDIRECT("'"&amp;BK$1&amp;"'!"&amp;"$A:$C"),MATCH('Schedule Optimizer'!$A11,INDIRECT("'"&amp;BK$1&amp;"'!"&amp;"A:A"),0),MATCH('Schedule Optimizer'!BK$2,INDIRECT("'"&amp;BK$1&amp;"'!"&amp;"$A$1:$C$1"))),$A$3:$B$14,2,FALSE)</f>
        <v>Binder</v>
      </c>
      <c r="BL11" s="3">
        <f ca="1">INDEX('Points For'!$B$1:$R$14,MATCH(BK11,'Points For'!$B$1:$B$14,0),MATCH(BK$1,'Points For'!$B$1:$R$1,0))</f>
        <v>73.900000000000006</v>
      </c>
      <c r="BM11" s="3">
        <f ca="1">INDEX('Points For'!$B$1:$R$14,MATCH($B$16,'Points For'!$B$1:$B$14,0),MATCH(BK$1,'Points For'!$B$1:$R$1,0))</f>
        <v>138.30000000000001</v>
      </c>
      <c r="BN11" s="3" t="str">
        <f t="shared" ca="1" si="14"/>
        <v>W</v>
      </c>
      <c r="BO11" s="3" t="str">
        <f ca="1">VLOOKUP(INDEX(INDIRECT("'"&amp;BO$1&amp;"'!"&amp;"$A:$C"),MATCH('Schedule Optimizer'!$A11,INDIRECT("'"&amp;BO$1&amp;"'!"&amp;"A:A"),0),MATCH('Schedule Optimizer'!BO$2,INDIRECT("'"&amp;BO$1&amp;"'!"&amp;"$A$1:$C$1"))),$A$3:$B$14,2,FALSE)</f>
        <v>Sara</v>
      </c>
      <c r="BP11" s="3">
        <f ca="1">INDEX('Points For'!$B$1:$R$14,MATCH(BO11,'Points For'!$B$1:$B$14,0),MATCH(BO$1,'Points For'!$B$1:$R$1,0))</f>
        <v>107.3</v>
      </c>
      <c r="BQ11" s="3">
        <f ca="1">INDEX('Points For'!$B$1:$R$14,MATCH($B$16,'Points For'!$B$1:$B$14,0),MATCH(BO$1,'Points For'!$B$1:$R$1,0))</f>
        <v>163.1</v>
      </c>
      <c r="BR11" s="3" t="str">
        <f t="shared" ca="1" si="15"/>
        <v>W</v>
      </c>
    </row>
    <row r="12" spans="1:70" ht="16.25" thickTop="1" thickBot="1" x14ac:dyDescent="0.9">
      <c r="A12" s="3" t="s">
        <v>23</v>
      </c>
      <c r="B12" s="3" t="s">
        <v>171</v>
      </c>
      <c r="C12" s="7">
        <f t="shared" ca="1" si="16"/>
        <v>5</v>
      </c>
      <c r="D12" s="7">
        <f t="shared" ca="1" si="17"/>
        <v>7</v>
      </c>
      <c r="E12" s="7">
        <f t="shared" ca="1" si="18"/>
        <v>2</v>
      </c>
      <c r="F12" s="7">
        <f t="shared" ca="1" si="19"/>
        <v>0</v>
      </c>
      <c r="G12" s="3" t="str">
        <f ca="1">VLOOKUP(INDEX(INDIRECT("'"&amp;G$1&amp;"'!"&amp;"$A:$C"),MATCH('Schedule Optimizer'!$A12,INDIRECT("'"&amp;G$1&amp;"'!"&amp;"A:A"),0),MATCH('Schedule Optimizer'!G$2,INDIRECT("'"&amp;G$1&amp;"'!"&amp;"$A$1:$C$1"))),$A$3:$B$14,2,FALSE)</f>
        <v>Steve</v>
      </c>
      <c r="H12" s="3">
        <f ca="1">INDEX('Points For'!$B$1:$R$14,MATCH(G12,'Points For'!$B$1:$B$14,0),MATCH(G$1,'Points For'!$B$1:$R$1,0))</f>
        <v>90.8</v>
      </c>
      <c r="I12" s="3">
        <f ca="1">INDEX('Points For'!$B$1:$R$14,MATCH($B$16,'Points For'!$B$1:$B$14,0),MATCH(G$1,'Points For'!$B$1:$R$1,0))</f>
        <v>81</v>
      </c>
      <c r="J12" s="3" t="str">
        <f t="shared" ca="1" si="0"/>
        <v>L</v>
      </c>
      <c r="K12" s="3" t="str">
        <f ca="1">VLOOKUP(INDEX(INDIRECT("'"&amp;K$1&amp;"'!"&amp;"$A:$C"),MATCH('Schedule Optimizer'!$A12,INDIRECT("'"&amp;K$1&amp;"'!"&amp;"A:A"),0),MATCH('Schedule Optimizer'!K$2,INDIRECT("'"&amp;K$1&amp;"'!"&amp;"$A$1:$C$1"))),$A$3:$B$14,2,FALSE)</f>
        <v>Binder</v>
      </c>
      <c r="L12" s="3">
        <f ca="1">INDEX('Points For'!$B$1:$R$14,MATCH(K12,'Points For'!$B$1:$B$14,0),MATCH(K$1,'Points For'!$B$1:$R$1,0))</f>
        <v>112</v>
      </c>
      <c r="M12" s="3">
        <f ca="1">INDEX('Points For'!$B$1:$R$14,MATCH($B$16,'Points For'!$B$1:$B$14,0),MATCH(K$1,'Points For'!$B$1:$R$1,0))</f>
        <v>91.1</v>
      </c>
      <c r="N12" s="3" t="str">
        <f t="shared" ca="1" si="1"/>
        <v>L</v>
      </c>
      <c r="O12" s="3" t="str">
        <f ca="1">VLOOKUP(INDEX(INDIRECT("'"&amp;O$1&amp;"'!"&amp;"$A:$C"),MATCH('Schedule Optimizer'!$A12,INDIRECT("'"&amp;O$1&amp;"'!"&amp;"A:A"),0),MATCH('Schedule Optimizer'!O$2,INDIRECT("'"&amp;O$1&amp;"'!"&amp;"$A$1:$C$1"))),$A$3:$B$14,2,FALSE)</f>
        <v>Sara</v>
      </c>
      <c r="P12" s="3">
        <f ca="1">INDEX('Points For'!$B$1:$R$14,MATCH(O12,'Points For'!$B$1:$B$14,0),MATCH(O$1,'Points For'!$B$1:$R$1,0))</f>
        <v>71.599999999999994</v>
      </c>
      <c r="Q12" s="3">
        <f ca="1">INDEX('Points For'!$B$1:$R$14,MATCH($B$16,'Points For'!$B$1:$B$14,0),MATCH(O$1,'Points For'!$B$1:$R$1,0))</f>
        <v>95.9</v>
      </c>
      <c r="R12" s="3" t="str">
        <f t="shared" ca="1" si="2"/>
        <v>W</v>
      </c>
      <c r="S12" s="3" t="str">
        <f ca="1">VLOOKUP(INDEX(INDIRECT("'"&amp;S$1&amp;"'!"&amp;"$A:$C"),MATCH('Schedule Optimizer'!$A12,INDIRECT("'"&amp;S$1&amp;"'!"&amp;"A:A"),0),MATCH('Schedule Optimizer'!S$2,INDIRECT("'"&amp;S$1&amp;"'!"&amp;"$A$1:$C$1"))),$A$3:$B$14,2,FALSE)</f>
        <v>Jake</v>
      </c>
      <c r="T12" s="3">
        <f ca="1">INDEX('Points For'!$B$1:$R$14,MATCH(S12,'Points For'!$B$1:$B$14,0),MATCH(S$1,'Points For'!$B$1:$R$1,0))</f>
        <v>59.9</v>
      </c>
      <c r="U12" s="3">
        <f ca="1">INDEX('Points For'!$B$1:$R$14,MATCH($B$16,'Points For'!$B$1:$B$14,0),MATCH(S$1,'Points For'!$B$1:$R$1,0))</f>
        <v>86</v>
      </c>
      <c r="V12" s="3" t="str">
        <f t="shared" ca="1" si="3"/>
        <v>W</v>
      </c>
      <c r="W12" s="3" t="str">
        <f ca="1">VLOOKUP(INDEX(INDIRECT("'"&amp;W$1&amp;"'!"&amp;"$A:$C"),MATCH('Schedule Optimizer'!$A12,INDIRECT("'"&amp;W$1&amp;"'!"&amp;"A:A"),0),MATCH('Schedule Optimizer'!W$2,INDIRECT("'"&amp;W$1&amp;"'!"&amp;"$A$1:$C$1"))),$A$3:$B$14,2,FALSE)</f>
        <v>Catina</v>
      </c>
      <c r="X12" s="3">
        <f ca="1">INDEX('Points For'!$B$1:$R$14,MATCH(W12,'Points For'!$B$1:$B$14,0),MATCH(W$1,'Points For'!$B$1:$R$1,0))</f>
        <v>65.5</v>
      </c>
      <c r="Y12" s="3">
        <f ca="1">INDEX('Points For'!$B$1:$R$14,MATCH($B$16,'Points For'!$B$1:$B$14,0),MATCH(W$1,'Points For'!$B$1:$R$1,0))</f>
        <v>65.5</v>
      </c>
      <c r="Z12" s="3" t="str">
        <f t="shared" ca="1" si="4"/>
        <v>N/A</v>
      </c>
      <c r="AA12" s="3" t="str">
        <f ca="1">VLOOKUP(INDEX(INDIRECT("'"&amp;AA$1&amp;"'!"&amp;"$A:$C"),MATCH('Schedule Optimizer'!$A12,INDIRECT("'"&amp;AA$1&amp;"'!"&amp;"A:A"),0),MATCH('Schedule Optimizer'!AA$2,INDIRECT("'"&amp;AA$1&amp;"'!"&amp;"$A$1:$C$1"))),$A$3:$B$14,2,FALSE)</f>
        <v>Jesse</v>
      </c>
      <c r="AB12" s="3">
        <f ca="1">INDEX('Points For'!$B$1:$R$14,MATCH(AA12,'Points For'!$B$1:$B$14,0),MATCH(AA$1,'Points For'!$B$1:$R$1,0))</f>
        <v>101.6</v>
      </c>
      <c r="AC12" s="3">
        <f ca="1">INDEX('Points For'!$B$1:$R$14,MATCH($B$16,'Points For'!$B$1:$B$14,0),MATCH(AA$1,'Points For'!$B$1:$R$1,0))</f>
        <v>85.8</v>
      </c>
      <c r="AD12" s="3" t="str">
        <f t="shared" ca="1" si="5"/>
        <v>L</v>
      </c>
      <c r="AE12" s="3" t="str">
        <f ca="1">VLOOKUP(INDEX(INDIRECT("'"&amp;AE$1&amp;"'!"&amp;"$A:$C"),MATCH('Schedule Optimizer'!$A12,INDIRECT("'"&amp;AE$1&amp;"'!"&amp;"A:A"),0),MATCH('Schedule Optimizer'!AE$2,INDIRECT("'"&amp;AE$1&amp;"'!"&amp;"$A$1:$C$1"))),$A$3:$B$14,2,FALSE)</f>
        <v>Cody</v>
      </c>
      <c r="AF12" s="3">
        <f ca="1">INDEX('Points For'!$B$1:$R$14,MATCH(AE12,'Points For'!$B$1:$B$14,0),MATCH(AE$1,'Points For'!$B$1:$R$1,0))</f>
        <v>141.1</v>
      </c>
      <c r="AG12" s="3">
        <f ca="1">INDEX('Points For'!$B$1:$R$14,MATCH($B$16,'Points For'!$B$1:$B$14,0),MATCH(AE$1,'Points For'!$B$1:$R$1,0))</f>
        <v>91.3</v>
      </c>
      <c r="AH12" s="3" t="str">
        <f t="shared" ca="1" si="6"/>
        <v>L</v>
      </c>
      <c r="AI12" s="3" t="str">
        <f ca="1">VLOOKUP(INDEX(INDIRECT("'"&amp;AI$1&amp;"'!"&amp;"$A:$C"),MATCH('Schedule Optimizer'!$A12,INDIRECT("'"&amp;AI$1&amp;"'!"&amp;"A:A"),0),MATCH('Schedule Optimizer'!AI$2,INDIRECT("'"&amp;AI$1&amp;"'!"&amp;"$A$1:$C$1"))),$A$3:$B$14,2,FALSE)</f>
        <v>Tres</v>
      </c>
      <c r="AJ12" s="3">
        <f ca="1">INDEX('Points For'!$B$1:$R$14,MATCH(AI12,'Points For'!$B$1:$B$14,0),MATCH(AI$1,'Points For'!$B$1:$R$1,0))</f>
        <v>59.7</v>
      </c>
      <c r="AK12" s="3">
        <f ca="1">INDEX('Points For'!$B$1:$R$14,MATCH($B$16,'Points For'!$B$1:$B$14,0),MATCH(AI$1,'Points For'!$B$1:$R$1,0))</f>
        <v>82.8</v>
      </c>
      <c r="AL12" s="3" t="str">
        <f t="shared" ca="1" si="7"/>
        <v>W</v>
      </c>
      <c r="AM12" s="3" t="str">
        <f ca="1">VLOOKUP(INDEX(INDIRECT("'"&amp;AM$1&amp;"'!"&amp;"$A:$C"),MATCH('Schedule Optimizer'!$A12,INDIRECT("'"&amp;AM$1&amp;"'!"&amp;"A:A"),0),MATCH('Schedule Optimizer'!AM$2,INDIRECT("'"&amp;AM$1&amp;"'!"&amp;"$A$1:$C$1"))),$A$3:$B$14,2,FALSE)</f>
        <v>Sam</v>
      </c>
      <c r="AN12" s="3">
        <f ca="1">INDEX('Points For'!$B$1:$R$14,MATCH(AM12,'Points For'!$B$1:$B$14,0),MATCH(AM$1,'Points For'!$B$1:$R$1,0))</f>
        <v>85.5</v>
      </c>
      <c r="AO12" s="3">
        <f ca="1">INDEX('Points For'!$B$1:$R$14,MATCH($B$16,'Points For'!$B$1:$B$14,0),MATCH(AM$1,'Points For'!$B$1:$R$1,0))</f>
        <v>102.8</v>
      </c>
      <c r="AP12" s="3" t="str">
        <f t="shared" ca="1" si="8"/>
        <v>W</v>
      </c>
      <c r="AQ12" s="3" t="str">
        <f ca="1">VLOOKUP(INDEX(INDIRECT("'"&amp;AQ$1&amp;"'!"&amp;"$A:$C"),MATCH('Schedule Optimizer'!$A12,INDIRECT("'"&amp;AQ$1&amp;"'!"&amp;"A:A"),0),MATCH('Schedule Optimizer'!AQ$2,INDIRECT("'"&amp;AQ$1&amp;"'!"&amp;"$A$1:$C$1"))),$A$3:$B$14,2,FALSE)</f>
        <v>Dave</v>
      </c>
      <c r="AR12" s="3">
        <f ca="1">INDEX('Points For'!$B$1:$R$14,MATCH(AQ12,'Points For'!$B$1:$B$14,0),MATCH(AQ$1,'Points For'!$B$1:$R$1,0))</f>
        <v>83.6</v>
      </c>
      <c r="AS12" s="3">
        <f ca="1">INDEX('Points For'!$B$1:$R$14,MATCH($B$16,'Points For'!$B$1:$B$14,0),MATCH(AQ$1,'Points For'!$B$1:$R$1,0))</f>
        <v>65.599999999999994</v>
      </c>
      <c r="AT12" s="3" t="str">
        <f t="shared" ca="1" si="9"/>
        <v>L</v>
      </c>
      <c r="AU12" s="3" t="str">
        <f ca="1">VLOOKUP(INDEX(INDIRECT("'"&amp;AU$1&amp;"'!"&amp;"$A:$C"),MATCH('Schedule Optimizer'!$A12,INDIRECT("'"&amp;AU$1&amp;"'!"&amp;"A:A"),0),MATCH('Schedule Optimizer'!AU$2,INDIRECT("'"&amp;AU$1&amp;"'!"&amp;"$A$1:$C$1"))),$A$3:$B$14,2,FALSE)</f>
        <v>Ed</v>
      </c>
      <c r="AV12" s="3">
        <f ca="1">INDEX('Points For'!$B$1:$R$14,MATCH(AU12,'Points For'!$B$1:$B$14,0),MATCH(AU$1,'Points For'!$B$1:$R$1,0))</f>
        <v>119.8</v>
      </c>
      <c r="AW12" s="3">
        <f ca="1">INDEX('Points For'!$B$1:$R$14,MATCH($B$16,'Points For'!$B$1:$B$14,0),MATCH(AU$1,'Points For'!$B$1:$R$1,0))</f>
        <v>100.6</v>
      </c>
      <c r="AX12" s="3" t="str">
        <f t="shared" ca="1" si="10"/>
        <v>L</v>
      </c>
      <c r="AY12" s="3" t="str">
        <f ca="1">VLOOKUP(INDEX(INDIRECT("'"&amp;AY$1&amp;"'!"&amp;"$A:$C"),MATCH('Schedule Optimizer'!$A12,INDIRECT("'"&amp;AY$1&amp;"'!"&amp;"A:A"),0),MATCH('Schedule Optimizer'!AY$2,INDIRECT("'"&amp;AY$1&amp;"'!"&amp;"$A$1:$C$1"))),$A$3:$B$14,2,FALSE)</f>
        <v>Sara</v>
      </c>
      <c r="AZ12" s="3">
        <f ca="1">INDEX('Points For'!$B$1:$R$14,MATCH(AY12,'Points For'!$B$1:$B$14,0),MATCH(AY$1,'Points For'!$B$1:$R$1,0))</f>
        <v>64.400000000000006</v>
      </c>
      <c r="BA12" s="3">
        <f ca="1">INDEX('Points For'!$B$1:$R$14,MATCH($B$16,'Points For'!$B$1:$B$14,0),MATCH(AY$1,'Points For'!$B$1:$R$1,0))</f>
        <v>121.6</v>
      </c>
      <c r="BB12" s="3" t="str">
        <f t="shared" ca="1" si="11"/>
        <v>W</v>
      </c>
      <c r="BC12" s="3" t="str">
        <f ca="1">VLOOKUP(INDEX(INDIRECT("'"&amp;BC$1&amp;"'!"&amp;"$A:$C"),MATCH('Schedule Optimizer'!$A12,INDIRECT("'"&amp;BC$1&amp;"'!"&amp;"A:A"),0),MATCH('Schedule Optimizer'!BC$2,INDIRECT("'"&amp;BC$1&amp;"'!"&amp;"$A$1:$C$1"))),$A$3:$B$14,2,FALSE)</f>
        <v>Jake</v>
      </c>
      <c r="BD12" s="3">
        <f ca="1">INDEX('Points For'!$B$1:$R$14,MATCH(BC12,'Points For'!$B$1:$B$14,0),MATCH(BC$1,'Points For'!$B$1:$R$1,0))</f>
        <v>96.4</v>
      </c>
      <c r="BE12" s="3">
        <f ca="1">INDEX('Points For'!$B$1:$R$14,MATCH($B$16,'Points For'!$B$1:$B$14,0),MATCH(BC$1,'Points For'!$B$1:$R$1,0))</f>
        <v>79.400000000000006</v>
      </c>
      <c r="BF12" s="3" t="str">
        <f t="shared" ca="1" si="12"/>
        <v>L</v>
      </c>
      <c r="BG12" s="3" t="e">
        <f ca="1">VLOOKUP(INDEX(INDIRECT("'"&amp;BG$1&amp;"'!"&amp;"$A:$C"),MATCH('Schedule Optimizer'!$A12,INDIRECT("'"&amp;BG$1&amp;"'!"&amp;"A:A"),0),MATCH('Schedule Optimizer'!BG$2,INDIRECT("'"&amp;BG$1&amp;"'!"&amp;"$A$1:$C$1"))),$A$3:$B$14,2,FALSE)</f>
        <v>#N/A</v>
      </c>
      <c r="BH12" s="3" t="e">
        <f ca="1">INDEX('Points For'!$B$1:$R$14,MATCH(BG12,'Points For'!$B$1:$B$14,0),MATCH(BG$1,'Points For'!$B$1:$R$1,0))</f>
        <v>#N/A</v>
      </c>
      <c r="BI12" s="3">
        <f ca="1">INDEX('Points For'!$B$1:$R$14,MATCH($B$16,'Points For'!$B$1:$B$14,0),MATCH(BG$1,'Points For'!$B$1:$R$1,0))</f>
        <v>102.6</v>
      </c>
      <c r="BJ12" s="3" t="e">
        <f t="shared" ca="1" si="13"/>
        <v>#N/A</v>
      </c>
      <c r="BK12" s="3" t="str">
        <f ca="1">VLOOKUP(INDEX(INDIRECT("'"&amp;BK$1&amp;"'!"&amp;"$A:$C"),MATCH('Schedule Optimizer'!$A12,INDIRECT("'"&amp;BK$1&amp;"'!"&amp;"A:A"),0),MATCH('Schedule Optimizer'!BK$2,INDIRECT("'"&amp;BK$1&amp;"'!"&amp;"$A$1:$C$1"))),$A$3:$B$14,2,FALSE)</f>
        <v>Jake</v>
      </c>
      <c r="BL12" s="3">
        <f ca="1">INDEX('Points For'!$B$1:$R$14,MATCH(BK12,'Points For'!$B$1:$B$14,0),MATCH(BK$1,'Points For'!$B$1:$R$1,0))</f>
        <v>94</v>
      </c>
      <c r="BM12" s="3">
        <f ca="1">INDEX('Points For'!$B$1:$R$14,MATCH($B$16,'Points For'!$B$1:$B$14,0),MATCH(BK$1,'Points For'!$B$1:$R$1,0))</f>
        <v>138.30000000000001</v>
      </c>
      <c r="BN12" s="3" t="str">
        <f t="shared" ca="1" si="14"/>
        <v>W</v>
      </c>
      <c r="BO12" s="3" t="str">
        <f ca="1">VLOOKUP(INDEX(INDIRECT("'"&amp;BO$1&amp;"'!"&amp;"$A:$C"),MATCH('Schedule Optimizer'!$A12,INDIRECT("'"&amp;BO$1&amp;"'!"&amp;"A:A"),0),MATCH('Schedule Optimizer'!BO$2,INDIRECT("'"&amp;BO$1&amp;"'!"&amp;"$A$1:$C$1"))),$A$3:$B$14,2,FALSE)</f>
        <v>Jesse</v>
      </c>
      <c r="BP12" s="3">
        <f ca="1">INDEX('Points For'!$B$1:$R$14,MATCH(BO12,'Points For'!$B$1:$B$14,0),MATCH(BO$1,'Points For'!$B$1:$R$1,0))</f>
        <v>86.9</v>
      </c>
      <c r="BQ12" s="3">
        <f ca="1">INDEX('Points For'!$B$1:$R$14,MATCH($B$16,'Points For'!$B$1:$B$14,0),MATCH(BO$1,'Points For'!$B$1:$R$1,0))</f>
        <v>163.1</v>
      </c>
      <c r="BR12" s="3" t="str">
        <f t="shared" ca="1" si="15"/>
        <v>W</v>
      </c>
    </row>
    <row r="13" spans="1:70" ht="16.25" thickTop="1" thickBot="1" x14ac:dyDescent="0.9">
      <c r="A13" s="3" t="s">
        <v>26</v>
      </c>
      <c r="B13" s="3" t="s">
        <v>172</v>
      </c>
      <c r="C13" s="7">
        <f t="shared" ca="1" si="16"/>
        <v>5</v>
      </c>
      <c r="D13" s="7">
        <f t="shared" ca="1" si="17"/>
        <v>7</v>
      </c>
      <c r="E13" s="7">
        <f t="shared" ca="1" si="18"/>
        <v>2</v>
      </c>
      <c r="F13" s="7">
        <f t="shared" ca="1" si="19"/>
        <v>0</v>
      </c>
      <c r="G13" s="3" t="str">
        <f ca="1">VLOOKUP(INDEX(INDIRECT("'"&amp;G$1&amp;"'!"&amp;"$A:$C"),MATCH('Schedule Optimizer'!$A13,INDIRECT("'"&amp;G$1&amp;"'!"&amp;"A:A"),0),MATCH('Schedule Optimizer'!G$2,INDIRECT("'"&amp;G$1&amp;"'!"&amp;"$A$1:$C$1"))),$A$3:$B$14,2,FALSE)</f>
        <v>Binder</v>
      </c>
      <c r="H13" s="3">
        <f ca="1">INDEX('Points For'!$B$1:$R$14,MATCH(G13,'Points For'!$B$1:$B$14,0),MATCH(G$1,'Points For'!$B$1:$R$1,0))</f>
        <v>83.3</v>
      </c>
      <c r="I13" s="3">
        <f ca="1">INDEX('Points For'!$B$1:$R$14,MATCH($B$16,'Points For'!$B$1:$B$14,0),MATCH(G$1,'Points For'!$B$1:$R$1,0))</f>
        <v>81</v>
      </c>
      <c r="J13" s="3" t="str">
        <f t="shared" ca="1" si="0"/>
        <v>L</v>
      </c>
      <c r="K13" s="3" t="str">
        <f ca="1">VLOOKUP(INDEX(INDIRECT("'"&amp;K$1&amp;"'!"&amp;"$A:$C"),MATCH('Schedule Optimizer'!$A13,INDIRECT("'"&amp;K$1&amp;"'!"&amp;"A:A"),0),MATCH('Schedule Optimizer'!K$2,INDIRECT("'"&amp;K$1&amp;"'!"&amp;"$A$1:$C$1"))),$A$3:$B$14,2,FALSE)</f>
        <v>Jesse</v>
      </c>
      <c r="L13" s="3">
        <f ca="1">INDEX('Points For'!$B$1:$R$14,MATCH(K13,'Points For'!$B$1:$B$14,0),MATCH(K$1,'Points For'!$B$1:$R$1,0))</f>
        <v>92.2</v>
      </c>
      <c r="M13" s="3">
        <f ca="1">INDEX('Points For'!$B$1:$R$14,MATCH($B$16,'Points For'!$B$1:$B$14,0),MATCH(K$1,'Points For'!$B$1:$R$1,0))</f>
        <v>91.1</v>
      </c>
      <c r="N13" s="3" t="str">
        <f t="shared" ca="1" si="1"/>
        <v>L</v>
      </c>
      <c r="O13" s="3" t="str">
        <f ca="1">VLOOKUP(INDEX(INDIRECT("'"&amp;O$1&amp;"'!"&amp;"$A:$C"),MATCH('Schedule Optimizer'!$A13,INDIRECT("'"&amp;O$1&amp;"'!"&amp;"A:A"),0),MATCH('Schedule Optimizer'!O$2,INDIRECT("'"&amp;O$1&amp;"'!"&amp;"$A$1:$C$1"))),$A$3:$B$14,2,FALSE)</f>
        <v>Dave</v>
      </c>
      <c r="P13" s="3">
        <f ca="1">INDEX('Points For'!$B$1:$R$14,MATCH(O13,'Points For'!$B$1:$B$14,0),MATCH(O$1,'Points For'!$B$1:$R$1,0))</f>
        <v>129.80000000000001</v>
      </c>
      <c r="Q13" s="3">
        <f ca="1">INDEX('Points For'!$B$1:$R$14,MATCH($B$16,'Points For'!$B$1:$B$14,0),MATCH(O$1,'Points For'!$B$1:$R$1,0))</f>
        <v>95.9</v>
      </c>
      <c r="R13" s="3" t="str">
        <f t="shared" ca="1" si="2"/>
        <v>L</v>
      </c>
      <c r="S13" s="3" t="str">
        <f ca="1">VLOOKUP(INDEX(INDIRECT("'"&amp;S$1&amp;"'!"&amp;"$A:$C"),MATCH('Schedule Optimizer'!$A13,INDIRECT("'"&amp;S$1&amp;"'!"&amp;"A:A"),0),MATCH('Schedule Optimizer'!S$2,INDIRECT("'"&amp;S$1&amp;"'!"&amp;"$A$1:$C$1"))),$A$3:$B$14,2,FALSE)</f>
        <v>Cody</v>
      </c>
      <c r="T13" s="3">
        <f ca="1">INDEX('Points For'!$B$1:$R$14,MATCH(S13,'Points For'!$B$1:$B$14,0),MATCH(S$1,'Points For'!$B$1:$R$1,0))</f>
        <v>127</v>
      </c>
      <c r="U13" s="3">
        <f ca="1">INDEX('Points For'!$B$1:$R$14,MATCH($B$16,'Points For'!$B$1:$B$14,0),MATCH(S$1,'Points For'!$B$1:$R$1,0))</f>
        <v>86</v>
      </c>
      <c r="V13" s="3" t="str">
        <f t="shared" ca="1" si="3"/>
        <v>L</v>
      </c>
      <c r="W13" s="3" t="str">
        <f ca="1">VLOOKUP(INDEX(INDIRECT("'"&amp;W$1&amp;"'!"&amp;"$A:$C"),MATCH('Schedule Optimizer'!$A13,INDIRECT("'"&amp;W$1&amp;"'!"&amp;"A:A"),0),MATCH('Schedule Optimizer'!W$2,INDIRECT("'"&amp;W$1&amp;"'!"&amp;"$A$1:$C$1"))),$A$3:$B$14,2,FALSE)</f>
        <v>Sam</v>
      </c>
      <c r="X13" s="3">
        <f ca="1">INDEX('Points For'!$B$1:$R$14,MATCH(W13,'Points For'!$B$1:$B$14,0),MATCH(W$1,'Points For'!$B$1:$R$1,0))</f>
        <v>63.7</v>
      </c>
      <c r="Y13" s="3">
        <f ca="1">INDEX('Points For'!$B$1:$R$14,MATCH($B$16,'Points For'!$B$1:$B$14,0),MATCH(W$1,'Points For'!$B$1:$R$1,0))</f>
        <v>65.5</v>
      </c>
      <c r="Z13" s="3" t="str">
        <f t="shared" ca="1" si="4"/>
        <v>W</v>
      </c>
      <c r="AA13" s="3" t="str">
        <f ca="1">VLOOKUP(INDEX(INDIRECT("'"&amp;AA$1&amp;"'!"&amp;"$A:$C"),MATCH('Schedule Optimizer'!$A13,INDIRECT("'"&amp;AA$1&amp;"'!"&amp;"A:A"),0),MATCH('Schedule Optimizer'!AA$2,INDIRECT("'"&amp;AA$1&amp;"'!"&amp;"$A$1:$C$1"))),$A$3:$B$14,2,FALSE)</f>
        <v>Tres</v>
      </c>
      <c r="AB13" s="3">
        <f ca="1">INDEX('Points For'!$B$1:$R$14,MATCH(AA13,'Points For'!$B$1:$B$14,0),MATCH(AA$1,'Points For'!$B$1:$R$1,0))</f>
        <v>57</v>
      </c>
      <c r="AC13" s="3">
        <f ca="1">INDEX('Points For'!$B$1:$R$14,MATCH($B$16,'Points For'!$B$1:$B$14,0),MATCH(AA$1,'Points For'!$B$1:$R$1,0))</f>
        <v>85.8</v>
      </c>
      <c r="AD13" s="3" t="str">
        <f t="shared" ca="1" si="5"/>
        <v>W</v>
      </c>
      <c r="AE13" s="3" t="str">
        <f ca="1">VLOOKUP(INDEX(INDIRECT("'"&amp;AE$1&amp;"'!"&amp;"$A:$C"),MATCH('Schedule Optimizer'!$A13,INDIRECT("'"&amp;AE$1&amp;"'!"&amp;"A:A"),0),MATCH('Schedule Optimizer'!AE$2,INDIRECT("'"&amp;AE$1&amp;"'!"&amp;"$A$1:$C$1"))),$A$3:$B$14,2,FALSE)</f>
        <v>Jake</v>
      </c>
      <c r="AF13" s="3">
        <f ca="1">INDEX('Points For'!$B$1:$R$14,MATCH(AE13,'Points For'!$B$1:$B$14,0),MATCH(AE$1,'Points For'!$B$1:$R$1,0))</f>
        <v>88.5</v>
      </c>
      <c r="AG13" s="3">
        <f ca="1">INDEX('Points For'!$B$1:$R$14,MATCH($B$16,'Points For'!$B$1:$B$14,0),MATCH(AE$1,'Points For'!$B$1:$R$1,0))</f>
        <v>91.3</v>
      </c>
      <c r="AH13" s="3" t="str">
        <f t="shared" ca="1" si="6"/>
        <v>W</v>
      </c>
      <c r="AI13" s="3" t="str">
        <f ca="1">VLOOKUP(INDEX(INDIRECT("'"&amp;AI$1&amp;"'!"&amp;"$A:$C"),MATCH('Schedule Optimizer'!$A13,INDIRECT("'"&amp;AI$1&amp;"'!"&amp;"A:A"),0),MATCH('Schedule Optimizer'!AI$2,INDIRECT("'"&amp;AI$1&amp;"'!"&amp;"$A$1:$C$1"))),$A$3:$B$14,2,FALSE)</f>
        <v>Sara</v>
      </c>
      <c r="AJ13" s="3">
        <f ca="1">INDEX('Points For'!$B$1:$R$14,MATCH(AI13,'Points For'!$B$1:$B$14,0),MATCH(AI$1,'Points For'!$B$1:$R$1,0))</f>
        <v>111.4</v>
      </c>
      <c r="AK13" s="3">
        <f ca="1">INDEX('Points For'!$B$1:$R$14,MATCH($B$16,'Points For'!$B$1:$B$14,0),MATCH(AI$1,'Points For'!$B$1:$R$1,0))</f>
        <v>82.8</v>
      </c>
      <c r="AL13" s="3" t="str">
        <f t="shared" ca="1" si="7"/>
        <v>L</v>
      </c>
      <c r="AM13" s="3" t="str">
        <f ca="1">VLOOKUP(INDEX(INDIRECT("'"&amp;AM$1&amp;"'!"&amp;"$A:$C"),MATCH('Schedule Optimizer'!$A13,INDIRECT("'"&amp;AM$1&amp;"'!"&amp;"A:A"),0),MATCH('Schedule Optimizer'!AM$2,INDIRECT("'"&amp;AM$1&amp;"'!"&amp;"$A$1:$C$1"))),$A$3:$B$14,2,FALSE)</f>
        <v>Catina</v>
      </c>
      <c r="AN13" s="3">
        <f ca="1">INDEX('Points For'!$B$1:$R$14,MATCH(AM13,'Points For'!$B$1:$B$14,0),MATCH(AM$1,'Points For'!$B$1:$R$1,0))</f>
        <v>102.8</v>
      </c>
      <c r="AO13" s="3">
        <f ca="1">INDEX('Points For'!$B$1:$R$14,MATCH($B$16,'Points For'!$B$1:$B$14,0),MATCH(AM$1,'Points For'!$B$1:$R$1,0))</f>
        <v>102.8</v>
      </c>
      <c r="AP13" s="3" t="str">
        <f t="shared" ca="1" si="8"/>
        <v>N/A</v>
      </c>
      <c r="AQ13" s="3" t="str">
        <f ca="1">VLOOKUP(INDEX(INDIRECT("'"&amp;AQ$1&amp;"'!"&amp;"$A:$C"),MATCH('Schedule Optimizer'!$A13,INDIRECT("'"&amp;AQ$1&amp;"'!"&amp;"A:A"),0),MATCH('Schedule Optimizer'!AQ$2,INDIRECT("'"&amp;AQ$1&amp;"'!"&amp;"$A$1:$C$1"))),$A$3:$B$14,2,FALSE)</f>
        <v>Steve</v>
      </c>
      <c r="AR13" s="3">
        <f ca="1">INDEX('Points For'!$B$1:$R$14,MATCH(AQ13,'Points For'!$B$1:$B$14,0),MATCH(AQ$1,'Points For'!$B$1:$R$1,0))</f>
        <v>74.900000000000006</v>
      </c>
      <c r="AS13" s="3">
        <f ca="1">INDEX('Points For'!$B$1:$R$14,MATCH($B$16,'Points For'!$B$1:$B$14,0),MATCH(AQ$1,'Points For'!$B$1:$R$1,0))</f>
        <v>65.599999999999994</v>
      </c>
      <c r="AT13" s="3" t="str">
        <f t="shared" ca="1" si="9"/>
        <v>L</v>
      </c>
      <c r="AU13" s="3" t="str">
        <f ca="1">VLOOKUP(INDEX(INDIRECT("'"&amp;AU$1&amp;"'!"&amp;"$A:$C"),MATCH('Schedule Optimizer'!$A13,INDIRECT("'"&amp;AU$1&amp;"'!"&amp;"A:A"),0),MATCH('Schedule Optimizer'!AU$2,INDIRECT("'"&amp;AU$1&amp;"'!"&amp;"$A$1:$C$1"))),$A$3:$B$14,2,FALSE)</f>
        <v>Nicole</v>
      </c>
      <c r="AV13" s="3">
        <f ca="1">INDEX('Points For'!$B$1:$R$14,MATCH(AU13,'Points For'!$B$1:$B$14,0),MATCH(AU$1,'Points For'!$B$1:$R$1,0))</f>
        <v>103.8</v>
      </c>
      <c r="AW13" s="3">
        <f ca="1">INDEX('Points For'!$B$1:$R$14,MATCH($B$16,'Points For'!$B$1:$B$14,0),MATCH(AU$1,'Points For'!$B$1:$R$1,0))</f>
        <v>100.6</v>
      </c>
      <c r="AX13" s="3" t="str">
        <f t="shared" ca="1" si="10"/>
        <v>L</v>
      </c>
      <c r="AY13" s="3" t="str">
        <f ca="1">VLOOKUP(INDEX(INDIRECT("'"&amp;AY$1&amp;"'!"&amp;"$A:$C"),MATCH('Schedule Optimizer'!$A13,INDIRECT("'"&amp;AY$1&amp;"'!"&amp;"A:A"),0),MATCH('Schedule Optimizer'!AY$2,INDIRECT("'"&amp;AY$1&amp;"'!"&amp;"$A$1:$C$1"))),$A$3:$B$14,2,FALSE)</f>
        <v>Dave</v>
      </c>
      <c r="AZ13" s="3">
        <f ca="1">INDEX('Points For'!$B$1:$R$14,MATCH(AY13,'Points For'!$B$1:$B$14,0),MATCH(AY$1,'Points For'!$B$1:$R$1,0))</f>
        <v>89</v>
      </c>
      <c r="BA13" s="3">
        <f ca="1">INDEX('Points For'!$B$1:$R$14,MATCH($B$16,'Points For'!$B$1:$B$14,0),MATCH(AY$1,'Points For'!$B$1:$R$1,0))</f>
        <v>121.6</v>
      </c>
      <c r="BB13" s="3" t="str">
        <f t="shared" ca="1" si="11"/>
        <v>W</v>
      </c>
      <c r="BC13" s="3" t="str">
        <f ca="1">VLOOKUP(INDEX(INDIRECT("'"&amp;BC$1&amp;"'!"&amp;"$A:$C"),MATCH('Schedule Optimizer'!$A13,INDIRECT("'"&amp;BC$1&amp;"'!"&amp;"A:A"),0),MATCH('Schedule Optimizer'!BC$2,INDIRECT("'"&amp;BC$1&amp;"'!"&amp;"$A$1:$C$1"))),$A$3:$B$14,2,FALSE)</f>
        <v>Cody</v>
      </c>
      <c r="BD13" s="3">
        <f ca="1">INDEX('Points For'!$B$1:$R$14,MATCH(BC13,'Points For'!$B$1:$B$14,0),MATCH(BC$1,'Points For'!$B$1:$R$1,0))</f>
        <v>77.2</v>
      </c>
      <c r="BE13" s="3">
        <f ca="1">INDEX('Points For'!$B$1:$R$14,MATCH($B$16,'Points For'!$B$1:$B$14,0),MATCH(BC$1,'Points For'!$B$1:$R$1,0))</f>
        <v>79.400000000000006</v>
      </c>
      <c r="BF13" s="3" t="str">
        <f t="shared" ca="1" si="12"/>
        <v>W</v>
      </c>
      <c r="BG13" s="3" t="e">
        <f ca="1">VLOOKUP(INDEX(INDIRECT("'"&amp;BG$1&amp;"'!"&amp;"$A:$C"),MATCH('Schedule Optimizer'!$A13,INDIRECT("'"&amp;BG$1&amp;"'!"&amp;"A:A"),0),MATCH('Schedule Optimizer'!BG$2,INDIRECT("'"&amp;BG$1&amp;"'!"&amp;"$A$1:$C$1"))),$A$3:$B$14,2,FALSE)</f>
        <v>#N/A</v>
      </c>
      <c r="BH13" s="3" t="e">
        <f ca="1">INDEX('Points For'!$B$1:$R$14,MATCH(BG13,'Points For'!$B$1:$B$14,0),MATCH(BG$1,'Points For'!$B$1:$R$1,0))</f>
        <v>#N/A</v>
      </c>
      <c r="BI13" s="3">
        <f ca="1">INDEX('Points For'!$B$1:$R$14,MATCH($B$16,'Points For'!$B$1:$B$14,0),MATCH(BG$1,'Points For'!$B$1:$R$1,0))</f>
        <v>102.6</v>
      </c>
      <c r="BJ13" s="3" t="e">
        <f t="shared" ca="1" si="13"/>
        <v>#N/A</v>
      </c>
      <c r="BK13" s="3" t="str">
        <f ca="1">VLOOKUP(INDEX(INDIRECT("'"&amp;BK$1&amp;"'!"&amp;"$A:$C"),MATCH('Schedule Optimizer'!$A13,INDIRECT("'"&amp;BK$1&amp;"'!"&amp;"A:A"),0),MATCH('Schedule Optimizer'!BK$2,INDIRECT("'"&amp;BK$1&amp;"'!"&amp;"$A$1:$C$1"))),$A$3:$B$14,2,FALSE)</f>
        <v>Jesse</v>
      </c>
      <c r="BL13" s="3">
        <f ca="1">INDEX('Points For'!$B$1:$R$14,MATCH(BK13,'Points For'!$B$1:$B$14,0),MATCH(BK$1,'Points For'!$B$1:$R$1,0))</f>
        <v>96.4</v>
      </c>
      <c r="BM13" s="3">
        <f ca="1">INDEX('Points For'!$B$1:$R$14,MATCH($B$16,'Points For'!$B$1:$B$14,0),MATCH(BK$1,'Points For'!$B$1:$R$1,0))</f>
        <v>138.30000000000001</v>
      </c>
      <c r="BN13" s="3" t="str">
        <f t="shared" ca="1" si="14"/>
        <v>W</v>
      </c>
      <c r="BO13" s="3" t="str">
        <f ca="1">VLOOKUP(INDEX(INDIRECT("'"&amp;BO$1&amp;"'!"&amp;"$A:$C"),MATCH('Schedule Optimizer'!$A13,INDIRECT("'"&amp;BO$1&amp;"'!"&amp;"A:A"),0),MATCH('Schedule Optimizer'!BO$2,INDIRECT("'"&amp;BO$1&amp;"'!"&amp;"$A$1:$C$1"))),$A$3:$B$14,2,FALSE)</f>
        <v>Jake</v>
      </c>
      <c r="BP13" s="3">
        <f ca="1">INDEX('Points For'!$B$1:$R$14,MATCH(BO13,'Points For'!$B$1:$B$14,0),MATCH(BO$1,'Points For'!$B$1:$R$1,0))</f>
        <v>62.9</v>
      </c>
      <c r="BQ13" s="3">
        <f ca="1">INDEX('Points For'!$B$1:$R$14,MATCH($B$16,'Points For'!$B$1:$B$14,0),MATCH(BO$1,'Points For'!$B$1:$R$1,0))</f>
        <v>163.1</v>
      </c>
      <c r="BR13" s="3" t="str">
        <f t="shared" ca="1" si="15"/>
        <v>W</v>
      </c>
    </row>
    <row r="14" spans="1:70" ht="16.25" thickTop="1" thickBot="1" x14ac:dyDescent="0.9">
      <c r="A14" s="3" t="s">
        <v>28</v>
      </c>
      <c r="B14" s="3" t="s">
        <v>173</v>
      </c>
      <c r="C14" s="7">
        <f t="shared" ca="1" si="16"/>
        <v>5</v>
      </c>
      <c r="D14" s="7">
        <f t="shared" ca="1" si="17"/>
        <v>7</v>
      </c>
      <c r="E14" s="7">
        <f t="shared" ca="1" si="18"/>
        <v>2</v>
      </c>
      <c r="F14" s="7">
        <f t="shared" ca="1" si="19"/>
        <v>0</v>
      </c>
      <c r="G14" s="3" t="str">
        <f ca="1">VLOOKUP(INDEX(INDIRECT("'"&amp;G$1&amp;"'!"&amp;"$A:$C"),MATCH('Schedule Optimizer'!$A14,INDIRECT("'"&amp;G$1&amp;"'!"&amp;"A:A"),0),MATCH('Schedule Optimizer'!G$2,INDIRECT("'"&amp;G$1&amp;"'!"&amp;"$A$1:$C$1"))),$A$3:$B$14,2,FALSE)</f>
        <v>Ed</v>
      </c>
      <c r="H14" s="3">
        <f ca="1">INDEX('Points For'!$B$1:$R$14,MATCH(G14,'Points For'!$B$1:$B$14,0),MATCH(G$1,'Points For'!$B$1:$R$1,0))</f>
        <v>132.19999999999999</v>
      </c>
      <c r="I14" s="3">
        <f ca="1">INDEX('Points For'!$B$1:$R$14,MATCH($B$16,'Points For'!$B$1:$B$14,0),MATCH(G$1,'Points For'!$B$1:$R$1,0))</f>
        <v>81</v>
      </c>
      <c r="J14" s="3" t="str">
        <f t="shared" ca="1" si="0"/>
        <v>L</v>
      </c>
      <c r="K14" s="3" t="str">
        <f ca="1">VLOOKUP(INDEX(INDIRECT("'"&amp;K$1&amp;"'!"&amp;"$A:$C"),MATCH('Schedule Optimizer'!$A14,INDIRECT("'"&amp;K$1&amp;"'!"&amp;"A:A"),0),MATCH('Schedule Optimizer'!K$2,INDIRECT("'"&amp;K$1&amp;"'!"&amp;"$A$1:$C$1"))),$A$3:$B$14,2,FALSE)</f>
        <v>Nicole</v>
      </c>
      <c r="L14" s="3">
        <f ca="1">INDEX('Points For'!$B$1:$R$14,MATCH(K14,'Points For'!$B$1:$B$14,0),MATCH(K$1,'Points For'!$B$1:$R$1,0))</f>
        <v>79.3</v>
      </c>
      <c r="M14" s="3">
        <f ca="1">INDEX('Points For'!$B$1:$R$14,MATCH($B$16,'Points For'!$B$1:$B$14,0),MATCH(K$1,'Points For'!$B$1:$R$1,0))</f>
        <v>91.1</v>
      </c>
      <c r="N14" s="3" t="str">
        <f t="shared" ca="1" si="1"/>
        <v>W</v>
      </c>
      <c r="O14" s="3" t="str">
        <f ca="1">VLOOKUP(INDEX(INDIRECT("'"&amp;O$1&amp;"'!"&amp;"$A:$C"),MATCH('Schedule Optimizer'!$A14,INDIRECT("'"&amp;O$1&amp;"'!"&amp;"A:A"),0),MATCH('Schedule Optimizer'!O$2,INDIRECT("'"&amp;O$1&amp;"'!"&amp;"$A$1:$C$1"))),$A$3:$B$14,2,FALSE)</f>
        <v>Sam</v>
      </c>
      <c r="P14" s="3">
        <f ca="1">INDEX('Points For'!$B$1:$R$14,MATCH(O14,'Points For'!$B$1:$B$14,0),MATCH(O$1,'Points For'!$B$1:$R$1,0))</f>
        <v>58.6</v>
      </c>
      <c r="Q14" s="3">
        <f ca="1">INDEX('Points For'!$B$1:$R$14,MATCH($B$16,'Points For'!$B$1:$B$14,0),MATCH(O$1,'Points For'!$B$1:$R$1,0))</f>
        <v>95.9</v>
      </c>
      <c r="R14" s="3" t="str">
        <f t="shared" ca="1" si="2"/>
        <v>W</v>
      </c>
      <c r="S14" s="3" t="str">
        <f ca="1">VLOOKUP(INDEX(INDIRECT("'"&amp;S$1&amp;"'!"&amp;"$A:$C"),MATCH('Schedule Optimizer'!$A14,INDIRECT("'"&amp;S$1&amp;"'!"&amp;"A:A"),0),MATCH('Schedule Optimizer'!S$2,INDIRECT("'"&amp;S$1&amp;"'!"&amp;"$A$1:$C$1"))),$A$3:$B$14,2,FALSE)</f>
        <v>Dave</v>
      </c>
      <c r="T14" s="3">
        <f ca="1">INDEX('Points For'!$B$1:$R$14,MATCH(S14,'Points For'!$B$1:$B$14,0),MATCH(S$1,'Points For'!$B$1:$R$1,0))</f>
        <v>97.1</v>
      </c>
      <c r="U14" s="3">
        <f ca="1">INDEX('Points For'!$B$1:$R$14,MATCH($B$16,'Points For'!$B$1:$B$14,0),MATCH(S$1,'Points For'!$B$1:$R$1,0))</f>
        <v>86</v>
      </c>
      <c r="V14" s="3" t="str">
        <f t="shared" ca="1" si="3"/>
        <v>L</v>
      </c>
      <c r="W14" s="3" t="str">
        <f ca="1">VLOOKUP(INDEX(INDIRECT("'"&amp;W$1&amp;"'!"&amp;"$A:$C"),MATCH('Schedule Optimizer'!$A14,INDIRECT("'"&amp;W$1&amp;"'!"&amp;"A:A"),0),MATCH('Schedule Optimizer'!W$2,INDIRECT("'"&amp;W$1&amp;"'!"&amp;"$A$1:$C$1"))),$A$3:$B$14,2,FALSE)</f>
        <v>Sara</v>
      </c>
      <c r="X14" s="3">
        <f ca="1">INDEX('Points For'!$B$1:$R$14,MATCH(W14,'Points For'!$B$1:$B$14,0),MATCH(W$1,'Points For'!$B$1:$R$1,0))</f>
        <v>93.9</v>
      </c>
      <c r="Y14" s="3">
        <f ca="1">INDEX('Points For'!$B$1:$R$14,MATCH($B$16,'Points For'!$B$1:$B$14,0),MATCH(W$1,'Points For'!$B$1:$R$1,0))</f>
        <v>65.5</v>
      </c>
      <c r="Z14" s="3" t="str">
        <f t="shared" ca="1" si="4"/>
        <v>L</v>
      </c>
      <c r="AA14" s="3" t="str">
        <f ca="1">VLOOKUP(INDEX(INDIRECT("'"&amp;AA$1&amp;"'!"&amp;"$A:$C"),MATCH('Schedule Optimizer'!$A14,INDIRECT("'"&amp;AA$1&amp;"'!"&amp;"A:A"),0),MATCH('Schedule Optimizer'!AA$2,INDIRECT("'"&amp;AA$1&amp;"'!"&amp;"$A$1:$C$1"))),$A$3:$B$14,2,FALSE)</f>
        <v>Steve</v>
      </c>
      <c r="AB14" s="3">
        <f ca="1">INDEX('Points For'!$B$1:$R$14,MATCH(AA14,'Points For'!$B$1:$B$14,0),MATCH(AA$1,'Points For'!$B$1:$R$1,0))</f>
        <v>79.099999999999994</v>
      </c>
      <c r="AC14" s="3">
        <f ca="1">INDEX('Points For'!$B$1:$R$14,MATCH($B$16,'Points For'!$B$1:$B$14,0),MATCH(AA$1,'Points For'!$B$1:$R$1,0))</f>
        <v>85.8</v>
      </c>
      <c r="AD14" s="3" t="str">
        <f t="shared" ca="1" si="5"/>
        <v>W</v>
      </c>
      <c r="AE14" s="3" t="str">
        <f ca="1">VLOOKUP(INDEX(INDIRECT("'"&amp;AE$1&amp;"'!"&amp;"$A:$C"),MATCH('Schedule Optimizer'!$A14,INDIRECT("'"&amp;AE$1&amp;"'!"&amp;"A:A"),0),MATCH('Schedule Optimizer'!AE$2,INDIRECT("'"&amp;AE$1&amp;"'!"&amp;"$A$1:$C$1"))),$A$3:$B$14,2,FALSE)</f>
        <v>Catina</v>
      </c>
      <c r="AF14" s="3">
        <f ca="1">INDEX('Points For'!$B$1:$R$14,MATCH(AE14,'Points For'!$B$1:$B$14,0),MATCH(AE$1,'Points For'!$B$1:$R$1,0))</f>
        <v>91.3</v>
      </c>
      <c r="AG14" s="3">
        <f ca="1">INDEX('Points For'!$B$1:$R$14,MATCH($B$16,'Points For'!$B$1:$B$14,0),MATCH(AE$1,'Points For'!$B$1:$R$1,0))</f>
        <v>91.3</v>
      </c>
      <c r="AH14" s="3" t="str">
        <f t="shared" ca="1" si="6"/>
        <v>N/A</v>
      </c>
      <c r="AI14" s="3" t="str">
        <f ca="1">VLOOKUP(INDEX(INDIRECT("'"&amp;AI$1&amp;"'!"&amp;"$A:$C"),MATCH('Schedule Optimizer'!$A14,INDIRECT("'"&amp;AI$1&amp;"'!"&amp;"A:A"),0),MATCH('Schedule Optimizer'!AI$2,INDIRECT("'"&amp;AI$1&amp;"'!"&amp;"$A$1:$C$1"))),$A$3:$B$14,2,FALSE)</f>
        <v>Jesse</v>
      </c>
      <c r="AJ14" s="3">
        <f ca="1">INDEX('Points For'!$B$1:$R$14,MATCH(AI14,'Points For'!$B$1:$B$14,0),MATCH(AI$1,'Points For'!$B$1:$R$1,0))</f>
        <v>101.1</v>
      </c>
      <c r="AK14" s="3">
        <f ca="1">INDEX('Points For'!$B$1:$R$14,MATCH($B$16,'Points For'!$B$1:$B$14,0),MATCH(AI$1,'Points For'!$B$1:$R$1,0))</f>
        <v>82.8</v>
      </c>
      <c r="AL14" s="3" t="str">
        <f t="shared" ca="1" si="7"/>
        <v>L</v>
      </c>
      <c r="AM14" s="3" t="str">
        <f ca="1">VLOOKUP(INDEX(INDIRECT("'"&amp;AM$1&amp;"'!"&amp;"$A:$C"),MATCH('Schedule Optimizer'!$A14,INDIRECT("'"&amp;AM$1&amp;"'!"&amp;"A:A"),0),MATCH('Schedule Optimizer'!AM$2,INDIRECT("'"&amp;AM$1&amp;"'!"&amp;"$A$1:$C$1"))),$A$3:$B$14,2,FALSE)</f>
        <v>Tres</v>
      </c>
      <c r="AN14" s="3">
        <f ca="1">INDEX('Points For'!$B$1:$R$14,MATCH(AM14,'Points For'!$B$1:$B$14,0),MATCH(AM$1,'Points For'!$B$1:$R$1,0))</f>
        <v>108.1</v>
      </c>
      <c r="AO14" s="3">
        <f ca="1">INDEX('Points For'!$B$1:$R$14,MATCH($B$16,'Points For'!$B$1:$B$14,0),MATCH(AM$1,'Points For'!$B$1:$R$1,0))</f>
        <v>102.8</v>
      </c>
      <c r="AP14" s="3" t="str">
        <f t="shared" ca="1" si="8"/>
        <v>L</v>
      </c>
      <c r="AQ14" s="3" t="str">
        <f ca="1">VLOOKUP(INDEX(INDIRECT("'"&amp;AQ$1&amp;"'!"&amp;"$A:$C"),MATCH('Schedule Optimizer'!$A14,INDIRECT("'"&amp;AQ$1&amp;"'!"&amp;"A:A"),0),MATCH('Schedule Optimizer'!AQ$2,INDIRECT("'"&amp;AQ$1&amp;"'!"&amp;"$A$1:$C$1"))),$A$3:$B$14,2,FALSE)</f>
        <v>Cody</v>
      </c>
      <c r="AR14" s="3">
        <f ca="1">INDEX('Points For'!$B$1:$R$14,MATCH(AQ14,'Points For'!$B$1:$B$14,0),MATCH(AQ$1,'Points For'!$B$1:$R$1,0))</f>
        <v>64.3</v>
      </c>
      <c r="AS14" s="3">
        <f ca="1">INDEX('Points For'!$B$1:$R$14,MATCH($B$16,'Points For'!$B$1:$B$14,0),MATCH(AQ$1,'Points For'!$B$1:$R$1,0))</f>
        <v>65.599999999999994</v>
      </c>
      <c r="AT14" s="3" t="str">
        <f t="shared" ca="1" si="9"/>
        <v>W</v>
      </c>
      <c r="AU14" s="3" t="str">
        <f ca="1">VLOOKUP(INDEX(INDIRECT("'"&amp;AU$1&amp;"'!"&amp;"$A:$C"),MATCH('Schedule Optimizer'!$A14,INDIRECT("'"&amp;AU$1&amp;"'!"&amp;"A:A"),0),MATCH('Schedule Optimizer'!AU$2,INDIRECT("'"&amp;AU$1&amp;"'!"&amp;"$A$1:$C$1"))),$A$3:$B$14,2,FALSE)</f>
        <v>Jake</v>
      </c>
      <c r="AV14" s="3">
        <f ca="1">INDEX('Points For'!$B$1:$R$14,MATCH(AU14,'Points For'!$B$1:$B$14,0),MATCH(AU$1,'Points For'!$B$1:$R$1,0))</f>
        <v>130.1</v>
      </c>
      <c r="AW14" s="3">
        <f ca="1">INDEX('Points For'!$B$1:$R$14,MATCH($B$16,'Points For'!$B$1:$B$14,0),MATCH(AU$1,'Points For'!$B$1:$R$1,0))</f>
        <v>100.6</v>
      </c>
      <c r="AX14" s="3" t="str">
        <f t="shared" ca="1" si="10"/>
        <v>L</v>
      </c>
      <c r="AY14" s="3" t="str">
        <f ca="1">VLOOKUP(INDEX(INDIRECT("'"&amp;AY$1&amp;"'!"&amp;"$A:$C"),MATCH('Schedule Optimizer'!$A14,INDIRECT("'"&amp;AY$1&amp;"'!"&amp;"A:A"),0),MATCH('Schedule Optimizer'!AY$2,INDIRECT("'"&amp;AY$1&amp;"'!"&amp;"$A$1:$C$1"))),$A$3:$B$14,2,FALSE)</f>
        <v>Sam</v>
      </c>
      <c r="AZ14" s="3">
        <f ca="1">INDEX('Points For'!$B$1:$R$14,MATCH(AY14,'Points For'!$B$1:$B$14,0),MATCH(AY$1,'Points For'!$B$1:$R$1,0))</f>
        <v>86.2</v>
      </c>
      <c r="BA14" s="3">
        <f ca="1">INDEX('Points For'!$B$1:$R$14,MATCH($B$16,'Points For'!$B$1:$B$14,0),MATCH(AY$1,'Points For'!$B$1:$R$1,0))</f>
        <v>121.6</v>
      </c>
      <c r="BB14" s="3" t="str">
        <f t="shared" ca="1" si="11"/>
        <v>W</v>
      </c>
      <c r="BC14" s="3" t="str">
        <f ca="1">VLOOKUP(INDEX(INDIRECT("'"&amp;BC$1&amp;"'!"&amp;"$A:$C"),MATCH('Schedule Optimizer'!$A14,INDIRECT("'"&amp;BC$1&amp;"'!"&amp;"A:A"),0),MATCH('Schedule Optimizer'!BC$2,INDIRECT("'"&amp;BC$1&amp;"'!"&amp;"$A$1:$C$1"))),$A$3:$B$14,2,FALSE)</f>
        <v>Dave</v>
      </c>
      <c r="BD14" s="3">
        <f ca="1">INDEX('Points For'!$B$1:$R$14,MATCH(BC14,'Points For'!$B$1:$B$14,0),MATCH(BC$1,'Points For'!$B$1:$R$1,0))</f>
        <v>121</v>
      </c>
      <c r="BE14" s="3">
        <f ca="1">INDEX('Points For'!$B$1:$R$14,MATCH($B$16,'Points For'!$B$1:$B$14,0),MATCH(BC$1,'Points For'!$B$1:$R$1,0))</f>
        <v>79.400000000000006</v>
      </c>
      <c r="BF14" s="3" t="str">
        <f t="shared" ca="1" si="12"/>
        <v>L</v>
      </c>
      <c r="BG14" s="3" t="str">
        <f ca="1">VLOOKUP(INDEX(INDIRECT("'"&amp;BG$1&amp;"'!"&amp;"$A:$C"),MATCH('Schedule Optimizer'!$A14,INDIRECT("'"&amp;BG$1&amp;"'!"&amp;"A:A"),0),MATCH('Schedule Optimizer'!BG$2,INDIRECT("'"&amp;BG$1&amp;"'!"&amp;"$A$1:$C$1"))),$A$3:$B$14,2,FALSE)</f>
        <v>Catina</v>
      </c>
      <c r="BH14" s="3">
        <f ca="1">INDEX('Points For'!$B$1:$R$14,MATCH(BG14,'Points For'!$B$1:$B$14,0),MATCH(BG$1,'Points For'!$B$1:$R$1,0))</f>
        <v>102.6</v>
      </c>
      <c r="BI14" s="3">
        <f ca="1">INDEX('Points For'!$B$1:$R$14,MATCH($B$16,'Points For'!$B$1:$B$14,0),MATCH(BG$1,'Points For'!$B$1:$R$1,0))</f>
        <v>102.6</v>
      </c>
      <c r="BJ14" s="3" t="str">
        <f t="shared" ca="1" si="13"/>
        <v>N/A</v>
      </c>
      <c r="BK14" s="3" t="str">
        <f ca="1">VLOOKUP(INDEX(INDIRECT("'"&amp;BK$1&amp;"'!"&amp;"$A:$C"),MATCH('Schedule Optimizer'!$A14,INDIRECT("'"&amp;BK$1&amp;"'!"&amp;"A:A"),0),MATCH('Schedule Optimizer'!BK$2,INDIRECT("'"&amp;BK$1&amp;"'!"&amp;"$A$1:$C$1"))),$A$3:$B$14,2,FALSE)</f>
        <v>Steve</v>
      </c>
      <c r="BL14" s="3">
        <f ca="1">INDEX('Points For'!$B$1:$R$14,MATCH(BK14,'Points For'!$B$1:$B$14,0),MATCH(BK$1,'Points For'!$B$1:$R$1,0))</f>
        <v>69.5</v>
      </c>
      <c r="BM14" s="3">
        <f ca="1">INDEX('Points For'!$B$1:$R$14,MATCH($B$16,'Points For'!$B$1:$B$14,0),MATCH(BK$1,'Points For'!$B$1:$R$1,0))</f>
        <v>138.30000000000001</v>
      </c>
      <c r="BN14" s="3" t="str">
        <f t="shared" ca="1" si="14"/>
        <v>W</v>
      </c>
      <c r="BO14" s="3" t="str">
        <f ca="1">VLOOKUP(INDEX(INDIRECT("'"&amp;BO$1&amp;"'!"&amp;"$A:$C"),MATCH('Schedule Optimizer'!$A14,INDIRECT("'"&amp;BO$1&amp;"'!"&amp;"A:A"),0),MATCH('Schedule Optimizer'!BO$2,INDIRECT("'"&amp;BO$1&amp;"'!"&amp;"$A$1:$C$1"))),$A$3:$B$14,2,FALSE)</f>
        <v>Sam</v>
      </c>
      <c r="BP14" s="3">
        <f ca="1">INDEX('Points For'!$B$1:$R$14,MATCH(BO14,'Points For'!$B$1:$B$14,0),MATCH(BO$1,'Points For'!$B$1:$R$1,0))</f>
        <v>77.099999999999994</v>
      </c>
      <c r="BQ14" s="3">
        <f ca="1">INDEX('Points For'!$B$1:$R$14,MATCH($B$16,'Points For'!$B$1:$B$14,0),MATCH(BO$1,'Points For'!$B$1:$R$1,0))</f>
        <v>163.1</v>
      </c>
      <c r="BR14" s="3" t="str">
        <f t="shared" ca="1" si="15"/>
        <v>W</v>
      </c>
    </row>
    <row r="15" spans="1:70" ht="15.5" thickTop="1" x14ac:dyDescent="0.75"/>
    <row r="16" spans="1:70" x14ac:dyDescent="0.75">
      <c r="A16" s="1" t="s">
        <v>222</v>
      </c>
      <c r="B16" s="1" t="s">
        <v>165</v>
      </c>
    </row>
  </sheetData>
  <mergeCells count="18">
    <mergeCell ref="C1:D1"/>
    <mergeCell ref="E1:F1"/>
    <mergeCell ref="AQ1:AT1"/>
    <mergeCell ref="AU1:AX1"/>
    <mergeCell ref="AY1:BB1"/>
    <mergeCell ref="G1:J1"/>
    <mergeCell ref="K1:N1"/>
    <mergeCell ref="O1:R1"/>
    <mergeCell ref="S1:V1"/>
    <mergeCell ref="W1:Z1"/>
    <mergeCell ref="AA1:AD1"/>
    <mergeCell ref="AE1:AH1"/>
    <mergeCell ref="AI1:AL1"/>
    <mergeCell ref="AM1:AP1"/>
    <mergeCell ref="BO1:BR1"/>
    <mergeCell ref="BC1:BF1"/>
    <mergeCell ref="BG1:BJ1"/>
    <mergeCell ref="BK1:BN1"/>
  </mergeCells>
  <conditionalFormatting sqref="J3:J14">
    <cfRule type="containsText" dxfId="31" priority="38" operator="containsText" text="W">
      <formula>NOT(ISERROR(SEARCH("W",J3)))</formula>
    </cfRule>
    <cfRule type="containsText" dxfId="30" priority="39" operator="containsText" text="L">
      <formula>NOT(ISERROR(SEARCH("L",J3)))</formula>
    </cfRule>
  </conditionalFormatting>
  <conditionalFormatting sqref="N3:N14">
    <cfRule type="containsText" dxfId="29" priority="33" operator="containsText" text="W">
      <formula>NOT(ISERROR(SEARCH("W",N3)))</formula>
    </cfRule>
    <cfRule type="containsText" dxfId="28" priority="34" operator="containsText" text="L">
      <formula>NOT(ISERROR(SEARCH("L",N3)))</formula>
    </cfRule>
  </conditionalFormatting>
  <conditionalFormatting sqref="R3:R14">
    <cfRule type="containsText" dxfId="27" priority="31" operator="containsText" text="W">
      <formula>NOT(ISERROR(SEARCH("W",R3)))</formula>
    </cfRule>
    <cfRule type="containsText" dxfId="26" priority="32" operator="containsText" text="L">
      <formula>NOT(ISERROR(SEARCH("L",R3)))</formula>
    </cfRule>
  </conditionalFormatting>
  <conditionalFormatting sqref="V3:V14">
    <cfRule type="containsText" dxfId="25" priority="29" operator="containsText" text="W">
      <formula>NOT(ISERROR(SEARCH("W",V3)))</formula>
    </cfRule>
    <cfRule type="containsText" dxfId="24" priority="30" operator="containsText" text="L">
      <formula>NOT(ISERROR(SEARCH("L",V3)))</formula>
    </cfRule>
  </conditionalFormatting>
  <conditionalFormatting sqref="Z3:Z14">
    <cfRule type="containsText" dxfId="23" priority="27" operator="containsText" text="W">
      <formula>NOT(ISERROR(SEARCH("W",Z3)))</formula>
    </cfRule>
    <cfRule type="containsText" dxfId="22" priority="28" operator="containsText" text="L">
      <formula>NOT(ISERROR(SEARCH("L",Z3)))</formula>
    </cfRule>
  </conditionalFormatting>
  <conditionalFormatting sqref="AD3:AD14">
    <cfRule type="containsText" dxfId="21" priority="25" operator="containsText" text="W">
      <formula>NOT(ISERROR(SEARCH("W",AD3)))</formula>
    </cfRule>
    <cfRule type="containsText" dxfId="20" priority="26" operator="containsText" text="L">
      <formula>NOT(ISERROR(SEARCH("L",AD3)))</formula>
    </cfRule>
  </conditionalFormatting>
  <conditionalFormatting sqref="AH3:AH14">
    <cfRule type="containsText" dxfId="19" priority="23" operator="containsText" text="W">
      <formula>NOT(ISERROR(SEARCH("W",AH3)))</formula>
    </cfRule>
    <cfRule type="containsText" dxfId="18" priority="24" operator="containsText" text="L">
      <formula>NOT(ISERROR(SEARCH("L",AH3)))</formula>
    </cfRule>
  </conditionalFormatting>
  <conditionalFormatting sqref="AL3:AL14">
    <cfRule type="containsText" dxfId="17" priority="21" operator="containsText" text="W">
      <formula>NOT(ISERROR(SEARCH("W",AL3)))</formula>
    </cfRule>
    <cfRule type="containsText" dxfId="16" priority="22" operator="containsText" text="L">
      <formula>NOT(ISERROR(SEARCH("L",AL3)))</formula>
    </cfRule>
  </conditionalFormatting>
  <conditionalFormatting sqref="AP3:AP14">
    <cfRule type="containsText" dxfId="15" priority="19" operator="containsText" text="W">
      <formula>NOT(ISERROR(SEARCH("W",AP3)))</formula>
    </cfRule>
    <cfRule type="containsText" dxfId="14" priority="20" operator="containsText" text="L">
      <formula>NOT(ISERROR(SEARCH("L",AP3)))</formula>
    </cfRule>
  </conditionalFormatting>
  <conditionalFormatting sqref="AT3:AT14">
    <cfRule type="containsText" dxfId="13" priority="17" operator="containsText" text="W">
      <formula>NOT(ISERROR(SEARCH("W",AT3)))</formula>
    </cfRule>
    <cfRule type="containsText" dxfId="12" priority="18" operator="containsText" text="L">
      <formula>NOT(ISERROR(SEARCH("L",AT3)))</formula>
    </cfRule>
  </conditionalFormatting>
  <conditionalFormatting sqref="AX3:AX14">
    <cfRule type="containsText" dxfId="11" priority="15" operator="containsText" text="W">
      <formula>NOT(ISERROR(SEARCH("W",AX3)))</formula>
    </cfRule>
    <cfRule type="containsText" dxfId="10" priority="16" operator="containsText" text="L">
      <formula>NOT(ISERROR(SEARCH("L",AX3)))</formula>
    </cfRule>
  </conditionalFormatting>
  <conditionalFormatting sqref="BB3:BB14">
    <cfRule type="containsText" dxfId="9" priority="13" operator="containsText" text="W">
      <formula>NOT(ISERROR(SEARCH("W",BB3)))</formula>
    </cfRule>
    <cfRule type="containsText" dxfId="8" priority="14" operator="containsText" text="L">
      <formula>NOT(ISERROR(SEARCH("L",BB3)))</formula>
    </cfRule>
  </conditionalFormatting>
  <conditionalFormatting sqref="BF3:BF14">
    <cfRule type="containsText" dxfId="7" priority="11" operator="containsText" text="W">
      <formula>NOT(ISERROR(SEARCH("W",BF3)))</formula>
    </cfRule>
    <cfRule type="containsText" dxfId="6" priority="12" operator="containsText" text="L">
      <formula>NOT(ISERROR(SEARCH("L",BF3)))</formula>
    </cfRule>
  </conditionalFormatting>
  <conditionalFormatting sqref="BJ3:BJ14">
    <cfRule type="containsText" dxfId="5" priority="9" operator="containsText" text="W">
      <formula>NOT(ISERROR(SEARCH("W",BJ3)))</formula>
    </cfRule>
    <cfRule type="containsText" dxfId="4" priority="10" operator="containsText" text="L">
      <formula>NOT(ISERROR(SEARCH("L",BJ3)))</formula>
    </cfRule>
  </conditionalFormatting>
  <conditionalFormatting sqref="BN3:BN14">
    <cfRule type="containsText" dxfId="3" priority="7" operator="containsText" text="W">
      <formula>NOT(ISERROR(SEARCH("W",BN3)))</formula>
    </cfRule>
    <cfRule type="containsText" dxfId="2" priority="8" operator="containsText" text="L">
      <formula>NOT(ISERROR(SEARCH("L",BN3)))</formula>
    </cfRule>
  </conditionalFormatting>
  <conditionalFormatting sqref="BR3:BR14">
    <cfRule type="containsText" dxfId="1" priority="5" operator="containsText" text="W">
      <formula>NOT(ISERROR(SEARCH("W",BR3)))</formula>
    </cfRule>
    <cfRule type="containsText" dxfId="0" priority="6" operator="containsText" text="L">
      <formula>NOT(ISERROR(SEARCH("L",BR3)))</formula>
    </cfRule>
  </conditionalFormatting>
  <conditionalFormatting sqref="C3:C1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40540A-A185-4233-9464-47E234B07EE6}">
          <x14:formula1>
            <xm:f>Key!$A$17:$A$28</xm:f>
          </x14:formula1>
          <xm:sqref>B16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zoomScale="85" zoomScaleNormal="85" workbookViewId="0">
      <selection activeCell="D1" sqref="D1"/>
    </sheetView>
  </sheetViews>
  <sheetFormatPr defaultRowHeight="14.75" x14ac:dyDescent="0.75"/>
  <cols>
    <col min="1" max="1" width="21.04296875" customWidth="1"/>
    <col min="2" max="2" width="9.7265625" style="2" customWidth="1"/>
    <col min="3" max="3" width="16.54296875" bestFit="1" customWidth="1"/>
    <col min="4" max="4" width="12.17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s="2" t="s">
        <v>2</v>
      </c>
      <c r="C2" t="str">
        <f t="shared" ref="C2:C23" si="0">IF(A2="","",IF(MID(A2,1,FIND(" ", A2,1)-1)="Matchup","",IF(A3&lt;&gt;"",A3,IF(MID(A1,1,FIND(" ", A1,1)-1)&lt;&gt;"Matchup",A1))))</f>
        <v>King Goffrey</v>
      </c>
    </row>
    <row r="3" spans="1:3" x14ac:dyDescent="0.75">
      <c r="A3" t="s">
        <v>3</v>
      </c>
      <c r="B3" s="2" t="s">
        <v>4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6</v>
      </c>
      <c r="B6" s="2" t="s">
        <v>7</v>
      </c>
      <c r="C6" t="str">
        <f t="shared" si="0"/>
        <v>Queen B</v>
      </c>
    </row>
    <row r="7" spans="1:3" x14ac:dyDescent="0.75">
      <c r="A7" t="s">
        <v>8</v>
      </c>
      <c r="B7" s="2" t="s">
        <v>9</v>
      </c>
      <c r="C7" t="str">
        <f t="shared" si="0"/>
        <v>5 INT 7-8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11</v>
      </c>
      <c r="B10" s="2" t="s">
        <v>12</v>
      </c>
      <c r="C10" t="str">
        <f t="shared" si="0"/>
        <v>Pitts Likes Dicks</v>
      </c>
    </row>
    <row r="11" spans="1:3" x14ac:dyDescent="0.75">
      <c r="A11" t="s">
        <v>13</v>
      </c>
      <c r="B11" s="2" t="s">
        <v>14</v>
      </c>
      <c r="C11" t="str">
        <f t="shared" si="0"/>
        <v>Team Ratliff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16</v>
      </c>
      <c r="B14" s="2" t="s">
        <v>17</v>
      </c>
      <c r="C14" t="str">
        <f t="shared" si="0"/>
        <v>Team No Trades</v>
      </c>
    </row>
    <row r="15" spans="1:3" x14ac:dyDescent="0.75">
      <c r="A15" t="s">
        <v>18</v>
      </c>
      <c r="B15" s="2" t="s">
        <v>19</v>
      </c>
      <c r="C15" t="str">
        <f t="shared" si="0"/>
        <v>The Dictator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21</v>
      </c>
      <c r="B18" s="2" t="s">
        <v>22</v>
      </c>
      <c r="C18" t="str">
        <f t="shared" si="0"/>
        <v>Team Quintanilla</v>
      </c>
    </row>
    <row r="19" spans="1:3" x14ac:dyDescent="0.75">
      <c r="A19" t="s">
        <v>23</v>
      </c>
      <c r="B19" s="2" t="s">
        <v>24</v>
      </c>
      <c r="C19" t="str">
        <f t="shared" si="0"/>
        <v>Team capt queef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26</v>
      </c>
      <c r="B22" s="2" t="s">
        <v>27</v>
      </c>
      <c r="C22" t="str">
        <f t="shared" si="0"/>
        <v>Team Binder</v>
      </c>
    </row>
    <row r="23" spans="1:3" x14ac:dyDescent="0.75">
      <c r="A23" t="s">
        <v>28</v>
      </c>
      <c r="B23" s="2" t="s">
        <v>29</v>
      </c>
      <c r="C23" t="str">
        <f t="shared" si="0"/>
        <v>The Last Jedi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F403-345C-4254-95FB-31E526F96F6D}">
  <sheetPr codeName="Sheet9"/>
  <dimension ref="A1:C23"/>
  <sheetViews>
    <sheetView zoomScale="70" zoomScaleNormal="70" workbookViewId="0">
      <selection activeCell="F24" sqref="F24"/>
    </sheetView>
  </sheetViews>
  <sheetFormatPr defaultRowHeight="14.75" x14ac:dyDescent="0.75"/>
  <cols>
    <col min="1" max="1" width="16.7265625" customWidth="1"/>
    <col min="2" max="2" width="8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6</v>
      </c>
      <c r="B2" t="s">
        <v>29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78</v>
      </c>
      <c r="C3" t="str">
        <f t="shared" si="0"/>
        <v>5 INT 7-8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3</v>
      </c>
      <c r="B6" t="s">
        <v>79</v>
      </c>
      <c r="C6" t="str">
        <f t="shared" si="0"/>
        <v>Team Ratliff</v>
      </c>
    </row>
    <row r="7" spans="1:3" x14ac:dyDescent="0.75">
      <c r="A7" t="s">
        <v>11</v>
      </c>
      <c r="B7" t="s">
        <v>80</v>
      </c>
      <c r="C7" t="str">
        <f t="shared" si="0"/>
        <v>King Goffrey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8</v>
      </c>
      <c r="B10" t="s">
        <v>81</v>
      </c>
      <c r="C10" t="str">
        <f t="shared" si="0"/>
        <v>The Dictator</v>
      </c>
    </row>
    <row r="11" spans="1:3" x14ac:dyDescent="0.75">
      <c r="A11" t="s">
        <v>16</v>
      </c>
      <c r="B11" t="s">
        <v>82</v>
      </c>
      <c r="C11" t="str">
        <f t="shared" si="0"/>
        <v>Queen B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13</v>
      </c>
      <c r="B14" t="s">
        <v>83</v>
      </c>
      <c r="C14" t="str">
        <f t="shared" si="0"/>
        <v>Team capt queef</v>
      </c>
    </row>
    <row r="15" spans="1:3" x14ac:dyDescent="0.75">
      <c r="A15" t="s">
        <v>21</v>
      </c>
      <c r="B15" t="s">
        <v>84</v>
      </c>
      <c r="C15" t="str">
        <f t="shared" si="0"/>
        <v>Pitts Likes Dicks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18</v>
      </c>
      <c r="B18" t="s">
        <v>85</v>
      </c>
      <c r="C18" t="str">
        <f t="shared" si="0"/>
        <v>The Last Jedi</v>
      </c>
    </row>
    <row r="19" spans="1:3" x14ac:dyDescent="0.75">
      <c r="A19" t="s">
        <v>26</v>
      </c>
      <c r="B19" t="s">
        <v>86</v>
      </c>
      <c r="C19" t="str">
        <f t="shared" si="0"/>
        <v>Team No Trades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23</v>
      </c>
      <c r="B22" t="s">
        <v>87</v>
      </c>
      <c r="C22" t="str">
        <f t="shared" si="0"/>
        <v>Team Binder</v>
      </c>
    </row>
    <row r="23" spans="1:3" x14ac:dyDescent="0.75">
      <c r="A23" t="s">
        <v>28</v>
      </c>
      <c r="B23" t="s">
        <v>88</v>
      </c>
      <c r="C23" t="str">
        <f t="shared" si="0"/>
        <v>Team Quintanilla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61E9-A656-44C2-AC2E-35D4309927EF}">
  <sheetPr codeName="Sheet8"/>
  <dimension ref="A1:C23"/>
  <sheetViews>
    <sheetView zoomScale="70" zoomScaleNormal="70" workbookViewId="0">
      <selection activeCell="C1" sqref="C1:C1048576"/>
    </sheetView>
  </sheetViews>
  <sheetFormatPr defaultRowHeight="14.75" x14ac:dyDescent="0.75"/>
  <cols>
    <col min="1" max="1" width="17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89</v>
      </c>
      <c r="C2" t="str">
        <f t="shared" ref="C2:C23" si="0">IF(A2="","",IF(MID(A2,1,FIND(" ", A2,1)-1)="Matchup","",IF(A3&lt;&gt;"",A3,IF(MID(A1,1,FIND(" ", A1,1)-1)&lt;&gt;"Matchup",A1))))</f>
        <v>Queen B</v>
      </c>
    </row>
    <row r="3" spans="1:3" x14ac:dyDescent="0.75">
      <c r="A3" t="s">
        <v>8</v>
      </c>
      <c r="B3" t="s">
        <v>90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28</v>
      </c>
      <c r="B6" t="s">
        <v>91</v>
      </c>
      <c r="C6" t="str">
        <f t="shared" si="0"/>
        <v>5 INT 7-8</v>
      </c>
    </row>
    <row r="7" spans="1:3" x14ac:dyDescent="0.75">
      <c r="A7" t="s">
        <v>6</v>
      </c>
      <c r="B7" t="s">
        <v>92</v>
      </c>
      <c r="C7" t="str">
        <f t="shared" si="0"/>
        <v>Team Binder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21</v>
      </c>
      <c r="B10" t="s">
        <v>93</v>
      </c>
      <c r="C10" t="str">
        <f t="shared" si="0"/>
        <v>Team No Trades</v>
      </c>
    </row>
    <row r="11" spans="1:3" x14ac:dyDescent="0.75">
      <c r="A11" t="s">
        <v>18</v>
      </c>
      <c r="B11" t="s">
        <v>94</v>
      </c>
      <c r="C11" t="str">
        <f t="shared" si="0"/>
        <v>Team capt queef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26</v>
      </c>
      <c r="B14" t="s">
        <v>95</v>
      </c>
      <c r="C14" t="str">
        <f t="shared" si="0"/>
        <v>Team Ratliff</v>
      </c>
    </row>
    <row r="15" spans="1:3" x14ac:dyDescent="0.75">
      <c r="A15" t="s">
        <v>11</v>
      </c>
      <c r="B15" t="s">
        <v>96</v>
      </c>
      <c r="C15" t="str">
        <f t="shared" si="0"/>
        <v>The Last Jedi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16</v>
      </c>
      <c r="B18" t="s">
        <v>97</v>
      </c>
      <c r="C18" t="str">
        <f t="shared" si="0"/>
        <v>Pitts Likes Dicks</v>
      </c>
    </row>
    <row r="19" spans="1:3" x14ac:dyDescent="0.75">
      <c r="A19" t="s">
        <v>13</v>
      </c>
      <c r="B19" t="s">
        <v>68</v>
      </c>
      <c r="C19" t="str">
        <f t="shared" si="0"/>
        <v>The Dictator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23</v>
      </c>
      <c r="B22" t="s">
        <v>98</v>
      </c>
      <c r="C22" t="str">
        <f t="shared" si="0"/>
        <v>King Goffrey</v>
      </c>
    </row>
    <row r="23" spans="1:3" x14ac:dyDescent="0.75">
      <c r="A23" t="s">
        <v>3</v>
      </c>
      <c r="B23" t="s">
        <v>99</v>
      </c>
      <c r="C23" t="str">
        <f t="shared" si="0"/>
        <v>Team Quintanilla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86EB2-059F-4DE9-B4D3-B2DA3306D459}">
  <sheetPr codeName="Sheet7"/>
  <dimension ref="A1:C23"/>
  <sheetViews>
    <sheetView workbookViewId="0">
      <selection activeCell="C1" sqref="C1:C1048576"/>
    </sheetView>
  </sheetViews>
  <sheetFormatPr defaultRowHeight="14.75" x14ac:dyDescent="0.75"/>
  <cols>
    <col min="1" max="1" width="21.7265625" customWidth="1"/>
    <col min="2" max="2" width="7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18</v>
      </c>
      <c r="B2" t="s">
        <v>100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101</v>
      </c>
      <c r="C3" t="str">
        <f t="shared" si="0"/>
        <v>Team No Trades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11</v>
      </c>
      <c r="B6" t="s">
        <v>102</v>
      </c>
      <c r="C6" t="str">
        <f t="shared" si="0"/>
        <v>Team Binder</v>
      </c>
    </row>
    <row r="7" spans="1:3" x14ac:dyDescent="0.75">
      <c r="A7" t="s">
        <v>28</v>
      </c>
      <c r="B7" t="s">
        <v>103</v>
      </c>
      <c r="C7" t="str">
        <f t="shared" si="0"/>
        <v>Team Ratliff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6</v>
      </c>
      <c r="B10" t="s">
        <v>104</v>
      </c>
      <c r="C10" t="str">
        <f t="shared" si="0"/>
        <v>King Goffrey</v>
      </c>
    </row>
    <row r="11" spans="1:3" x14ac:dyDescent="0.75">
      <c r="A11" t="s">
        <v>3</v>
      </c>
      <c r="B11" t="s">
        <v>105</v>
      </c>
      <c r="C11" t="str">
        <f t="shared" si="0"/>
        <v>5 INT 7-8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26</v>
      </c>
      <c r="B14" t="s">
        <v>106</v>
      </c>
      <c r="C14" t="str">
        <f t="shared" si="0"/>
        <v>The Dictator</v>
      </c>
    </row>
    <row r="15" spans="1:3" x14ac:dyDescent="0.75">
      <c r="A15" t="s">
        <v>16</v>
      </c>
      <c r="B15" t="s">
        <v>107</v>
      </c>
      <c r="C15" t="str">
        <f t="shared" si="0"/>
        <v>The Last Jedi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8</v>
      </c>
      <c r="B18" t="s">
        <v>108</v>
      </c>
      <c r="C18" t="str">
        <f t="shared" si="0"/>
        <v>Team capt queef</v>
      </c>
    </row>
    <row r="19" spans="1:3" x14ac:dyDescent="0.75">
      <c r="A19" t="s">
        <v>21</v>
      </c>
      <c r="B19" t="s">
        <v>109</v>
      </c>
      <c r="C19" t="str">
        <f t="shared" si="0"/>
        <v>Queen B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13</v>
      </c>
      <c r="B22" t="s">
        <v>110</v>
      </c>
      <c r="C22" t="str">
        <f t="shared" si="0"/>
        <v>Team Quintanilla</v>
      </c>
    </row>
    <row r="23" spans="1:3" x14ac:dyDescent="0.75">
      <c r="A23" t="s">
        <v>23</v>
      </c>
      <c r="B23" t="s">
        <v>9</v>
      </c>
      <c r="C23" t="str">
        <f t="shared" si="0"/>
        <v>Pitts Likes Dicks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CEFE3-061D-4D45-87AE-E978F61C398B}">
  <sheetPr codeName="Sheet6"/>
  <dimension ref="A1:C23"/>
  <sheetViews>
    <sheetView workbookViewId="0">
      <selection activeCell="C1" sqref="C1:C1048576"/>
    </sheetView>
  </sheetViews>
  <sheetFormatPr defaultRowHeight="14.75" x14ac:dyDescent="0.75"/>
  <cols>
    <col min="1" max="1" width="19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48</v>
      </c>
      <c r="C2" t="str">
        <f t="shared" ref="C2:C23" si="0">IF(A2="","",IF(MID(A2,1,FIND(" ", A2,1)-1)="Matchup","",IF(A3&lt;&gt;"",A3,IF(MID(A1,1,FIND(" ", A1,1)-1)&lt;&gt;"Matchup",A1))))</f>
        <v>The Dictator</v>
      </c>
    </row>
    <row r="3" spans="1:3" x14ac:dyDescent="0.75">
      <c r="A3" t="s">
        <v>16</v>
      </c>
      <c r="B3" t="s">
        <v>111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26</v>
      </c>
      <c r="B6" t="s">
        <v>112</v>
      </c>
      <c r="C6" t="str">
        <f t="shared" si="0"/>
        <v>5 INT 7-8</v>
      </c>
    </row>
    <row r="7" spans="1:3" x14ac:dyDescent="0.75">
      <c r="A7" t="s">
        <v>6</v>
      </c>
      <c r="B7" t="s">
        <v>113</v>
      </c>
      <c r="C7" t="str">
        <f t="shared" si="0"/>
        <v>The Last Jedi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21</v>
      </c>
      <c r="B10" t="s">
        <v>114</v>
      </c>
      <c r="C10" t="str">
        <f t="shared" si="0"/>
        <v>Team Ratliff</v>
      </c>
    </row>
    <row r="11" spans="1:3" x14ac:dyDescent="0.75">
      <c r="A11" t="s">
        <v>11</v>
      </c>
      <c r="B11" t="s">
        <v>115</v>
      </c>
      <c r="C11" t="str">
        <f t="shared" si="0"/>
        <v>Team capt queef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3</v>
      </c>
      <c r="B14" t="s">
        <v>4</v>
      </c>
      <c r="C14" t="str">
        <f t="shared" si="0"/>
        <v>Team Binder</v>
      </c>
    </row>
    <row r="15" spans="1:3" x14ac:dyDescent="0.75">
      <c r="A15" t="s">
        <v>28</v>
      </c>
      <c r="B15" t="s">
        <v>71</v>
      </c>
      <c r="C15" t="str">
        <f t="shared" si="0"/>
        <v>King Goffrey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8</v>
      </c>
      <c r="B18" t="s">
        <v>116</v>
      </c>
      <c r="C18" t="str">
        <f t="shared" si="0"/>
        <v>Team Quintanilla</v>
      </c>
    </row>
    <row r="19" spans="1:3" x14ac:dyDescent="0.75">
      <c r="A19" t="s">
        <v>23</v>
      </c>
      <c r="B19" t="s">
        <v>60</v>
      </c>
      <c r="C19" t="str">
        <f t="shared" si="0"/>
        <v>Queen B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13</v>
      </c>
      <c r="B22" t="s">
        <v>117</v>
      </c>
      <c r="C22" t="str">
        <f t="shared" si="0"/>
        <v>Team No Trades</v>
      </c>
    </row>
    <row r="23" spans="1:3" x14ac:dyDescent="0.75">
      <c r="A23" t="s">
        <v>18</v>
      </c>
      <c r="B23" t="s">
        <v>118</v>
      </c>
      <c r="C23" t="str">
        <f t="shared" si="0"/>
        <v>Pitts Likes Dicks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A8D94-1D4B-4913-B726-D1E512CBB566}">
  <sheetPr codeName="Sheet5"/>
  <dimension ref="A1:C23"/>
  <sheetViews>
    <sheetView workbookViewId="0">
      <selection activeCell="C1" sqref="C1:C1048576"/>
    </sheetView>
  </sheetViews>
  <sheetFormatPr defaultRowHeight="14.75" x14ac:dyDescent="0.75"/>
  <cols>
    <col min="1" max="1" width="19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26</v>
      </c>
      <c r="B2" t="s">
        <v>119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120</v>
      </c>
      <c r="C3" t="str">
        <f t="shared" si="0"/>
        <v>The Last Jedi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21</v>
      </c>
      <c r="B6" t="s">
        <v>121</v>
      </c>
      <c r="C6" t="str">
        <f t="shared" si="0"/>
        <v>Team Binder</v>
      </c>
    </row>
    <row r="7" spans="1:3" x14ac:dyDescent="0.75">
      <c r="A7" t="s">
        <v>28</v>
      </c>
      <c r="B7" t="s">
        <v>122</v>
      </c>
      <c r="C7" t="str">
        <f t="shared" si="0"/>
        <v>Team capt queef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123</v>
      </c>
      <c r="C10" t="str">
        <f t="shared" si="0"/>
        <v>King Goffrey</v>
      </c>
    </row>
    <row r="11" spans="1:3" x14ac:dyDescent="0.75">
      <c r="A11" t="s">
        <v>3</v>
      </c>
      <c r="B11" t="s">
        <v>124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11</v>
      </c>
      <c r="B14" t="s">
        <v>46</v>
      </c>
      <c r="C14" t="str">
        <f t="shared" si="0"/>
        <v>Queen B</v>
      </c>
    </row>
    <row r="15" spans="1:3" x14ac:dyDescent="0.75">
      <c r="A15" t="s">
        <v>8</v>
      </c>
      <c r="B15" t="s">
        <v>125</v>
      </c>
      <c r="C15" t="str">
        <f t="shared" si="0"/>
        <v>Team Ratliff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6</v>
      </c>
      <c r="B18" t="s">
        <v>126</v>
      </c>
      <c r="C18" t="str">
        <f t="shared" si="0"/>
        <v>Pitts Likes Dicks</v>
      </c>
    </row>
    <row r="19" spans="1:3" x14ac:dyDescent="0.75">
      <c r="A19" t="s">
        <v>13</v>
      </c>
      <c r="B19" t="s">
        <v>127</v>
      </c>
      <c r="C19" t="str">
        <f t="shared" si="0"/>
        <v>5 INT 7-8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23</v>
      </c>
      <c r="B22" t="s">
        <v>128</v>
      </c>
      <c r="C22" t="str">
        <f t="shared" si="0"/>
        <v>Team No Trades</v>
      </c>
    </row>
    <row r="23" spans="1:3" x14ac:dyDescent="0.75">
      <c r="A23" t="s">
        <v>18</v>
      </c>
      <c r="B23" t="s">
        <v>30</v>
      </c>
      <c r="C23" t="str">
        <f t="shared" si="0"/>
        <v>Team Quintanilla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3AF3D-AD0F-463E-B6A9-27B793A9F796}">
  <sheetPr codeName="Sheet4"/>
  <dimension ref="A1:C23"/>
  <sheetViews>
    <sheetView workbookViewId="0">
      <selection activeCell="C1" sqref="C1:C1048576"/>
    </sheetView>
  </sheetViews>
  <sheetFormatPr defaultRowHeight="14.75" x14ac:dyDescent="0.75"/>
  <cols>
    <col min="1" max="1" width="19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129</v>
      </c>
      <c r="C2" t="str">
        <f t="shared" ref="C2:C23" si="0">IF(A2="","",IF(MID(A2,1,FIND(" ", A2,1)-1)="Matchup","",IF(A3&lt;&gt;"",A3,IF(MID(A1,1,FIND(" ", A1,1)-1)&lt;&gt;"Matchup",A1))))</f>
        <v>Team capt queef</v>
      </c>
    </row>
    <row r="3" spans="1:3" x14ac:dyDescent="0.75">
      <c r="A3" t="s">
        <v>21</v>
      </c>
      <c r="B3" t="s">
        <v>130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13</v>
      </c>
      <c r="B6" t="s">
        <v>131</v>
      </c>
      <c r="C6" t="str">
        <f t="shared" si="0"/>
        <v>The Last Jedi</v>
      </c>
    </row>
    <row r="7" spans="1:3" x14ac:dyDescent="0.75">
      <c r="A7" t="s">
        <v>26</v>
      </c>
      <c r="B7" t="s">
        <v>132</v>
      </c>
      <c r="C7" t="str">
        <f t="shared" si="0"/>
        <v>Pitts Likes Dicks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8</v>
      </c>
      <c r="B10" t="s">
        <v>133</v>
      </c>
      <c r="C10" t="str">
        <f t="shared" si="0"/>
        <v>Team Binder</v>
      </c>
    </row>
    <row r="11" spans="1:3" x14ac:dyDescent="0.75">
      <c r="A11" t="s">
        <v>28</v>
      </c>
      <c r="B11" t="s">
        <v>134</v>
      </c>
      <c r="C11" t="str">
        <f t="shared" si="0"/>
        <v>Queen B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23</v>
      </c>
      <c r="B14" t="s">
        <v>132</v>
      </c>
      <c r="C14" t="str">
        <f t="shared" si="0"/>
        <v>The Dictator</v>
      </c>
    </row>
    <row r="15" spans="1:3" x14ac:dyDescent="0.75">
      <c r="A15" t="s">
        <v>16</v>
      </c>
      <c r="B15" t="s">
        <v>135</v>
      </c>
      <c r="C15" t="str">
        <f t="shared" si="0"/>
        <v>Team Quintanilla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6</v>
      </c>
      <c r="B18" t="s">
        <v>136</v>
      </c>
      <c r="C18" t="str">
        <f t="shared" si="0"/>
        <v>Team Ratliff</v>
      </c>
    </row>
    <row r="19" spans="1:3" x14ac:dyDescent="0.75">
      <c r="A19" t="s">
        <v>11</v>
      </c>
      <c r="B19" t="s">
        <v>137</v>
      </c>
      <c r="C19" t="str">
        <f t="shared" si="0"/>
        <v>5 INT 7-8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3</v>
      </c>
      <c r="B22" t="s">
        <v>138</v>
      </c>
      <c r="C22" t="str">
        <f t="shared" si="0"/>
        <v>Team No Trades</v>
      </c>
    </row>
    <row r="23" spans="1:3" x14ac:dyDescent="0.75">
      <c r="A23" t="s">
        <v>18</v>
      </c>
      <c r="B23" t="s">
        <v>139</v>
      </c>
      <c r="C23" t="str">
        <f t="shared" si="0"/>
        <v>King Goffrey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59568-6206-45F4-8EE5-75EE6D202AFE}">
  <sheetPr codeName="Sheet3"/>
  <dimension ref="A1:C23"/>
  <sheetViews>
    <sheetView workbookViewId="0">
      <selection activeCell="C1" sqref="C1:C1048576"/>
    </sheetView>
  </sheetViews>
  <sheetFormatPr defaultRowHeight="14.75" x14ac:dyDescent="0.75"/>
  <cols>
    <col min="1" max="1" width="14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23</v>
      </c>
      <c r="B2" t="s">
        <v>39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140</v>
      </c>
      <c r="C3" t="str">
        <f t="shared" si="0"/>
        <v>Team Quintanilla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28</v>
      </c>
      <c r="B6" t="s">
        <v>141</v>
      </c>
      <c r="C6" t="str">
        <f t="shared" si="0"/>
        <v>Team No Trades</v>
      </c>
    </row>
    <row r="7" spans="1:3" x14ac:dyDescent="0.75">
      <c r="A7" t="s">
        <v>18</v>
      </c>
      <c r="B7" t="s">
        <v>142</v>
      </c>
      <c r="C7" t="str">
        <f t="shared" si="0"/>
        <v>Team Binder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26</v>
      </c>
      <c r="B10" t="s">
        <v>143</v>
      </c>
      <c r="C10" t="str">
        <f t="shared" si="0"/>
        <v>King Goffrey</v>
      </c>
    </row>
    <row r="11" spans="1:3" x14ac:dyDescent="0.75">
      <c r="A11" t="s">
        <v>3</v>
      </c>
      <c r="B11" t="s">
        <v>144</v>
      </c>
      <c r="C11" t="str">
        <f t="shared" si="0"/>
        <v>The Last Jedi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11</v>
      </c>
      <c r="B14" t="s">
        <v>76</v>
      </c>
      <c r="C14" t="str">
        <f t="shared" si="0"/>
        <v>The Dictator</v>
      </c>
    </row>
    <row r="15" spans="1:3" x14ac:dyDescent="0.75">
      <c r="A15" t="s">
        <v>16</v>
      </c>
      <c r="B15" t="s">
        <v>145</v>
      </c>
      <c r="C15" t="str">
        <f t="shared" si="0"/>
        <v>Team Ratliff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8</v>
      </c>
      <c r="B18" t="s">
        <v>146</v>
      </c>
      <c r="C18" t="str">
        <f t="shared" si="0"/>
        <v>Pitts Likes Dicks</v>
      </c>
    </row>
    <row r="19" spans="1:3" x14ac:dyDescent="0.75">
      <c r="A19" t="s">
        <v>13</v>
      </c>
      <c r="B19" t="s">
        <v>147</v>
      </c>
      <c r="C19" t="str">
        <f t="shared" si="0"/>
        <v>Queen B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148</v>
      </c>
      <c r="C22" t="str">
        <f t="shared" si="0"/>
        <v>5 INT 7-8</v>
      </c>
    </row>
    <row r="23" spans="1:3" x14ac:dyDescent="0.75">
      <c r="A23" t="s">
        <v>6</v>
      </c>
      <c r="B23" t="s">
        <v>149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2AA28-661A-45B7-A86B-E691AB4E0C62}">
  <sheetPr codeName="Sheet2"/>
  <dimension ref="A1:C23"/>
  <sheetViews>
    <sheetView workbookViewId="0">
      <selection activeCell="C1" sqref="C1:C1048576"/>
    </sheetView>
  </sheetViews>
  <sheetFormatPr defaultRowHeight="14.75" x14ac:dyDescent="0.75"/>
  <cols>
    <col min="1" max="1" width="17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150</v>
      </c>
      <c r="C2" t="str">
        <f t="shared" ref="C2:C23" si="0">IF(A2="","",IF(MID(A2,1,FIND(" ", A2,1)-1)="Matchup","",IF(A3&lt;&gt;"",A3,IF(MID(A1,1,FIND(" ", A1,1)-1)&lt;&gt;"Matchup",A1))))</f>
        <v>Team Binder</v>
      </c>
    </row>
    <row r="3" spans="1:3" x14ac:dyDescent="0.75">
      <c r="A3" t="s">
        <v>28</v>
      </c>
      <c r="B3" t="s">
        <v>151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6</v>
      </c>
      <c r="B6" t="s">
        <v>152</v>
      </c>
      <c r="C6" t="str">
        <f t="shared" si="0"/>
        <v>Team Quintanilla</v>
      </c>
    </row>
    <row r="7" spans="1:3" x14ac:dyDescent="0.75">
      <c r="A7" t="s">
        <v>23</v>
      </c>
      <c r="B7" t="s">
        <v>153</v>
      </c>
      <c r="C7" t="str">
        <f t="shared" si="0"/>
        <v>5 INT 7-8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8</v>
      </c>
      <c r="B10" t="s">
        <v>154</v>
      </c>
      <c r="C10" t="str">
        <f t="shared" si="0"/>
        <v>The Last Jedi</v>
      </c>
    </row>
    <row r="11" spans="1:3" x14ac:dyDescent="0.75">
      <c r="A11" t="s">
        <v>26</v>
      </c>
      <c r="B11" t="s">
        <v>155</v>
      </c>
      <c r="C11" t="str">
        <f t="shared" si="0"/>
        <v>Queen B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3</v>
      </c>
      <c r="B14" t="s">
        <v>156</v>
      </c>
      <c r="C14" t="str">
        <f t="shared" si="0"/>
        <v>Pitts Likes Dicks</v>
      </c>
    </row>
    <row r="15" spans="1:3" x14ac:dyDescent="0.75">
      <c r="A15" t="s">
        <v>13</v>
      </c>
      <c r="B15" t="s">
        <v>157</v>
      </c>
      <c r="C15" t="str">
        <f t="shared" si="0"/>
        <v>King Goffrey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18</v>
      </c>
      <c r="B18" t="s">
        <v>150</v>
      </c>
      <c r="C18" t="str">
        <f t="shared" si="0"/>
        <v>Team Ratliff</v>
      </c>
    </row>
    <row r="19" spans="1:3" x14ac:dyDescent="0.75">
      <c r="A19" t="s">
        <v>11</v>
      </c>
      <c r="B19" t="s">
        <v>158</v>
      </c>
      <c r="C19" t="str">
        <f t="shared" si="0"/>
        <v>Team No Trades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159</v>
      </c>
      <c r="C22" t="str">
        <f t="shared" si="0"/>
        <v>The Dictator</v>
      </c>
    </row>
    <row r="23" spans="1:3" x14ac:dyDescent="0.75">
      <c r="A23" t="s">
        <v>16</v>
      </c>
      <c r="B23" t="s">
        <v>160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E1255-50B5-4BD7-9233-1D2B26EF0742}">
  <sheetPr codeName="Sheet14"/>
  <dimension ref="A1:C23"/>
  <sheetViews>
    <sheetView workbookViewId="0">
      <selection activeCell="C1" sqref="C1:C1048576"/>
    </sheetView>
  </sheetViews>
  <sheetFormatPr defaultRowHeight="14.75" x14ac:dyDescent="0.75"/>
  <cols>
    <col min="1" max="1" width="12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13</v>
      </c>
      <c r="B2" t="s">
        <v>30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31</v>
      </c>
      <c r="C3" t="str">
        <f t="shared" si="0"/>
        <v>Pitts Likes Dicks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18</v>
      </c>
      <c r="B6" t="s">
        <v>32</v>
      </c>
      <c r="C6" t="str">
        <f t="shared" si="0"/>
        <v>5 INT 7-8</v>
      </c>
    </row>
    <row r="7" spans="1:3" x14ac:dyDescent="0.75">
      <c r="A7" t="s">
        <v>6</v>
      </c>
      <c r="B7" t="s">
        <v>33</v>
      </c>
      <c r="C7" t="str">
        <f t="shared" si="0"/>
        <v>Team No Trades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23</v>
      </c>
      <c r="B10" t="s">
        <v>34</v>
      </c>
      <c r="C10" t="str">
        <f t="shared" si="0"/>
        <v>Team Ratliff</v>
      </c>
    </row>
    <row r="11" spans="1:3" x14ac:dyDescent="0.75">
      <c r="A11" t="s">
        <v>11</v>
      </c>
      <c r="B11" t="s">
        <v>35</v>
      </c>
      <c r="C11" t="str">
        <f t="shared" si="0"/>
        <v>Team Quintanilla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28</v>
      </c>
      <c r="B14" t="s">
        <v>36</v>
      </c>
      <c r="C14" t="str">
        <f t="shared" si="0"/>
        <v>The Dictator</v>
      </c>
    </row>
    <row r="15" spans="1:3" x14ac:dyDescent="0.75">
      <c r="A15" t="s">
        <v>16</v>
      </c>
      <c r="B15" t="s">
        <v>37</v>
      </c>
      <c r="C15" t="str">
        <f t="shared" si="0"/>
        <v>Team Binder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26</v>
      </c>
      <c r="B18" t="s">
        <v>38</v>
      </c>
      <c r="C18" t="str">
        <f t="shared" si="0"/>
        <v>Team capt queef</v>
      </c>
    </row>
    <row r="19" spans="1:3" x14ac:dyDescent="0.75">
      <c r="A19" t="s">
        <v>21</v>
      </c>
      <c r="B19" t="s">
        <v>39</v>
      </c>
      <c r="C19" t="str">
        <f t="shared" si="0"/>
        <v>The Last Jedi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3</v>
      </c>
      <c r="B22" t="s">
        <v>40</v>
      </c>
      <c r="C22" t="str">
        <f t="shared" si="0"/>
        <v>Queen B</v>
      </c>
    </row>
    <row r="23" spans="1:3" x14ac:dyDescent="0.75">
      <c r="A23" t="s">
        <v>8</v>
      </c>
      <c r="B23" t="s">
        <v>41</v>
      </c>
      <c r="C23" t="str">
        <f t="shared" si="0"/>
        <v>King Goffrey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26658-B6E2-43BB-B81F-977E7FBCBEFF}">
  <sheetPr codeName="Sheet13"/>
  <dimension ref="A1:C23"/>
  <sheetViews>
    <sheetView workbookViewId="0">
      <selection activeCell="C1" sqref="C1:C1048576"/>
    </sheetView>
  </sheetViews>
  <sheetFormatPr defaultRowHeight="14.75" x14ac:dyDescent="0.75"/>
  <cols>
    <col min="1" max="1" width="17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42</v>
      </c>
      <c r="C2" t="str">
        <f t="shared" ref="C2:C23" si="0">IF(A2="","",IF(MID(A2,1,FIND(" ", A2,1)-1)="Matchup","",IF(A3&lt;&gt;"",A3,IF(MID(A1,1,FIND(" ", A1,1)-1)&lt;&gt;"Matchup",A1))))</f>
        <v>Team Ratliff</v>
      </c>
    </row>
    <row r="3" spans="1:3" x14ac:dyDescent="0.75">
      <c r="A3" t="s">
        <v>11</v>
      </c>
      <c r="B3" t="s">
        <v>43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26</v>
      </c>
      <c r="B6" t="s">
        <v>44</v>
      </c>
      <c r="C6" t="str">
        <f t="shared" si="0"/>
        <v>Team Quintanilla</v>
      </c>
    </row>
    <row r="7" spans="1:3" x14ac:dyDescent="0.75">
      <c r="A7" t="s">
        <v>23</v>
      </c>
      <c r="B7" t="s">
        <v>45</v>
      </c>
      <c r="C7" t="str">
        <f t="shared" si="0"/>
        <v>The Last Jedi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6</v>
      </c>
      <c r="B10" t="s">
        <v>46</v>
      </c>
      <c r="C10" t="str">
        <f t="shared" si="0"/>
        <v>The Dictator</v>
      </c>
    </row>
    <row r="11" spans="1:3" x14ac:dyDescent="0.75">
      <c r="A11" t="s">
        <v>16</v>
      </c>
      <c r="B11" t="s">
        <v>47</v>
      </c>
      <c r="C11" t="str">
        <f t="shared" si="0"/>
        <v>5 INT 7-8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8</v>
      </c>
      <c r="B14" t="s">
        <v>48</v>
      </c>
      <c r="C14" t="str">
        <f t="shared" si="0"/>
        <v>Team No Trades</v>
      </c>
    </row>
    <row r="15" spans="1:3" x14ac:dyDescent="0.75">
      <c r="A15" t="s">
        <v>18</v>
      </c>
      <c r="B15" t="s">
        <v>49</v>
      </c>
      <c r="C15" t="str">
        <f t="shared" si="0"/>
        <v>Queen B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13</v>
      </c>
      <c r="B18" t="s">
        <v>50</v>
      </c>
      <c r="C18" t="str">
        <f t="shared" si="0"/>
        <v>Team Binder</v>
      </c>
    </row>
    <row r="19" spans="1:3" x14ac:dyDescent="0.75">
      <c r="A19" t="s">
        <v>28</v>
      </c>
      <c r="B19" t="s">
        <v>51</v>
      </c>
      <c r="C19" t="str">
        <f t="shared" si="0"/>
        <v>Pitts Likes Dicks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52</v>
      </c>
      <c r="C22" t="str">
        <f t="shared" si="0"/>
        <v>King Goffrey</v>
      </c>
    </row>
    <row r="23" spans="1:3" x14ac:dyDescent="0.75">
      <c r="A23" t="s">
        <v>3</v>
      </c>
      <c r="B23" t="s">
        <v>53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8FD22-9537-43EA-9713-2C12E6FA3EB4}">
  <sheetPr codeName="Sheet12"/>
  <dimension ref="A1:C23"/>
  <sheetViews>
    <sheetView workbookViewId="0">
      <selection activeCell="C1" sqref="C1:C1048576"/>
    </sheetView>
  </sheetViews>
  <sheetFormatPr defaultRowHeight="14.75" x14ac:dyDescent="0.75"/>
  <cols>
    <col min="1" max="1" width="16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8</v>
      </c>
      <c r="B2" t="s">
        <v>54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55</v>
      </c>
      <c r="C3" t="str">
        <f t="shared" si="0"/>
        <v>Queen B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21</v>
      </c>
      <c r="B6" t="s">
        <v>56</v>
      </c>
      <c r="C6" t="str">
        <f t="shared" si="0"/>
        <v>Team No Trades</v>
      </c>
    </row>
    <row r="7" spans="1:3" x14ac:dyDescent="0.75">
      <c r="A7" t="s">
        <v>18</v>
      </c>
      <c r="B7" t="s">
        <v>57</v>
      </c>
      <c r="C7" t="str">
        <f t="shared" si="0"/>
        <v>Team capt queef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13</v>
      </c>
      <c r="B10" t="s">
        <v>58</v>
      </c>
      <c r="C10" t="str">
        <f t="shared" si="0"/>
        <v>The Dictator</v>
      </c>
    </row>
    <row r="11" spans="1:3" x14ac:dyDescent="0.75">
      <c r="A11" t="s">
        <v>16</v>
      </c>
      <c r="B11" t="s">
        <v>59</v>
      </c>
      <c r="C11" t="str">
        <f t="shared" si="0"/>
        <v>Pitts Likes Dicks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26</v>
      </c>
      <c r="B14" t="s">
        <v>60</v>
      </c>
      <c r="C14" t="str">
        <f t="shared" si="0"/>
        <v>Team Ratliff</v>
      </c>
    </row>
    <row r="15" spans="1:3" x14ac:dyDescent="0.75">
      <c r="A15" t="s">
        <v>11</v>
      </c>
      <c r="B15" t="s">
        <v>61</v>
      </c>
      <c r="C15" t="str">
        <f t="shared" si="0"/>
        <v>The Last Jedi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23</v>
      </c>
      <c r="B18" t="s">
        <v>62</v>
      </c>
      <c r="C18" t="str">
        <f t="shared" si="0"/>
        <v>King Goffrey</v>
      </c>
    </row>
    <row r="19" spans="1:3" x14ac:dyDescent="0.75">
      <c r="A19" t="s">
        <v>3</v>
      </c>
      <c r="B19" t="s">
        <v>63</v>
      </c>
      <c r="C19" t="str">
        <f t="shared" si="0"/>
        <v>Team Quintanilla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6</v>
      </c>
      <c r="B22" t="s">
        <v>64</v>
      </c>
      <c r="C22" t="str">
        <f t="shared" si="0"/>
        <v>Team Binder</v>
      </c>
    </row>
    <row r="23" spans="1:3" x14ac:dyDescent="0.75">
      <c r="A23" t="s">
        <v>28</v>
      </c>
      <c r="B23" t="s">
        <v>65</v>
      </c>
      <c r="C23" t="str">
        <f t="shared" si="0"/>
        <v>5 INT 7-8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060F-9DC5-4A89-A841-9F0864C15D30}">
  <sheetPr codeName="Sheet11"/>
  <dimension ref="A1:C23"/>
  <sheetViews>
    <sheetView zoomScale="70" zoomScaleNormal="70" workbookViewId="0">
      <selection activeCell="C1" sqref="C1:C1048576"/>
    </sheetView>
  </sheetViews>
  <sheetFormatPr defaultRowHeight="14.75" x14ac:dyDescent="0.75"/>
  <cols>
    <col min="1" max="1" width="21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66</v>
      </c>
      <c r="C2" t="str">
        <f t="shared" ref="C2:C23" si="0">IF(A2="","",IF(MID(A2,1,FIND(" ", A2,1)-1)="Matchup","",IF(A3&lt;&gt;"",A3,IF(MID(A1,1,FIND(" ", A1,1)-1)&lt;&gt;"Matchup",A1))))</f>
        <v>Team No Trades</v>
      </c>
    </row>
    <row r="3" spans="1:3" x14ac:dyDescent="0.75">
      <c r="A3" t="s">
        <v>18</v>
      </c>
      <c r="B3" t="s">
        <v>67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6</v>
      </c>
      <c r="B6" t="s">
        <v>68</v>
      </c>
      <c r="C6" t="str">
        <f t="shared" si="0"/>
        <v>King Goffrey</v>
      </c>
    </row>
    <row r="7" spans="1:3" x14ac:dyDescent="0.75">
      <c r="A7" t="s">
        <v>3</v>
      </c>
      <c r="B7" t="s">
        <v>69</v>
      </c>
      <c r="C7" t="str">
        <f t="shared" si="0"/>
        <v>5 INT 7-8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70</v>
      </c>
      <c r="C10" t="str">
        <f t="shared" si="0"/>
        <v>The Last Jedi</v>
      </c>
    </row>
    <row r="11" spans="1:3" x14ac:dyDescent="0.75">
      <c r="A11" t="s">
        <v>26</v>
      </c>
      <c r="B11" t="s">
        <v>71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21</v>
      </c>
      <c r="B14" t="s">
        <v>72</v>
      </c>
      <c r="C14" t="str">
        <f t="shared" si="0"/>
        <v>Queen B</v>
      </c>
    </row>
    <row r="15" spans="1:3" x14ac:dyDescent="0.75">
      <c r="A15" t="s">
        <v>8</v>
      </c>
      <c r="B15" t="s">
        <v>73</v>
      </c>
      <c r="C15" t="str">
        <f t="shared" si="0"/>
        <v>Team capt queef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28</v>
      </c>
      <c r="B18" t="s">
        <v>74</v>
      </c>
      <c r="C18" t="str">
        <f t="shared" si="0"/>
        <v>Team Ratliff</v>
      </c>
    </row>
    <row r="19" spans="1:3" x14ac:dyDescent="0.75">
      <c r="A19" t="s">
        <v>11</v>
      </c>
      <c r="B19" t="s">
        <v>75</v>
      </c>
      <c r="C19" t="str">
        <f t="shared" si="0"/>
        <v>Team Binder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13</v>
      </c>
      <c r="B22" t="s">
        <v>76</v>
      </c>
      <c r="C22" t="str">
        <f t="shared" si="0"/>
        <v>Team Quintanilla</v>
      </c>
    </row>
    <row r="23" spans="1:3" x14ac:dyDescent="0.75">
      <c r="A23" t="s">
        <v>23</v>
      </c>
      <c r="B23" t="s">
        <v>77</v>
      </c>
      <c r="C23" t="str">
        <f t="shared" si="0"/>
        <v>Pitts Likes Dicks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44CE-EF3B-494B-9E99-C0B970ACEF68}">
  <dimension ref="A1:C23"/>
  <sheetViews>
    <sheetView workbookViewId="0">
      <selection activeCell="C1" sqref="C1:C1048576"/>
    </sheetView>
  </sheetViews>
  <sheetFormatPr defaultRowHeight="14.75" x14ac:dyDescent="0.75"/>
  <cols>
    <col min="1" max="1" width="22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18</v>
      </c>
      <c r="B2" t="s">
        <v>150</v>
      </c>
      <c r="C2" t="str">
        <f t="shared" ref="C2:C23" si="0">IF(A2="","",IF(MID(A2,1,FIND(" ", A2,1)-1)="Matchup","",IF(A3&lt;&gt;"",A3,IF(MID(A1,1,FIND(" ", A1,1)-1)&lt;&gt;"Matchup",A1))))</f>
        <v>Team Ratliff</v>
      </c>
    </row>
    <row r="3" spans="1:3" x14ac:dyDescent="0.75">
      <c r="A3" t="s">
        <v>11</v>
      </c>
      <c r="B3" t="s">
        <v>192</v>
      </c>
      <c r="C3" t="str">
        <f t="shared" si="0"/>
        <v>Team No Trades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16</v>
      </c>
      <c r="B6" t="s">
        <v>193</v>
      </c>
      <c r="C6" t="str">
        <f t="shared" si="0"/>
        <v>Pitts Likes Dicks</v>
      </c>
    </row>
    <row r="7" spans="1:3" x14ac:dyDescent="0.75">
      <c r="A7" t="s">
        <v>13</v>
      </c>
      <c r="B7" t="s">
        <v>194</v>
      </c>
      <c r="C7" t="str">
        <f t="shared" si="0"/>
        <v>The Dictator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6</v>
      </c>
      <c r="B10" t="s">
        <v>195</v>
      </c>
      <c r="C10" t="str">
        <f t="shared" si="0"/>
        <v>King Goffrey</v>
      </c>
    </row>
    <row r="11" spans="1:3" x14ac:dyDescent="0.75">
      <c r="A11" t="s">
        <v>3</v>
      </c>
      <c r="B11" t="s">
        <v>83</v>
      </c>
      <c r="C11" t="str">
        <f t="shared" si="0"/>
        <v>5 INT 7-8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8</v>
      </c>
      <c r="B14" t="s">
        <v>196</v>
      </c>
      <c r="C14" t="str">
        <f t="shared" si="0"/>
        <v>Team Binder</v>
      </c>
    </row>
    <row r="15" spans="1:3" x14ac:dyDescent="0.75">
      <c r="A15" t="s">
        <v>28</v>
      </c>
      <c r="B15" t="s">
        <v>197</v>
      </c>
      <c r="C15" t="str">
        <f t="shared" si="0"/>
        <v>Queen B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21</v>
      </c>
      <c r="B18" t="s">
        <v>198</v>
      </c>
      <c r="C18" t="str">
        <f t="shared" si="0"/>
        <v>Octobers Very Own</v>
      </c>
    </row>
    <row r="19" spans="1:3" x14ac:dyDescent="0.75">
      <c r="A19" t="s">
        <v>1</v>
      </c>
      <c r="B19" t="s">
        <v>199</v>
      </c>
      <c r="C19" t="str">
        <f t="shared" si="0"/>
        <v>Team capt queef</v>
      </c>
    </row>
    <row r="20" spans="1:3" x14ac:dyDescent="0.75">
      <c r="C20" t="str">
        <f t="shared" si="0"/>
        <v/>
      </c>
    </row>
    <row r="21" spans="1:3" x14ac:dyDescent="0.75">
      <c r="C21" t="str">
        <f t="shared" si="0"/>
        <v/>
      </c>
    </row>
    <row r="22" spans="1:3" x14ac:dyDescent="0.75">
      <c r="C22" t="str">
        <f t="shared" si="0"/>
        <v/>
      </c>
    </row>
    <row r="23" spans="1:3" x14ac:dyDescent="0.75">
      <c r="C23" t="str">
        <f t="shared" si="0"/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36D-FD1B-4537-B526-00AA36D6C78C}">
  <dimension ref="A1:C23"/>
  <sheetViews>
    <sheetView workbookViewId="0">
      <selection activeCell="C1" sqref="C1:C1048576"/>
    </sheetView>
  </sheetViews>
  <sheetFormatPr defaultRowHeight="14.75" x14ac:dyDescent="0.75"/>
  <cols>
    <col min="1" max="1" width="16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18</v>
      </c>
      <c r="B2" t="s">
        <v>76</v>
      </c>
      <c r="C2" t="str">
        <f t="shared" ref="C2:C23" si="0">IF(A2="","",IF(MID(A2,1,FIND(" ", A2,1)-1)="Matchup","",IF(A3&lt;&gt;"",A3,IF(MID(A1,1,FIND(" ", A1,1)-1)&lt;&gt;"Matchup",A1))))</f>
        <v>The Last Jedi</v>
      </c>
    </row>
    <row r="3" spans="1:3" x14ac:dyDescent="0.75">
      <c r="A3" t="s">
        <v>26</v>
      </c>
      <c r="B3" t="s">
        <v>200</v>
      </c>
      <c r="C3" t="str">
        <f t="shared" si="0"/>
        <v>Team No Trades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13</v>
      </c>
      <c r="B6" t="s">
        <v>74</v>
      </c>
      <c r="C6" t="str">
        <f t="shared" si="0"/>
        <v>Team Quintanilla</v>
      </c>
    </row>
    <row r="7" spans="1:3" x14ac:dyDescent="0.75">
      <c r="A7" t="s">
        <v>23</v>
      </c>
      <c r="B7" t="s">
        <v>201</v>
      </c>
      <c r="C7" t="str">
        <f t="shared" si="0"/>
        <v>Pitts Likes Dicks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202</v>
      </c>
      <c r="C10" t="str">
        <f t="shared" si="0"/>
        <v>Team Ratliff</v>
      </c>
    </row>
    <row r="11" spans="1:3" x14ac:dyDescent="0.75">
      <c r="A11" t="s">
        <v>11</v>
      </c>
      <c r="B11" t="s">
        <v>203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8</v>
      </c>
      <c r="B14" t="s">
        <v>204</v>
      </c>
      <c r="C14" t="str">
        <f t="shared" si="0"/>
        <v>5 INT 7-8</v>
      </c>
    </row>
    <row r="15" spans="1:3" x14ac:dyDescent="0.75">
      <c r="A15" t="s">
        <v>6</v>
      </c>
      <c r="B15" t="s">
        <v>84</v>
      </c>
      <c r="C15" t="str">
        <f t="shared" si="0"/>
        <v>Queen B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</v>
      </c>
      <c r="B18" t="s">
        <v>205</v>
      </c>
      <c r="C18" t="str">
        <f t="shared" si="0"/>
        <v>King Goffrey</v>
      </c>
    </row>
    <row r="19" spans="1:3" x14ac:dyDescent="0.75">
      <c r="A19" t="s">
        <v>3</v>
      </c>
      <c r="B19" t="s">
        <v>193</v>
      </c>
      <c r="C19" t="str">
        <f t="shared" si="0"/>
        <v>Octobers Very Own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206</v>
      </c>
      <c r="C22" t="str">
        <f t="shared" si="0"/>
        <v>Team Binder</v>
      </c>
    </row>
    <row r="23" spans="1:3" x14ac:dyDescent="0.75">
      <c r="A23" t="s">
        <v>28</v>
      </c>
      <c r="B23" t="s">
        <v>31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21DFF-3AF6-4424-9A66-2DCD8FE457F7}">
  <dimension ref="A1:C23"/>
  <sheetViews>
    <sheetView workbookViewId="0">
      <selection activeCell="C1" sqref="C1:C1048576"/>
    </sheetView>
  </sheetViews>
  <sheetFormatPr defaultRowHeight="14.75" x14ac:dyDescent="0.75"/>
  <cols>
    <col min="1" max="1" width="17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13</v>
      </c>
      <c r="B2" t="s">
        <v>207</v>
      </c>
      <c r="C2" t="str">
        <f t="shared" ref="C2:C23" si="0">IF(A2="","",IF(MID(A2,1,FIND(" ", A2,1)-1)="Matchup","",IF(A3&lt;&gt;"",A3,IF(MID(A1,1,FIND(" ", A1,1)-1)&lt;&gt;"Matchup",A1))))</f>
        <v>The Last Jedi</v>
      </c>
    </row>
    <row r="3" spans="1:3" x14ac:dyDescent="0.75">
      <c r="A3" t="s">
        <v>26</v>
      </c>
      <c r="B3" t="s">
        <v>154</v>
      </c>
      <c r="C3" t="str">
        <f t="shared" si="0"/>
        <v>Pitts Likes Dicks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18</v>
      </c>
      <c r="B6" t="s">
        <v>67</v>
      </c>
      <c r="C6" t="str">
        <f t="shared" si="0"/>
        <v>Team Quintanilla</v>
      </c>
    </row>
    <row r="7" spans="1:3" x14ac:dyDescent="0.75">
      <c r="A7" t="s">
        <v>23</v>
      </c>
      <c r="B7" t="s">
        <v>34</v>
      </c>
      <c r="C7" t="str">
        <f t="shared" si="0"/>
        <v>Team No Trades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208</v>
      </c>
      <c r="C10" t="str">
        <f t="shared" si="0"/>
        <v>Team Ratliff</v>
      </c>
    </row>
    <row r="11" spans="1:3" x14ac:dyDescent="0.75">
      <c r="A11" t="s">
        <v>11</v>
      </c>
      <c r="B11" t="s">
        <v>156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</v>
      </c>
      <c r="B14" t="s">
        <v>209</v>
      </c>
      <c r="C14" t="str">
        <f t="shared" si="0"/>
        <v>Queen B</v>
      </c>
    </row>
    <row r="15" spans="1:3" x14ac:dyDescent="0.75">
      <c r="A15" t="s">
        <v>8</v>
      </c>
      <c r="B15" t="s">
        <v>210</v>
      </c>
      <c r="C15" t="str">
        <f t="shared" si="0"/>
        <v>Octobers Very Own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28</v>
      </c>
      <c r="B18" t="s">
        <v>211</v>
      </c>
      <c r="C18" t="str">
        <f t="shared" si="0"/>
        <v>5 INT 7-8</v>
      </c>
    </row>
    <row r="19" spans="1:3" x14ac:dyDescent="0.75">
      <c r="A19" t="s">
        <v>6</v>
      </c>
      <c r="B19" t="s">
        <v>212</v>
      </c>
      <c r="C19" t="str">
        <f t="shared" si="0"/>
        <v>Team Binder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213</v>
      </c>
      <c r="C22" t="str">
        <f t="shared" si="0"/>
        <v>King Goffrey</v>
      </c>
    </row>
    <row r="23" spans="1:3" x14ac:dyDescent="0.75">
      <c r="A23" t="s">
        <v>3</v>
      </c>
      <c r="B23" t="s">
        <v>214</v>
      </c>
      <c r="C23" t="str">
        <f t="shared" si="0"/>
        <v>Team capt queef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Key</vt:lpstr>
      <vt:lpstr>Main</vt:lpstr>
      <vt:lpstr>Points For</vt:lpstr>
      <vt:lpstr>Schedule Optimizer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2018-02-02T20:08:36Z</dcterms:created>
  <dcterms:modified xsi:type="dcterms:W3CDTF">2018-04-14T18:47:19Z</dcterms:modified>
</cp:coreProperties>
</file>