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ython36\projects\ESPN_Data\Master_Sheets\"/>
    </mc:Choice>
  </mc:AlternateContent>
  <bookViews>
    <workbookView xWindow="0" yWindow="0" windowWidth="19200" windowHeight="6620" xr2:uid="{803A1CC4-7FB0-4A84-A5BC-CACCD63C0CFC}"/>
  </bookViews>
  <sheets>
    <sheet name="Team Stats" sheetId="29" r:id="rId1"/>
    <sheet name="Season Positional Summary" sheetId="28" r:id="rId2"/>
    <sheet name="All Positional Stats" sheetId="1" r:id="rId3"/>
    <sheet name="5 INT 7-8" sheetId="2" state="hidden" r:id="rId4"/>
    <sheet name="Octobers Very Own" sheetId="4" state="hidden" r:id="rId5"/>
    <sheet name="King Goffrey" sheetId="3" state="hidden" r:id="rId6"/>
    <sheet name="Pitts Likes Dicks" sheetId="5" state="hidden" r:id="rId7"/>
    <sheet name="Queen B" sheetId="6" state="hidden" r:id="rId8"/>
    <sheet name="Team Binder" sheetId="7" state="hidden" r:id="rId9"/>
    <sheet name="Team capt queef" sheetId="8" state="hidden" r:id="rId10"/>
    <sheet name="Team No Trades" sheetId="10" state="hidden" r:id="rId11"/>
    <sheet name="Team Quintanilla" sheetId="11" state="hidden" r:id="rId12"/>
    <sheet name="Team Ratliff" sheetId="12" state="hidden" r:id="rId13"/>
    <sheet name="The Dictator" sheetId="13" state="hidden" r:id="rId14"/>
    <sheet name="The Last Jedi" sheetId="14" state="hidden" r:id="rId15"/>
  </sheets>
  <definedNames>
    <definedName name="DST_Table">'All Positional Stats'!$A$106:$AO$119</definedName>
    <definedName name="ExternalData_1" localSheetId="3" hidden="1">'5 INT 7-8'!$A$1:$W$31</definedName>
    <definedName name="ExternalData_1" localSheetId="5" hidden="1">'King Goffrey'!$A$1:$W$31</definedName>
    <definedName name="ExternalData_1" localSheetId="4" hidden="1">'Octobers Very Own'!$A$1:$W$31</definedName>
    <definedName name="ExternalData_1" localSheetId="6" hidden="1">'Pitts Likes Dicks'!$A$1:$W$31</definedName>
    <definedName name="ExternalData_1" localSheetId="7" hidden="1">'Queen B'!$A$1:$W$31</definedName>
    <definedName name="ExternalData_1" localSheetId="8" hidden="1">'Team Binder'!$A$1:$W$31</definedName>
    <definedName name="ExternalData_1" localSheetId="9" hidden="1">'Team capt queef'!$A$1:$W$31</definedName>
    <definedName name="ExternalData_1" localSheetId="10" hidden="1">'Team No Trades'!$A$1:$W$31</definedName>
    <definedName name="ExternalData_1" localSheetId="11" hidden="1">'Team Quintanilla'!$A$1:$W$31</definedName>
    <definedName name="ExternalData_1" localSheetId="12" hidden="1">'Team Ratliff'!$A$1:$W$31</definedName>
    <definedName name="ExternalData_1" localSheetId="13" hidden="1">'The Dictator'!$A$1:$W$31</definedName>
    <definedName name="ExternalData_1" localSheetId="14" hidden="1">'The Last Jedi'!$A$1:$W$31</definedName>
    <definedName name="FLEX_Table">'All Positional Stats'!$A$91:$AO$104</definedName>
    <definedName name="QB_Table">'All Positional Stats'!$A$1:$AO$14</definedName>
    <definedName name="RB1_Table">'All Positional Stats'!$A$16:$AO$29</definedName>
    <definedName name="RB2_Table">'All Positional Stats'!$A$31:$AO$44</definedName>
    <definedName name="TE_Table">'All Positional Stats'!$A$76:$AO$89</definedName>
    <definedName name="WR1_Table">'All Positional Stats'!$A$46:$AO$59</definedName>
    <definedName name="WR2_Table">'All Positional Stats'!$A$61:$AO$74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9" l="1"/>
  <c r="L5" i="29"/>
  <c r="I6" i="29"/>
  <c r="F7" i="29"/>
  <c r="C8" i="29"/>
  <c r="K8" i="29"/>
  <c r="E12" i="29"/>
  <c r="M12" i="29"/>
  <c r="J13" i="29"/>
  <c r="G14" i="29"/>
  <c r="E5" i="29"/>
  <c r="M5" i="29"/>
  <c r="J6" i="29"/>
  <c r="G7" i="29"/>
  <c r="D8" i="29"/>
  <c r="L8" i="29"/>
  <c r="F12" i="29"/>
  <c r="C13" i="29"/>
  <c r="K13" i="29"/>
  <c r="H14" i="29"/>
  <c r="F5" i="29"/>
  <c r="C6" i="29"/>
  <c r="K6" i="29"/>
  <c r="H7" i="29"/>
  <c r="E8" i="29"/>
  <c r="M8" i="29"/>
  <c r="G12" i="29"/>
  <c r="D13" i="29"/>
  <c r="L13" i="29"/>
  <c r="I14" i="29"/>
  <c r="J5" i="29"/>
  <c r="H13" i="29"/>
  <c r="H6" i="29"/>
  <c r="D12" i="29"/>
  <c r="G5" i="29"/>
  <c r="D6" i="29"/>
  <c r="L6" i="29"/>
  <c r="I7" i="29"/>
  <c r="F8" i="29"/>
  <c r="H12" i="29"/>
  <c r="E13" i="29"/>
  <c r="M13" i="29"/>
  <c r="J14" i="29"/>
  <c r="L14" i="29"/>
  <c r="D7" i="29"/>
  <c r="I8" i="29"/>
  <c r="E14" i="29"/>
  <c r="K5" i="29"/>
  <c r="M7" i="29"/>
  <c r="I13" i="29"/>
  <c r="H5" i="29"/>
  <c r="E6" i="29"/>
  <c r="M6" i="29"/>
  <c r="J7" i="29"/>
  <c r="G8" i="29"/>
  <c r="I12" i="29"/>
  <c r="F13" i="29"/>
  <c r="C14" i="29"/>
  <c r="K14" i="29"/>
  <c r="D14" i="29"/>
  <c r="L7" i="29"/>
  <c r="K12" i="29"/>
  <c r="C5" i="29"/>
  <c r="J8" i="29"/>
  <c r="F14" i="29"/>
  <c r="I5" i="29"/>
  <c r="F6" i="29"/>
  <c r="C7" i="29"/>
  <c r="K7" i="29"/>
  <c r="H8" i="29"/>
  <c r="J12" i="29"/>
  <c r="G13" i="29"/>
  <c r="G6" i="29"/>
  <c r="C12" i="29"/>
  <c r="M14" i="29"/>
  <c r="E7" i="29"/>
  <c r="L12" i="29"/>
  <c r="C4" i="29"/>
  <c r="K4" i="29"/>
  <c r="D4" i="29"/>
  <c r="L4" i="29"/>
  <c r="E4" i="29"/>
  <c r="M4" i="29"/>
  <c r="F4" i="29"/>
  <c r="J4" i="29"/>
  <c r="G4" i="29"/>
  <c r="I4" i="29"/>
  <c r="H4" i="29"/>
  <c r="B6" i="29"/>
  <c r="B13" i="29"/>
  <c r="B8" i="29"/>
  <c r="B7" i="29"/>
  <c r="B12" i="29"/>
  <c r="B5" i="29"/>
  <c r="B14" i="29"/>
  <c r="B4" i="29"/>
  <c r="G3" i="29"/>
  <c r="D3" i="29"/>
  <c r="M3" i="29"/>
  <c r="H3" i="29"/>
  <c r="I3" i="29"/>
  <c r="E3" i="29"/>
  <c r="J3" i="29"/>
  <c r="K3" i="29"/>
  <c r="L3" i="29"/>
  <c r="F3" i="29"/>
  <c r="C3" i="29"/>
  <c r="B3" i="29"/>
  <c r="H2" i="29"/>
  <c r="I2" i="29"/>
  <c r="L2" i="29"/>
  <c r="E2" i="29"/>
  <c r="G2" i="29"/>
  <c r="J2" i="29"/>
  <c r="K2" i="29"/>
  <c r="D2" i="29"/>
  <c r="M2" i="29"/>
  <c r="F2" i="29"/>
  <c r="C2" i="29"/>
  <c r="B2" i="29"/>
  <c r="AI35" i="1"/>
  <c r="AH34" i="1"/>
  <c r="AK37" i="1"/>
  <c r="AL24" i="1"/>
  <c r="AH29" i="1"/>
  <c r="AH8" i="1"/>
  <c r="V11" i="1"/>
  <c r="X7" i="1"/>
  <c r="X114" i="1"/>
  <c r="R95" i="1"/>
  <c r="AM116" i="1"/>
  <c r="AL66" i="1"/>
  <c r="AJ56" i="1"/>
  <c r="P98" i="1"/>
  <c r="T111" i="1"/>
  <c r="V50" i="1"/>
  <c r="AB101" i="1"/>
  <c r="AD101" i="1"/>
  <c r="T96" i="1"/>
  <c r="AH117" i="1"/>
  <c r="AH119" i="1"/>
  <c r="AH78" i="1"/>
  <c r="AH85" i="1"/>
  <c r="P4" i="1"/>
  <c r="AI27" i="1"/>
  <c r="AB85" i="1"/>
  <c r="H3" i="1"/>
  <c r="J85" i="1"/>
  <c r="L113" i="1"/>
  <c r="H57" i="1"/>
  <c r="X65" i="1"/>
  <c r="AI116" i="1"/>
  <c r="AI85" i="1"/>
  <c r="AH110" i="1"/>
  <c r="AM70" i="1"/>
  <c r="AJ101" i="1"/>
  <c r="AI44" i="1"/>
  <c r="AL64" i="1"/>
  <c r="X109" i="1"/>
  <c r="AK14" i="1"/>
  <c r="P86" i="1"/>
  <c r="P12" i="1"/>
  <c r="H64" i="1"/>
  <c r="AF94" i="1"/>
  <c r="AL118" i="1"/>
  <c r="D57" i="1"/>
  <c r="B119" i="1"/>
  <c r="AD7" i="1"/>
  <c r="F80" i="1"/>
  <c r="H12" i="1"/>
  <c r="H85" i="1"/>
  <c r="N8" i="1"/>
  <c r="X69" i="1"/>
  <c r="R113" i="1"/>
  <c r="AF72" i="1"/>
  <c r="AM102" i="1"/>
  <c r="AL29" i="1"/>
  <c r="AJ73" i="1"/>
  <c r="V117" i="1"/>
  <c r="AH7" i="1"/>
  <c r="R83" i="1"/>
  <c r="AF37" i="1"/>
  <c r="F25" i="1"/>
  <c r="N4" i="1"/>
  <c r="AB63" i="1"/>
  <c r="V8" i="1"/>
  <c r="R70" i="1"/>
  <c r="J11" i="1"/>
  <c r="AF67" i="1"/>
  <c r="X111" i="1"/>
  <c r="AL83" i="1"/>
  <c r="AL89" i="1"/>
  <c r="AK57" i="1"/>
  <c r="AM56" i="1"/>
  <c r="AM11" i="1"/>
  <c r="T10" i="1"/>
  <c r="AB9" i="1"/>
  <c r="T33" i="1"/>
  <c r="AH55" i="1"/>
  <c r="AK48" i="1"/>
  <c r="AK51" i="1"/>
  <c r="AM34" i="1"/>
  <c r="AK43" i="1"/>
  <c r="AJ25" i="1"/>
  <c r="AM5" i="1"/>
  <c r="H4" i="1"/>
  <c r="AB117" i="1"/>
  <c r="N117" i="1"/>
  <c r="AB102" i="1"/>
  <c r="AM98" i="1"/>
  <c r="AK67" i="1"/>
  <c r="F111" i="1"/>
  <c r="N11" i="1"/>
  <c r="V67" i="1"/>
  <c r="AD112" i="1"/>
  <c r="X119" i="1"/>
  <c r="AH59" i="1"/>
  <c r="H10" i="1"/>
  <c r="AH5" i="1"/>
  <c r="J25" i="1"/>
  <c r="AB74" i="1"/>
  <c r="AH93" i="1"/>
  <c r="AF71" i="1"/>
  <c r="AI84" i="1"/>
  <c r="AL41" i="1"/>
  <c r="R67" i="1"/>
  <c r="D113" i="1"/>
  <c r="V113" i="1"/>
  <c r="L108" i="1"/>
  <c r="B109" i="1"/>
  <c r="X98" i="1"/>
  <c r="AI119" i="1"/>
  <c r="AJ93" i="1"/>
  <c r="AM41" i="1"/>
  <c r="AL20" i="1"/>
  <c r="D97" i="1"/>
  <c r="AI13" i="1"/>
  <c r="AD85" i="1"/>
  <c r="R116" i="1"/>
  <c r="AD72" i="1"/>
  <c r="R68" i="1"/>
  <c r="V51" i="1"/>
  <c r="AK22" i="1"/>
  <c r="AF103" i="1"/>
  <c r="AI21" i="1"/>
  <c r="F79" i="1"/>
  <c r="AI7" i="1"/>
  <c r="X85" i="1"/>
  <c r="F8" i="1"/>
  <c r="H69" i="1"/>
  <c r="AD103" i="1"/>
  <c r="AK100" i="1"/>
  <c r="AL99" i="1"/>
  <c r="AH28" i="1"/>
  <c r="AJ35" i="1"/>
  <c r="L98" i="1"/>
  <c r="H102" i="1"/>
  <c r="AL5" i="1"/>
  <c r="AF82" i="1"/>
  <c r="AK8" i="1"/>
  <c r="R86" i="1"/>
  <c r="R8" i="1"/>
  <c r="L78" i="1"/>
  <c r="AB4" i="1"/>
  <c r="P67" i="1"/>
  <c r="AL108" i="1"/>
  <c r="AI59" i="1"/>
  <c r="AJ88" i="1"/>
  <c r="H5" i="1"/>
  <c r="AJ22" i="1"/>
  <c r="B95" i="1"/>
  <c r="X55" i="1"/>
  <c r="B42" i="1"/>
  <c r="AM104" i="1"/>
  <c r="AK36" i="1"/>
  <c r="AI94" i="1"/>
  <c r="AI34" i="1"/>
  <c r="AH84" i="1"/>
  <c r="F11" i="1"/>
  <c r="AJ57" i="1"/>
  <c r="H94" i="1"/>
  <c r="H7" i="1"/>
  <c r="X79" i="1"/>
  <c r="D111" i="1"/>
  <c r="L70" i="1"/>
  <c r="AJ112" i="1"/>
  <c r="AK93" i="1"/>
  <c r="AL70" i="1"/>
  <c r="AJ96" i="1"/>
  <c r="AL88" i="1"/>
  <c r="AJ83" i="1"/>
  <c r="AL86" i="1"/>
  <c r="AI64" i="1"/>
  <c r="AJ74" i="1"/>
  <c r="AH52" i="1"/>
  <c r="AK41" i="1"/>
  <c r="AB7" i="1"/>
  <c r="R14" i="1"/>
  <c r="P112" i="1"/>
  <c r="V111" i="1"/>
  <c r="AK118" i="1"/>
  <c r="AM54" i="1"/>
  <c r="AM93" i="1"/>
  <c r="P114" i="1"/>
  <c r="X115" i="1"/>
  <c r="N114" i="1"/>
  <c r="L110" i="1"/>
  <c r="AB109" i="1"/>
  <c r="P110" i="1"/>
  <c r="B111" i="1"/>
  <c r="AK112" i="1"/>
  <c r="AL67" i="1"/>
  <c r="AM35" i="1"/>
  <c r="D95" i="1"/>
  <c r="AH4" i="1"/>
  <c r="N86" i="1"/>
  <c r="N108" i="1"/>
  <c r="AD74" i="1"/>
  <c r="V63" i="1"/>
  <c r="D3" i="1"/>
  <c r="X117" i="1"/>
  <c r="AF111" i="1"/>
  <c r="L116" i="1"/>
  <c r="N63" i="1"/>
  <c r="J3" i="1"/>
  <c r="D66" i="1"/>
  <c r="AL33" i="1"/>
  <c r="J97" i="1"/>
  <c r="AL35" i="1"/>
  <c r="Z97" i="1"/>
  <c r="AI20" i="1"/>
  <c r="AD83" i="1"/>
  <c r="AF7" i="1"/>
  <c r="R88" i="1"/>
  <c r="AD117" i="1"/>
  <c r="P56" i="1"/>
  <c r="AK108" i="1"/>
  <c r="AI56" i="1"/>
  <c r="AJ55" i="1"/>
  <c r="T104" i="1"/>
  <c r="H116" i="1"/>
  <c r="J35" i="1"/>
  <c r="X94" i="1"/>
  <c r="AJ117" i="1"/>
  <c r="AF98" i="1"/>
  <c r="AJ111" i="1"/>
  <c r="AM113" i="1"/>
  <c r="AL71" i="1"/>
  <c r="AJ81" i="1"/>
  <c r="AB10" i="1"/>
  <c r="AJ5" i="1"/>
  <c r="AF87" i="1"/>
  <c r="V6" i="1"/>
  <c r="R89" i="1"/>
  <c r="N118" i="1"/>
  <c r="AD56" i="1"/>
  <c r="AD63" i="1"/>
  <c r="AH111" i="1"/>
  <c r="AH83" i="1"/>
  <c r="AI115" i="1"/>
  <c r="AL68" i="1"/>
  <c r="AL100" i="1"/>
  <c r="AH26" i="1"/>
  <c r="AJ70" i="1"/>
  <c r="F116" i="1"/>
  <c r="AD3" i="1"/>
  <c r="P85" i="1"/>
  <c r="AD13" i="1"/>
  <c r="AD66" i="1"/>
  <c r="N97" i="1"/>
  <c r="AM112" i="1"/>
  <c r="F49" i="1"/>
  <c r="AK79" i="1"/>
  <c r="L10" i="1"/>
  <c r="R82" i="1"/>
  <c r="L9" i="1"/>
  <c r="T78" i="1"/>
  <c r="Z10" i="1"/>
  <c r="Z74" i="1"/>
  <c r="L118" i="1"/>
  <c r="AM97" i="1"/>
  <c r="AH104" i="1"/>
  <c r="AJ69" i="1"/>
  <c r="AK74" i="1"/>
  <c r="AH3" i="1"/>
  <c r="AI10" i="1"/>
  <c r="AL95" i="1"/>
  <c r="N36" i="1"/>
  <c r="T5" i="1"/>
  <c r="Z6" i="1"/>
  <c r="AB13" i="1"/>
  <c r="D11" i="1"/>
  <c r="V9" i="1"/>
  <c r="B8" i="1"/>
  <c r="D118" i="1"/>
  <c r="F114" i="1"/>
  <c r="AH80" i="1"/>
  <c r="J9" i="1"/>
  <c r="AJ59" i="1"/>
  <c r="V93" i="1"/>
  <c r="N3" i="1"/>
  <c r="AD89" i="1"/>
  <c r="AF79" i="1"/>
  <c r="L44" i="1"/>
  <c r="AL52" i="1"/>
  <c r="L104" i="1"/>
  <c r="AL51" i="1"/>
  <c r="R102" i="1"/>
  <c r="AI39" i="1"/>
  <c r="X104" i="1"/>
  <c r="AH6" i="1"/>
  <c r="P78" i="1"/>
  <c r="D109" i="1"/>
  <c r="AB51" i="1"/>
  <c r="AH112" i="1"/>
  <c r="AH100" i="1"/>
  <c r="AH68" i="1"/>
  <c r="AF119" i="1"/>
  <c r="Z12" i="1"/>
  <c r="AB48" i="1"/>
  <c r="L64" i="1"/>
  <c r="AF49" i="1"/>
  <c r="L100" i="1"/>
  <c r="X71" i="1"/>
  <c r="AB66" i="1"/>
  <c r="R112" i="1"/>
  <c r="D59" i="1"/>
  <c r="B3" i="1"/>
  <c r="AF57" i="1"/>
  <c r="AD119" i="1"/>
  <c r="J102" i="1"/>
  <c r="L59" i="1"/>
  <c r="V24" i="1"/>
  <c r="AK26" i="1"/>
  <c r="B63" i="1"/>
  <c r="N78" i="1"/>
  <c r="AI71" i="1"/>
  <c r="AJ21" i="1"/>
  <c r="H119" i="1"/>
  <c r="T102" i="1"/>
  <c r="D74" i="1"/>
  <c r="AI99" i="1"/>
  <c r="AI93" i="1"/>
  <c r="AB80" i="1"/>
  <c r="AK81" i="1"/>
  <c r="T110" i="1"/>
  <c r="X88" i="1"/>
  <c r="T98" i="1"/>
  <c r="B29" i="1"/>
  <c r="H118" i="1"/>
  <c r="J55" i="1"/>
  <c r="D112" i="1"/>
  <c r="T89" i="1"/>
  <c r="T117" i="1"/>
  <c r="N56" i="1"/>
  <c r="X110" i="1"/>
  <c r="D50" i="1"/>
  <c r="F101" i="1"/>
  <c r="AI108" i="1"/>
  <c r="AJ94" i="1"/>
  <c r="AH33" i="1"/>
  <c r="AM27" i="1"/>
  <c r="P99" i="1"/>
  <c r="V3" i="1"/>
  <c r="F84" i="1"/>
  <c r="P108" i="1"/>
  <c r="AD71" i="1"/>
  <c r="T72" i="1"/>
  <c r="AM117" i="1"/>
  <c r="AH21" i="1"/>
  <c r="B97" i="1"/>
  <c r="AK21" i="1"/>
  <c r="P84" i="1"/>
  <c r="AJ7" i="1"/>
  <c r="AF78" i="1"/>
  <c r="R10" i="1"/>
  <c r="J74" i="1"/>
  <c r="AJ113" i="1"/>
  <c r="AH95" i="1"/>
  <c r="AH96" i="1"/>
  <c r="AI18" i="1"/>
  <c r="AK35" i="1"/>
  <c r="D94" i="1"/>
  <c r="F50" i="1"/>
  <c r="AM4" i="1"/>
  <c r="Z87" i="1"/>
  <c r="AL8" i="1"/>
  <c r="J79" i="1"/>
  <c r="T13" i="1"/>
  <c r="L82" i="1"/>
  <c r="B4" i="1"/>
  <c r="AI111" i="1"/>
  <c r="AM99" i="1"/>
  <c r="AM87" i="1"/>
  <c r="AK78" i="1"/>
  <c r="AM19" i="1"/>
  <c r="AH24" i="1"/>
  <c r="X3" i="1"/>
  <c r="AB36" i="1"/>
  <c r="AI113" i="1"/>
  <c r="AM101" i="1"/>
  <c r="AK97" i="1"/>
  <c r="AK99" i="1"/>
  <c r="AM88" i="1"/>
  <c r="AI80" i="1"/>
  <c r="AI49" i="1"/>
  <c r="AM49" i="1"/>
  <c r="P7" i="1"/>
  <c r="X11" i="1"/>
  <c r="L12" i="1"/>
  <c r="P113" i="1"/>
  <c r="AL110" i="1"/>
  <c r="AH102" i="1"/>
  <c r="Z54" i="1"/>
  <c r="AM26" i="1"/>
  <c r="AH99" i="1"/>
  <c r="AL25" i="1"/>
  <c r="AI81" i="1"/>
  <c r="AJ12" i="1"/>
  <c r="AJ64" i="1"/>
  <c r="T8" i="1"/>
  <c r="AL34" i="1"/>
  <c r="F103" i="1"/>
  <c r="J10" i="1"/>
  <c r="X73" i="1"/>
  <c r="J117" i="1"/>
  <c r="AD68" i="1"/>
  <c r="AL96" i="1"/>
  <c r="AI55" i="1"/>
  <c r="AH97" i="1"/>
  <c r="N89" i="1"/>
  <c r="H108" i="1"/>
  <c r="D70" i="1"/>
  <c r="L114" i="1"/>
  <c r="AB56" i="1"/>
  <c r="AB112" i="1"/>
  <c r="H52" i="1"/>
  <c r="AL119" i="1"/>
  <c r="AI74" i="1"/>
  <c r="AK44" i="1"/>
  <c r="AB99" i="1"/>
  <c r="AI12" i="1"/>
  <c r="R80" i="1"/>
  <c r="Z110" i="1"/>
  <c r="H68" i="1"/>
  <c r="T66" i="1"/>
  <c r="T69" i="1"/>
  <c r="N112" i="1"/>
  <c r="AB100" i="1"/>
  <c r="AM23" i="1"/>
  <c r="AB82" i="1"/>
  <c r="D7" i="1"/>
  <c r="AF50" i="1"/>
  <c r="T94" i="1"/>
  <c r="J36" i="1"/>
  <c r="AF100" i="1"/>
  <c r="N38" i="1"/>
  <c r="F27" i="1"/>
  <c r="T108" i="1"/>
  <c r="B78" i="1"/>
  <c r="V79" i="1"/>
  <c r="V20" i="1"/>
  <c r="H24" i="1"/>
  <c r="H14" i="1"/>
  <c r="AD94" i="1"/>
  <c r="J54" i="1"/>
  <c r="H83" i="1"/>
  <c r="AB71" i="1"/>
  <c r="AD44" i="1"/>
  <c r="J41" i="1"/>
  <c r="Z26" i="1"/>
  <c r="H33" i="1"/>
  <c r="B70" i="1"/>
  <c r="L21" i="1"/>
  <c r="AF6" i="1"/>
  <c r="AJ34" i="1"/>
  <c r="N99" i="1"/>
  <c r="AH38" i="1"/>
  <c r="P95" i="1"/>
  <c r="AJ18" i="1"/>
  <c r="Z88" i="1"/>
  <c r="AF3" i="1"/>
  <c r="L86" i="1"/>
  <c r="F93" i="1"/>
  <c r="AJ115" i="1"/>
  <c r="AL93" i="1"/>
  <c r="AL56" i="1"/>
  <c r="AL55" i="1"/>
  <c r="D10" i="1"/>
  <c r="V56" i="1"/>
  <c r="AH89" i="1"/>
  <c r="R99" i="1"/>
  <c r="AL112" i="1"/>
  <c r="Z103" i="1"/>
  <c r="AM111" i="1"/>
  <c r="AH109" i="1"/>
  <c r="AI79" i="1"/>
  <c r="AH79" i="1"/>
  <c r="AK29" i="1"/>
  <c r="AM10" i="1"/>
  <c r="AF11" i="1"/>
  <c r="D4" i="1"/>
  <c r="AD110" i="1"/>
  <c r="R111" i="1"/>
  <c r="AL40" i="1"/>
  <c r="AL116" i="1"/>
  <c r="AK87" i="1"/>
  <c r="AM119" i="1"/>
  <c r="AJ80" i="1"/>
  <c r="AI97" i="1"/>
  <c r="AI43" i="1"/>
  <c r="AK68" i="1"/>
  <c r="T14" i="1"/>
  <c r="AM12" i="1"/>
  <c r="V81" i="1"/>
  <c r="N12" i="1"/>
  <c r="X72" i="1"/>
  <c r="X103" i="1"/>
  <c r="H59" i="1"/>
  <c r="V52" i="1"/>
  <c r="T4" i="1"/>
  <c r="R5" i="1"/>
  <c r="H87" i="1"/>
  <c r="Z9" i="1"/>
  <c r="AF81" i="1"/>
  <c r="AF5" i="1"/>
  <c r="P65" i="1"/>
  <c r="D119" i="1"/>
  <c r="R71" i="1"/>
  <c r="AJ99" i="1"/>
  <c r="AI26" i="1"/>
  <c r="AM68" i="1"/>
  <c r="AD111" i="1"/>
  <c r="AI8" i="1"/>
  <c r="J88" i="1"/>
  <c r="V102" i="1"/>
  <c r="Z23" i="1"/>
  <c r="AD14" i="1"/>
  <c r="B81" i="1"/>
  <c r="J6" i="1"/>
  <c r="AF65" i="1"/>
  <c r="AB12" i="1"/>
  <c r="Z64" i="1"/>
  <c r="L109" i="1"/>
  <c r="F52" i="1"/>
  <c r="AK89" i="1"/>
  <c r="D9" i="1"/>
  <c r="AH58" i="1"/>
  <c r="AB104" i="1"/>
  <c r="H8" i="1"/>
  <c r="N80" i="1"/>
  <c r="D34" i="1"/>
  <c r="N23" i="1"/>
  <c r="AJ54" i="1"/>
  <c r="T103" i="1"/>
  <c r="AM37" i="1"/>
  <c r="H93" i="1"/>
  <c r="AJ23" i="1"/>
  <c r="T97" i="1"/>
  <c r="AJ3" i="1"/>
  <c r="AF86" i="1"/>
  <c r="AB113" i="1"/>
  <c r="J58" i="1"/>
  <c r="AM118" i="1"/>
  <c r="AL72" i="1"/>
  <c r="AK63" i="1"/>
  <c r="AJ103" i="1"/>
  <c r="F74" i="1"/>
  <c r="R6" i="1"/>
  <c r="T68" i="1"/>
  <c r="AK96" i="1"/>
  <c r="Z104" i="1"/>
  <c r="J34" i="1"/>
  <c r="H25" i="1"/>
  <c r="D108" i="1"/>
  <c r="V37" i="1"/>
  <c r="D41" i="1"/>
  <c r="T35" i="1"/>
  <c r="AL59" i="1"/>
  <c r="T80" i="1"/>
  <c r="F64" i="1"/>
  <c r="R25" i="1"/>
  <c r="AB111" i="1"/>
  <c r="B54" i="1"/>
  <c r="AI68" i="1"/>
  <c r="AM53" i="1"/>
  <c r="AD108" i="1"/>
  <c r="AI89" i="1"/>
  <c r="T63" i="1"/>
  <c r="AM67" i="1"/>
  <c r="X52" i="1"/>
  <c r="X8" i="1"/>
  <c r="AF56" i="1"/>
  <c r="L13" i="1"/>
  <c r="AK10" i="1"/>
  <c r="Z48" i="1"/>
  <c r="AB65" i="1"/>
  <c r="AF58" i="1"/>
  <c r="D54" i="1"/>
  <c r="F110" i="1"/>
  <c r="AB95" i="1"/>
  <c r="AF73" i="1"/>
  <c r="AM33" i="1"/>
  <c r="R115" i="1"/>
  <c r="AI98" i="1"/>
  <c r="B118" i="1"/>
  <c r="P8" i="1"/>
  <c r="B74" i="1"/>
  <c r="F97" i="1"/>
  <c r="AM18" i="1"/>
  <c r="X82" i="1"/>
  <c r="AM14" i="1"/>
  <c r="AM24" i="1"/>
  <c r="AJ100" i="1"/>
  <c r="AK113" i="1"/>
  <c r="AD11" i="1"/>
  <c r="H109" i="1"/>
  <c r="AF9" i="1"/>
  <c r="AI25" i="1"/>
  <c r="D39" i="1"/>
  <c r="N7" i="1"/>
  <c r="AJ86" i="1"/>
  <c r="H110" i="1"/>
  <c r="AH74" i="1"/>
  <c r="AK117" i="1"/>
  <c r="Z94" i="1"/>
  <c r="AB3" i="1"/>
  <c r="AH66" i="1"/>
  <c r="L95" i="1"/>
  <c r="AL57" i="1"/>
  <c r="AJ102" i="1"/>
  <c r="B87" i="1"/>
  <c r="AI48" i="1"/>
  <c r="Z119" i="1"/>
  <c r="AJ63" i="1"/>
  <c r="AK110" i="1"/>
  <c r="T115" i="1"/>
  <c r="H112" i="1"/>
  <c r="AI29" i="1"/>
  <c r="F66" i="1"/>
  <c r="F43" i="1"/>
  <c r="AF33" i="1"/>
  <c r="AD20" i="1"/>
  <c r="AD50" i="1"/>
  <c r="AD55" i="1"/>
  <c r="H13" i="1"/>
  <c r="R13" i="1"/>
  <c r="AH54" i="1"/>
  <c r="Z52" i="1"/>
  <c r="AH48" i="1"/>
  <c r="AI109" i="1"/>
  <c r="B89" i="1"/>
  <c r="AM38" i="1"/>
  <c r="B49" i="1"/>
  <c r="V54" i="1"/>
  <c r="AH56" i="1"/>
  <c r="V71" i="1"/>
  <c r="V7" i="1"/>
  <c r="J70" i="1"/>
  <c r="AM64" i="1"/>
  <c r="AM85" i="1"/>
  <c r="V88" i="1"/>
  <c r="AK84" i="1"/>
  <c r="L83" i="1"/>
  <c r="L73" i="1"/>
  <c r="AD37" i="1"/>
  <c r="AJ10" i="1"/>
  <c r="AM22" i="1"/>
  <c r="J44" i="1"/>
  <c r="P44" i="1"/>
  <c r="X10" i="1"/>
  <c r="AF114" i="1"/>
  <c r="AJ38" i="1"/>
  <c r="D87" i="1"/>
  <c r="X100" i="1"/>
  <c r="F34" i="1"/>
  <c r="AD80" i="1"/>
  <c r="Z25" i="1"/>
  <c r="D83" i="1"/>
  <c r="AD29" i="1"/>
  <c r="AI36" i="1"/>
  <c r="AK42" i="1"/>
  <c r="B52" i="1"/>
  <c r="Z73" i="1"/>
  <c r="X66" i="1"/>
  <c r="N52" i="1"/>
  <c r="AJ19" i="1"/>
  <c r="AB79" i="1"/>
  <c r="N59" i="1"/>
  <c r="V95" i="1"/>
  <c r="AK11" i="1"/>
  <c r="N51" i="1"/>
  <c r="AI6" i="1"/>
  <c r="H56" i="1"/>
  <c r="H50" i="1"/>
  <c r="V34" i="1"/>
  <c r="AL104" i="1"/>
  <c r="AH23" i="1"/>
  <c r="T38" i="1"/>
  <c r="AL65" i="1"/>
  <c r="AH22" i="1"/>
  <c r="T113" i="1"/>
  <c r="AD109" i="1"/>
  <c r="D80" i="1"/>
  <c r="L22" i="1"/>
  <c r="Z72" i="1"/>
  <c r="T55" i="1"/>
  <c r="H74" i="1"/>
  <c r="H51" i="1"/>
  <c r="AH114" i="1"/>
  <c r="AH39" i="1"/>
  <c r="P36" i="1"/>
  <c r="AK73" i="1"/>
  <c r="R96" i="1"/>
  <c r="AB108" i="1"/>
  <c r="D93" i="1"/>
  <c r="AK95" i="1"/>
  <c r="AI22" i="1"/>
  <c r="AM57" i="1"/>
  <c r="J82" i="1"/>
  <c r="AH20" i="1"/>
  <c r="AH108" i="1"/>
  <c r="X5" i="1"/>
  <c r="AM115" i="1"/>
  <c r="D89" i="1"/>
  <c r="B117" i="1"/>
  <c r="AJ14" i="1"/>
  <c r="AK102" i="1"/>
  <c r="R64" i="1"/>
  <c r="AL80" i="1"/>
  <c r="Z99" i="1"/>
  <c r="AF44" i="1"/>
  <c r="AL101" i="1"/>
  <c r="H6" i="1"/>
  <c r="T116" i="1"/>
  <c r="B11" i="1"/>
  <c r="P79" i="1"/>
  <c r="F83" i="1"/>
  <c r="AI87" i="1"/>
  <c r="AB70" i="1"/>
  <c r="N100" i="1"/>
  <c r="L117" i="1"/>
  <c r="L89" i="1"/>
  <c r="AM83" i="1"/>
  <c r="F119" i="1"/>
  <c r="H95" i="1"/>
  <c r="AI33" i="1"/>
  <c r="AK9" i="1"/>
  <c r="AF116" i="1"/>
  <c r="F108" i="1"/>
  <c r="H99" i="1"/>
  <c r="L67" i="1"/>
  <c r="AD95" i="1"/>
  <c r="AM52" i="1"/>
  <c r="AF59" i="1"/>
  <c r="T82" i="1"/>
  <c r="R65" i="1"/>
  <c r="AK65" i="1"/>
  <c r="H67" i="1"/>
  <c r="V28" i="1"/>
  <c r="L53" i="1"/>
  <c r="V44" i="1"/>
  <c r="R81" i="1"/>
  <c r="D67" i="1"/>
  <c r="F73" i="1"/>
  <c r="L40" i="1"/>
  <c r="N98" i="1"/>
  <c r="AJ33" i="1"/>
  <c r="B110" i="1"/>
  <c r="AK25" i="1"/>
  <c r="F96" i="1"/>
  <c r="H37" i="1"/>
  <c r="T84" i="1"/>
  <c r="P26" i="1"/>
  <c r="AB88" i="1"/>
  <c r="L20" i="1"/>
  <c r="AB19" i="1"/>
  <c r="AF110" i="1"/>
  <c r="R52" i="1"/>
  <c r="AF84" i="1"/>
  <c r="Z55" i="1"/>
  <c r="L49" i="1"/>
  <c r="AF14" i="1"/>
  <c r="B112" i="1"/>
  <c r="AI37" i="1"/>
  <c r="L80" i="1"/>
  <c r="R58" i="1"/>
  <c r="V96" i="1"/>
  <c r="V100" i="1"/>
  <c r="Z56" i="1"/>
  <c r="D102" i="1"/>
  <c r="AB114" i="1"/>
  <c r="N50" i="1"/>
  <c r="L93" i="1"/>
  <c r="P55" i="1"/>
  <c r="T93" i="1"/>
  <c r="Z114" i="1"/>
  <c r="J103" i="1"/>
  <c r="AM20" i="1"/>
  <c r="F82" i="1"/>
  <c r="B98" i="1"/>
  <c r="AD27" i="1"/>
  <c r="B82" i="1"/>
  <c r="P6" i="1"/>
  <c r="N64" i="1"/>
  <c r="D104" i="1"/>
  <c r="N71" i="1"/>
  <c r="N113" i="1"/>
  <c r="Z42" i="1"/>
  <c r="AJ116" i="1"/>
  <c r="N119" i="1"/>
  <c r="AJ67" i="1"/>
  <c r="AK23" i="1"/>
  <c r="N109" i="1"/>
  <c r="N27" i="1"/>
  <c r="AH9" i="1"/>
  <c r="H65" i="1"/>
  <c r="V68" i="1"/>
  <c r="V33" i="1"/>
  <c r="J73" i="1"/>
  <c r="V119" i="1"/>
  <c r="R38" i="1"/>
  <c r="AK109" i="1"/>
  <c r="B9" i="1"/>
  <c r="F88" i="1"/>
  <c r="Z22" i="1"/>
  <c r="L39" i="1"/>
  <c r="J83" i="1"/>
  <c r="P41" i="1"/>
  <c r="J111" i="1"/>
  <c r="P52" i="1"/>
  <c r="D13" i="1"/>
  <c r="AL22" i="1"/>
  <c r="J78" i="1"/>
  <c r="X70" i="1"/>
  <c r="AI24" i="1"/>
  <c r="Z89" i="1"/>
  <c r="AL84" i="1"/>
  <c r="AK98" i="1"/>
  <c r="AJ41" i="1"/>
  <c r="AJ109" i="1"/>
  <c r="AM9" i="1"/>
  <c r="J4" i="1"/>
  <c r="AL4" i="1"/>
  <c r="AI88" i="1"/>
  <c r="L101" i="1"/>
  <c r="F3" i="1"/>
  <c r="AL98" i="1"/>
  <c r="AL12" i="1"/>
  <c r="AL103" i="1"/>
  <c r="V108" i="1"/>
  <c r="AL82" i="1"/>
  <c r="F10" i="1"/>
  <c r="AL87" i="1"/>
  <c r="AD12" i="1"/>
  <c r="AH86" i="1"/>
  <c r="X108" i="1"/>
  <c r="AJ58" i="1"/>
  <c r="AI54" i="1"/>
  <c r="AB116" i="1"/>
  <c r="T54" i="1"/>
  <c r="P111" i="1"/>
  <c r="AJ8" i="1"/>
  <c r="T64" i="1"/>
  <c r="H117" i="1"/>
  <c r="R11" i="1"/>
  <c r="B56" i="1"/>
  <c r="H21" i="1"/>
  <c r="AF97" i="1"/>
  <c r="AK4" i="1"/>
  <c r="V53" i="1"/>
  <c r="N33" i="1"/>
  <c r="B7" i="1"/>
  <c r="AF70" i="1"/>
  <c r="T9" i="1"/>
  <c r="N37" i="1"/>
  <c r="AB38" i="1"/>
  <c r="AH35" i="1"/>
  <c r="H78" i="1"/>
  <c r="B6" i="1"/>
  <c r="J99" i="1"/>
  <c r="AH73" i="1"/>
  <c r="X96" i="1"/>
  <c r="J95" i="1"/>
  <c r="Z102" i="1"/>
  <c r="B68" i="1"/>
  <c r="AJ11" i="1"/>
  <c r="AI3" i="1"/>
  <c r="J69" i="1"/>
  <c r="Z4" i="1"/>
  <c r="AH53" i="1"/>
  <c r="AF64" i="1"/>
  <c r="L50" i="1"/>
  <c r="F95" i="1"/>
  <c r="AB98" i="1"/>
  <c r="V41" i="1"/>
  <c r="AB42" i="1"/>
  <c r="AD69" i="1"/>
  <c r="L54" i="1"/>
  <c r="AB103" i="1"/>
  <c r="L23" i="1"/>
  <c r="B59" i="1"/>
  <c r="B41" i="1"/>
  <c r="X28" i="1"/>
  <c r="AJ110" i="1"/>
  <c r="AF21" i="1"/>
  <c r="V57" i="1"/>
  <c r="V114" i="1"/>
  <c r="F104" i="1"/>
  <c r="J39" i="1"/>
  <c r="AF52" i="1"/>
  <c r="T119" i="1"/>
  <c r="AL114" i="1"/>
  <c r="AL23" i="1"/>
  <c r="P50" i="1"/>
  <c r="AJ118" i="1"/>
  <c r="R84" i="1"/>
  <c r="AD78" i="1"/>
  <c r="AF55" i="1"/>
  <c r="F85" i="1"/>
  <c r="AJ48" i="1"/>
  <c r="T57" i="1"/>
  <c r="AF69" i="1"/>
  <c r="AH51" i="1"/>
  <c r="R85" i="1"/>
  <c r="F38" i="1"/>
  <c r="X6" i="1"/>
  <c r="L97" i="1"/>
  <c r="X57" i="1"/>
  <c r="AK88" i="1"/>
  <c r="H36" i="1"/>
  <c r="R27" i="1"/>
  <c r="L29" i="1"/>
  <c r="B108" i="1"/>
  <c r="L28" i="1"/>
  <c r="AB68" i="1"/>
  <c r="AL69" i="1"/>
  <c r="AF80" i="1"/>
  <c r="AF35" i="1"/>
  <c r="AK66" i="1"/>
  <c r="V64" i="1"/>
  <c r="P10" i="1"/>
  <c r="B28" i="1"/>
  <c r="AI53" i="1"/>
  <c r="AH42" i="1"/>
  <c r="D56" i="1"/>
  <c r="H19" i="1"/>
  <c r="AF26" i="1"/>
  <c r="AD65" i="1"/>
  <c r="D51" i="1"/>
  <c r="L112" i="1"/>
  <c r="H29" i="1"/>
  <c r="AB78" i="1"/>
  <c r="AD81" i="1"/>
  <c r="P22" i="1"/>
  <c r="AM84" i="1"/>
  <c r="V110" i="1"/>
  <c r="J93" i="1"/>
  <c r="AB54" i="1"/>
  <c r="AM100" i="1"/>
  <c r="AB58" i="1"/>
  <c r="X116" i="1"/>
  <c r="D26" i="1"/>
  <c r="AH115" i="1"/>
  <c r="AL13" i="1"/>
  <c r="F5" i="1"/>
  <c r="Z80" i="1"/>
  <c r="AL36" i="1"/>
  <c r="AJ13" i="1"/>
  <c r="AI110" i="1"/>
  <c r="V84" i="1"/>
  <c r="AH113" i="1"/>
  <c r="N5" i="1"/>
  <c r="J104" i="1"/>
  <c r="AI95" i="1"/>
  <c r="F14" i="1"/>
  <c r="X4" i="1"/>
  <c r="R12" i="1"/>
  <c r="J114" i="1"/>
  <c r="AJ89" i="1"/>
  <c r="AM80" i="1"/>
  <c r="L63" i="1"/>
  <c r="AF109" i="1"/>
  <c r="V12" i="1"/>
  <c r="D100" i="1"/>
  <c r="J5" i="1"/>
  <c r="AB110" i="1"/>
  <c r="R97" i="1"/>
  <c r="AL117" i="1"/>
  <c r="AM39" i="1"/>
  <c r="AJ85" i="1"/>
  <c r="AJ44" i="1"/>
  <c r="T114" i="1"/>
  <c r="Z21" i="1"/>
  <c r="AF12" i="1"/>
  <c r="P117" i="1"/>
  <c r="V80" i="1"/>
  <c r="AB6" i="1"/>
  <c r="AF10" i="1"/>
  <c r="AF42" i="1"/>
  <c r="AK50" i="1"/>
  <c r="H111" i="1"/>
  <c r="N116" i="1"/>
  <c r="AJ84" i="1"/>
  <c r="Z101" i="1"/>
  <c r="AB41" i="1"/>
  <c r="R20" i="1"/>
  <c r="J64" i="1"/>
  <c r="AK111" i="1"/>
  <c r="AM63" i="1"/>
  <c r="AH19" i="1"/>
  <c r="T58" i="1"/>
  <c r="P59" i="1"/>
  <c r="J52" i="1"/>
  <c r="R37" i="1"/>
  <c r="L38" i="1"/>
  <c r="AD22" i="1"/>
  <c r="T42" i="1"/>
  <c r="D103" i="1"/>
  <c r="F28" i="1"/>
  <c r="N110" i="1"/>
  <c r="AB52" i="1"/>
  <c r="N48" i="1"/>
  <c r="AI14" i="1"/>
  <c r="P70" i="1"/>
  <c r="L65" i="1"/>
  <c r="AI67" i="1"/>
  <c r="L4" i="1"/>
  <c r="AJ9" i="1"/>
  <c r="B57" i="1"/>
  <c r="AJ87" i="1"/>
  <c r="J96" i="1"/>
  <c r="AK70" i="1"/>
  <c r="D101" i="1"/>
  <c r="R117" i="1"/>
  <c r="X50" i="1"/>
  <c r="X58" i="1"/>
  <c r="AI28" i="1"/>
  <c r="F98" i="1"/>
  <c r="H66" i="1"/>
  <c r="AI101" i="1"/>
  <c r="T101" i="1"/>
  <c r="T21" i="1"/>
  <c r="J42" i="1"/>
  <c r="J29" i="1"/>
  <c r="Z18" i="1"/>
  <c r="AL10" i="1"/>
  <c r="AB26" i="1"/>
  <c r="D98" i="1"/>
  <c r="Z57" i="1"/>
  <c r="H100" i="1"/>
  <c r="AD40" i="1"/>
  <c r="AK103" i="1"/>
  <c r="AK85" i="1"/>
  <c r="AH72" i="1"/>
  <c r="Z7" i="1"/>
  <c r="AL102" i="1"/>
  <c r="P51" i="1"/>
  <c r="B12" i="1"/>
  <c r="AM66" i="1"/>
  <c r="N74" i="1"/>
  <c r="AL63" i="1"/>
  <c r="V65" i="1"/>
  <c r="L94" i="1"/>
  <c r="V36" i="1"/>
  <c r="AI103" i="1"/>
  <c r="D82" i="1"/>
  <c r="Z83" i="1"/>
  <c r="AF25" i="1"/>
  <c r="Z14" i="1"/>
  <c r="AH18" i="1"/>
  <c r="AK34" i="1"/>
  <c r="J94" i="1"/>
  <c r="AK27" i="1"/>
  <c r="AJ98" i="1"/>
  <c r="AD115" i="1"/>
  <c r="AH103" i="1"/>
  <c r="N101" i="1"/>
  <c r="AK3" i="1"/>
  <c r="P64" i="1"/>
  <c r="H11" i="1"/>
  <c r="L103" i="1"/>
  <c r="AM13" i="1"/>
  <c r="AI100" i="1"/>
  <c r="AD9" i="1"/>
  <c r="AM72" i="1"/>
  <c r="B116" i="1"/>
  <c r="Z93" i="1"/>
  <c r="AK52" i="1"/>
  <c r="T3" i="1"/>
  <c r="AI51" i="1"/>
  <c r="J81" i="1"/>
  <c r="AL14" i="1"/>
  <c r="AI112" i="1"/>
  <c r="AH13" i="1"/>
  <c r="P13" i="1"/>
  <c r="AL44" i="1"/>
  <c r="L74" i="1"/>
  <c r="Z5" i="1"/>
  <c r="L8" i="1"/>
  <c r="B65" i="1"/>
  <c r="AH37" i="1"/>
  <c r="AM108" i="1"/>
  <c r="N104" i="1"/>
  <c r="AI73" i="1"/>
  <c r="F21" i="1"/>
  <c r="AJ108" i="1"/>
  <c r="J68" i="1"/>
  <c r="V42" i="1"/>
  <c r="P34" i="1"/>
  <c r="D23" i="1"/>
  <c r="P25" i="1"/>
  <c r="AB73" i="1"/>
  <c r="AL85" i="1"/>
  <c r="AH44" i="1"/>
  <c r="AH27" i="1"/>
  <c r="B21" i="1"/>
  <c r="AM110" i="1"/>
  <c r="AI52" i="1"/>
  <c r="D24" i="1"/>
  <c r="P96" i="1"/>
  <c r="Z49" i="1"/>
  <c r="Z66" i="1"/>
  <c r="AM50" i="1"/>
  <c r="AF112" i="1"/>
  <c r="AK69" i="1"/>
  <c r="AM7" i="1"/>
  <c r="N67" i="1"/>
  <c r="AH98" i="1"/>
  <c r="AF101" i="1"/>
  <c r="AH88" i="1"/>
  <c r="R94" i="1"/>
  <c r="Z13" i="1"/>
  <c r="P58" i="1"/>
  <c r="P74" i="1"/>
  <c r="AI50" i="1"/>
  <c r="P54" i="1"/>
  <c r="AD38" i="1"/>
  <c r="R73" i="1"/>
  <c r="L68" i="1"/>
  <c r="AB115" i="1"/>
  <c r="P87" i="1"/>
  <c r="AD100" i="1"/>
  <c r="L43" i="1"/>
  <c r="J86" i="1"/>
  <c r="N22" i="1"/>
  <c r="R78" i="1"/>
  <c r="V26" i="1"/>
  <c r="N69" i="1"/>
  <c r="AH64" i="1"/>
  <c r="L52" i="1"/>
  <c r="Z36" i="1"/>
  <c r="L115" i="1"/>
  <c r="T109" i="1"/>
  <c r="AL50" i="1"/>
  <c r="L14" i="1"/>
  <c r="P57" i="1"/>
  <c r="AH11" i="1"/>
  <c r="AI23" i="1"/>
  <c r="V72" i="1"/>
  <c r="AK18" i="1"/>
  <c r="AD67" i="1"/>
  <c r="V99" i="1"/>
  <c r="R44" i="1"/>
  <c r="N55" i="1"/>
  <c r="V103" i="1"/>
  <c r="F44" i="1"/>
  <c r="X9" i="1"/>
  <c r="Z111" i="1"/>
  <c r="P71" i="1"/>
  <c r="AI4" i="1"/>
  <c r="F78" i="1"/>
  <c r="B44" i="1"/>
  <c r="Z65" i="1"/>
  <c r="P97" i="1"/>
  <c r="X67" i="1"/>
  <c r="P103" i="1"/>
  <c r="J53" i="1"/>
  <c r="R101" i="1"/>
  <c r="AB39" i="1"/>
  <c r="P94" i="1"/>
  <c r="H101" i="1"/>
  <c r="AK101" i="1"/>
  <c r="AL74" i="1"/>
  <c r="AH67" i="1"/>
  <c r="D84" i="1"/>
  <c r="L66" i="1"/>
  <c r="AB86" i="1"/>
  <c r="P38" i="1"/>
  <c r="B84" i="1"/>
  <c r="AF63" i="1"/>
  <c r="H39" i="1"/>
  <c r="L35" i="1"/>
  <c r="T49" i="1"/>
  <c r="V87" i="1"/>
  <c r="R35" i="1"/>
  <c r="L87" i="1"/>
  <c r="V35" i="1"/>
  <c r="H48" i="1"/>
  <c r="AH36" i="1"/>
  <c r="V40" i="1"/>
  <c r="V13" i="1"/>
  <c r="P48" i="1"/>
  <c r="N13" i="1"/>
  <c r="AF85" i="1"/>
  <c r="AI83" i="1"/>
  <c r="H70" i="1"/>
  <c r="AH14" i="1"/>
  <c r="X64" i="1"/>
  <c r="R98" i="1"/>
  <c r="AK38" i="1"/>
  <c r="B50" i="1"/>
  <c r="AF48" i="1"/>
  <c r="T71" i="1"/>
  <c r="L3" i="1"/>
  <c r="Z109" i="1"/>
  <c r="H44" i="1"/>
  <c r="V83" i="1"/>
  <c r="P88" i="1"/>
  <c r="P83" i="1"/>
  <c r="N19" i="1"/>
  <c r="J72" i="1"/>
  <c r="AI117" i="1"/>
  <c r="Z38" i="1"/>
  <c r="AL73" i="1"/>
  <c r="AF38" i="1"/>
  <c r="V66" i="1"/>
  <c r="J119" i="1"/>
  <c r="AB34" i="1"/>
  <c r="F58" i="1"/>
  <c r="AH82" i="1"/>
  <c r="P81" i="1"/>
  <c r="T26" i="1"/>
  <c r="AF95" i="1"/>
  <c r="AL78" i="1"/>
  <c r="Z108" i="1"/>
  <c r="P102" i="1"/>
  <c r="R108" i="1"/>
  <c r="T36" i="1"/>
  <c r="D79" i="1"/>
  <c r="AI58" i="1"/>
  <c r="X54" i="1"/>
  <c r="Z69" i="1"/>
  <c r="B39" i="1"/>
  <c r="V43" i="1"/>
  <c r="H35" i="1"/>
  <c r="E13" i="28"/>
  <c r="B37" i="1"/>
  <c r="D40" i="1"/>
  <c r="F55" i="1"/>
  <c r="V73" i="1"/>
  <c r="V69" i="1"/>
  <c r="AL18" i="1"/>
  <c r="V21" i="1"/>
  <c r="AH50" i="1"/>
  <c r="AI40" i="1"/>
  <c r="R53" i="1"/>
  <c r="L119" i="1"/>
  <c r="AD24" i="1"/>
  <c r="T59" i="1"/>
  <c r="B20" i="1"/>
  <c r="J19" i="1"/>
  <c r="AB24" i="1"/>
  <c r="Z59" i="1"/>
  <c r="AF18" i="1"/>
  <c r="T41" i="1"/>
  <c r="D38" i="1"/>
  <c r="L56" i="1"/>
  <c r="AJ52" i="1"/>
  <c r="Z19" i="1"/>
  <c r="P21" i="1"/>
  <c r="D117" i="1"/>
  <c r="AK54" i="1"/>
  <c r="AH63" i="1"/>
  <c r="R109" i="1"/>
  <c r="F9" i="1"/>
  <c r="V22" i="1"/>
  <c r="J98" i="1"/>
  <c r="J27" i="1"/>
  <c r="AD64" i="1"/>
  <c r="P68" i="1"/>
  <c r="Z70" i="1"/>
  <c r="AB94" i="1"/>
  <c r="F63" i="1"/>
  <c r="H115" i="1"/>
  <c r="AL81" i="1"/>
  <c r="AB83" i="1"/>
  <c r="H40" i="1"/>
  <c r="AI38" i="1"/>
  <c r="AK33" i="1"/>
  <c r="X39" i="1"/>
  <c r="AF51" i="1"/>
  <c r="AF89" i="1"/>
  <c r="AF117" i="1"/>
  <c r="D52" i="1"/>
  <c r="AM82" i="1"/>
  <c r="Z63" i="1"/>
  <c r="B103" i="1"/>
  <c r="H42" i="1"/>
  <c r="P116" i="1"/>
  <c r="R87" i="1"/>
  <c r="H72" i="1"/>
  <c r="P35" i="1"/>
  <c r="AB14" i="1"/>
  <c r="L25" i="1"/>
  <c r="AL38" i="1"/>
  <c r="Z35" i="1"/>
  <c r="P42" i="1"/>
  <c r="B115" i="1"/>
  <c r="P72" i="1"/>
  <c r="N73" i="1"/>
  <c r="H20" i="1"/>
  <c r="Z11" i="1"/>
  <c r="J43" i="1"/>
  <c r="AB59" i="1"/>
  <c r="F23" i="1"/>
  <c r="F68" i="1"/>
  <c r="I4" i="28"/>
  <c r="AC7" i="28"/>
  <c r="I7" i="28"/>
  <c r="Y8" i="28"/>
  <c r="Q7" i="28"/>
  <c r="T50" i="1"/>
  <c r="F102" i="1"/>
  <c r="AM29" i="1"/>
  <c r="V14" i="1"/>
  <c r="AM6" i="1"/>
  <c r="AK71" i="1"/>
  <c r="N96" i="1"/>
  <c r="V116" i="1"/>
  <c r="AJ114" i="1"/>
  <c r="AF4" i="1"/>
  <c r="P73" i="1"/>
  <c r="H58" i="1"/>
  <c r="R54" i="1"/>
  <c r="Z113" i="1"/>
  <c r="N41" i="1"/>
  <c r="F89" i="1"/>
  <c r="AD114" i="1"/>
  <c r="R49" i="1"/>
  <c r="Z96" i="1"/>
  <c r="F69" i="1"/>
  <c r="F118" i="1"/>
  <c r="T52" i="1"/>
  <c r="J110" i="1"/>
  <c r="P63" i="1"/>
  <c r="T39" i="1"/>
  <c r="J14" i="1"/>
  <c r="AM44" i="1"/>
  <c r="AJ95" i="1"/>
  <c r="J113" i="1"/>
  <c r="F56" i="1"/>
  <c r="X113" i="1"/>
  <c r="AM59" i="1"/>
  <c r="AF99" i="1"/>
  <c r="AB29" i="1"/>
  <c r="T99" i="1"/>
  <c r="X38" i="1"/>
  <c r="AJ68" i="1"/>
  <c r="AI82" i="1"/>
  <c r="F81" i="1"/>
  <c r="P5" i="1"/>
  <c r="J112" i="1"/>
  <c r="AH116" i="1"/>
  <c r="R114" i="1"/>
  <c r="V104" i="1"/>
  <c r="AL113" i="1"/>
  <c r="H22" i="1"/>
  <c r="AJ37" i="1"/>
  <c r="V78" i="1"/>
  <c r="AF29" i="1"/>
  <c r="X41" i="1"/>
  <c r="X20" i="1"/>
  <c r="J87" i="1"/>
  <c r="T70" i="1"/>
  <c r="AD102" i="1"/>
  <c r="Z117" i="1"/>
  <c r="J71" i="1"/>
  <c r="AI114" i="1"/>
  <c r="V94" i="1"/>
  <c r="B58" i="1"/>
  <c r="X118" i="1"/>
  <c r="AJ24" i="1"/>
  <c r="AF118" i="1"/>
  <c r="AI9" i="1"/>
  <c r="J37" i="1"/>
  <c r="H38" i="1"/>
  <c r="AD35" i="1"/>
  <c r="X63" i="1"/>
  <c r="F54" i="1"/>
  <c r="T79" i="1"/>
  <c r="B40" i="1"/>
  <c r="AJ42" i="1"/>
  <c r="V85" i="1"/>
  <c r="AD59" i="1"/>
  <c r="J84" i="1"/>
  <c r="AK56" i="1"/>
  <c r="AD97" i="1"/>
  <c r="P49" i="1"/>
  <c r="AF96" i="1"/>
  <c r="AJ40" i="1"/>
  <c r="B48" i="1"/>
  <c r="F87" i="1"/>
  <c r="F24" i="1"/>
  <c r="H89" i="1"/>
  <c r="D29" i="1"/>
  <c r="H26" i="1"/>
  <c r="N44" i="1"/>
  <c r="AB57" i="1"/>
  <c r="X12" i="1"/>
  <c r="AL26" i="1"/>
  <c r="T95" i="1"/>
  <c r="N95" i="1"/>
  <c r="AJ65" i="1"/>
  <c r="N49" i="1"/>
  <c r="N88" i="1"/>
  <c r="AD84" i="1"/>
  <c r="F33" i="1"/>
  <c r="J56" i="1"/>
  <c r="X56" i="1"/>
  <c r="N87" i="1"/>
  <c r="AD41" i="1"/>
  <c r="H98" i="1"/>
  <c r="P115" i="1"/>
  <c r="B35" i="1"/>
  <c r="AM95" i="1"/>
  <c r="V18" i="1"/>
  <c r="N43" i="1"/>
  <c r="AI104" i="1"/>
  <c r="H28" i="1"/>
  <c r="V109" i="1"/>
  <c r="AF28" i="1"/>
  <c r="Z34" i="1"/>
  <c r="F99" i="1"/>
  <c r="J26" i="1"/>
  <c r="AD23" i="1"/>
  <c r="D115" i="1"/>
  <c r="D18" i="1"/>
  <c r="B69" i="1"/>
  <c r="V19" i="1"/>
  <c r="Z37" i="1"/>
  <c r="I14" i="28"/>
  <c r="AC10" i="28"/>
  <c r="U6" i="28"/>
  <c r="AG11" i="28"/>
  <c r="Y9" i="28"/>
  <c r="F113" i="1"/>
  <c r="AK7" i="1"/>
  <c r="P80" i="1"/>
  <c r="AF102" i="1"/>
  <c r="AL115" i="1"/>
  <c r="AI118" i="1"/>
  <c r="AJ119" i="1"/>
  <c r="AJ49" i="1"/>
  <c r="AB97" i="1"/>
  <c r="AM69" i="1"/>
  <c r="AK115" i="1"/>
  <c r="X59" i="1"/>
  <c r="AK20" i="1"/>
  <c r="AF104" i="1"/>
  <c r="AD99" i="1"/>
  <c r="N66" i="1"/>
  <c r="B113" i="1"/>
  <c r="AK72" i="1"/>
  <c r="AK13" i="1"/>
  <c r="B114" i="1"/>
  <c r="AM89" i="1"/>
  <c r="B53" i="1"/>
  <c r="AB119" i="1"/>
  <c r="AD58" i="1"/>
  <c r="R42" i="1"/>
  <c r="J13" i="1"/>
  <c r="V10" i="1"/>
  <c r="T12" i="1"/>
  <c r="AL54" i="1"/>
  <c r="Z39" i="1"/>
  <c r="V101" i="1"/>
  <c r="AJ53" i="1"/>
  <c r="AK53" i="1"/>
  <c r="J18" i="1"/>
  <c r="B67" i="1"/>
  <c r="D116" i="1"/>
  <c r="AJ79" i="1"/>
  <c r="AL27" i="1"/>
  <c r="X14" i="1"/>
  <c r="D14" i="1"/>
  <c r="Z40" i="1"/>
  <c r="R118" i="1"/>
  <c r="T112" i="1"/>
  <c r="N57" i="1"/>
  <c r="F72" i="1"/>
  <c r="R79" i="1"/>
  <c r="H80" i="1"/>
  <c r="L55" i="1"/>
  <c r="Z98" i="1"/>
  <c r="N85" i="1"/>
  <c r="X22" i="1"/>
  <c r="B22" i="1"/>
  <c r="AF22" i="1"/>
  <c r="T88" i="1"/>
  <c r="R104" i="1"/>
  <c r="F65" i="1"/>
  <c r="AJ26" i="1"/>
  <c r="L42" i="1"/>
  <c r="AB27" i="1"/>
  <c r="AI70" i="1"/>
  <c r="AB8" i="1"/>
  <c r="AH71" i="1"/>
  <c r="H81" i="1"/>
  <c r="B38" i="1"/>
  <c r="J118" i="1"/>
  <c r="T73" i="1"/>
  <c r="N25" i="1"/>
  <c r="L71" i="1"/>
  <c r="R56" i="1"/>
  <c r="AK116" i="1"/>
  <c r="Z82" i="1"/>
  <c r="J100" i="1"/>
  <c r="AJ50" i="1"/>
  <c r="AB43" i="1"/>
  <c r="AI42" i="1"/>
  <c r="X83" i="1"/>
  <c r="T48" i="1"/>
  <c r="F70" i="1"/>
  <c r="AL111" i="1"/>
  <c r="AM79" i="1"/>
  <c r="AM109" i="1"/>
  <c r="AM21" i="1"/>
  <c r="I6" i="28" s="1"/>
  <c r="X23" i="1"/>
  <c r="F35" i="1"/>
  <c r="N84" i="1"/>
  <c r="H84" i="1"/>
  <c r="AB33" i="1"/>
  <c r="B10" i="1"/>
  <c r="AD87" i="1"/>
  <c r="D48" i="1"/>
  <c r="AB87" i="1"/>
  <c r="D5" i="1"/>
  <c r="AB25" i="1"/>
  <c r="Z100" i="1"/>
  <c r="T25" i="1"/>
  <c r="T44" i="1"/>
  <c r="Z68" i="1"/>
  <c r="B85" i="1"/>
  <c r="D19" i="1"/>
  <c r="X89" i="1"/>
  <c r="H79" i="1"/>
  <c r="P104" i="1"/>
  <c r="P27" i="1"/>
  <c r="B55" i="1"/>
  <c r="AL19" i="1"/>
  <c r="AK59" i="1"/>
  <c r="Z33" i="1"/>
  <c r="R59" i="1"/>
  <c r="AD49" i="1"/>
  <c r="R63" i="1"/>
  <c r="AD33" i="1"/>
  <c r="AD25" i="1"/>
  <c r="AK82" i="1"/>
  <c r="T18" i="1"/>
  <c r="AB35" i="1"/>
  <c r="Z24" i="1"/>
  <c r="AI57" i="1"/>
  <c r="B33" i="1"/>
  <c r="F20" i="1"/>
  <c r="M11" i="28"/>
  <c r="M5" i="28"/>
  <c r="Q11" i="28"/>
  <c r="AG12" i="28"/>
  <c r="U9" i="28"/>
  <c r="U7" i="28"/>
  <c r="M7" i="28"/>
  <c r="AG13" i="28"/>
  <c r="X26" i="1"/>
  <c r="H34" i="1"/>
  <c r="X24" i="1"/>
  <c r="I5" i="28"/>
  <c r="Q4" i="28"/>
  <c r="Y5" i="28"/>
  <c r="Q14" i="28"/>
  <c r="AC12" i="28"/>
  <c r="AJ20" i="1"/>
  <c r="D6" i="1"/>
  <c r="AK28" i="1"/>
  <c r="AI102" i="1"/>
  <c r="V86" i="1"/>
  <c r="L6" i="1"/>
  <c r="AJ104" i="1"/>
  <c r="V118" i="1"/>
  <c r="J57" i="1"/>
  <c r="AD118" i="1"/>
  <c r="AM94" i="1"/>
  <c r="J50" i="1"/>
  <c r="AB89" i="1"/>
  <c r="AM58" i="1"/>
  <c r="F51" i="1"/>
  <c r="H63" i="1"/>
  <c r="X99" i="1"/>
  <c r="N102" i="1"/>
  <c r="V74" i="1"/>
  <c r="F112" i="1"/>
  <c r="AH87" i="1"/>
  <c r="X13" i="1"/>
  <c r="X78" i="1"/>
  <c r="T83" i="1"/>
  <c r="AD96" i="1"/>
  <c r="D72" i="1"/>
  <c r="V4" i="1"/>
  <c r="P9" i="1"/>
  <c r="AL39" i="1"/>
  <c r="X33" i="1"/>
  <c r="R57" i="1"/>
  <c r="AD93" i="1"/>
  <c r="N40" i="1"/>
  <c r="V112" i="1"/>
  <c r="V48" i="1"/>
  <c r="B34" i="1"/>
  <c r="AK49" i="1"/>
  <c r="AI65" i="1"/>
  <c r="J12" i="1"/>
  <c r="N20" i="1"/>
  <c r="AL37" i="1"/>
  <c r="T37" i="1"/>
  <c r="AM42" i="1"/>
  <c r="X40" i="1"/>
  <c r="R18" i="1"/>
  <c r="AH12" i="1"/>
  <c r="L96" i="1"/>
  <c r="AD42" i="1"/>
  <c r="AD57" i="1"/>
  <c r="D25" i="1"/>
  <c r="D71" i="1"/>
  <c r="Z58" i="1"/>
  <c r="AM65" i="1"/>
  <c r="U5" i="28" s="1"/>
  <c r="R93" i="1"/>
  <c r="AM78" i="1"/>
  <c r="Y3" i="28" s="1"/>
  <c r="AJ29" i="1"/>
  <c r="H103" i="1"/>
  <c r="AD26" i="1"/>
  <c r="J21" i="1"/>
  <c r="AM36" i="1"/>
  <c r="M6" i="28" s="1"/>
  <c r="B71" i="1"/>
  <c r="H114" i="1"/>
  <c r="T20" i="1"/>
  <c r="B73" i="1"/>
  <c r="R19" i="1"/>
  <c r="H9" i="1"/>
  <c r="AI19" i="1"/>
  <c r="R50" i="1"/>
  <c r="R28" i="1"/>
  <c r="E12" i="28"/>
  <c r="AB5" i="1"/>
  <c r="X97" i="1"/>
  <c r="Z118" i="1"/>
  <c r="AD98" i="1"/>
  <c r="AM8" i="1"/>
  <c r="B72" i="1"/>
  <c r="AK39" i="1"/>
  <c r="Z86" i="1"/>
  <c r="Z27" i="1"/>
  <c r="X21" i="1"/>
  <c r="AM3" i="1"/>
  <c r="D44" i="1"/>
  <c r="AD21" i="1"/>
  <c r="D68" i="1"/>
  <c r="R41" i="1"/>
  <c r="P100" i="1"/>
  <c r="N83" i="1"/>
  <c r="AB118" i="1"/>
  <c r="D63" i="1"/>
  <c r="AF34" i="1"/>
  <c r="AD51" i="1"/>
  <c r="V58" i="1"/>
  <c r="AB55" i="1"/>
  <c r="B102" i="1"/>
  <c r="J101" i="1"/>
  <c r="B25" i="1"/>
  <c r="N94" i="1"/>
  <c r="X25" i="1"/>
  <c r="E8" i="28"/>
  <c r="AD36" i="1"/>
  <c r="AF83" i="1"/>
  <c r="AD86" i="1"/>
  <c r="B27" i="1"/>
  <c r="F59" i="1"/>
  <c r="AL28" i="1"/>
  <c r="D28" i="1"/>
  <c r="X112" i="1"/>
  <c r="V38" i="1"/>
  <c r="T67" i="1"/>
  <c r="D43" i="1"/>
  <c r="L36" i="1"/>
  <c r="R74" i="1"/>
  <c r="L48" i="1"/>
  <c r="AJ71" i="1"/>
  <c r="AI11" i="1"/>
  <c r="AG3" i="28"/>
  <c r="M3" i="28"/>
  <c r="Q13" i="28"/>
  <c r="M8" i="28"/>
  <c r="AH94" i="1"/>
  <c r="D99" i="1"/>
  <c r="AI5" i="1"/>
  <c r="F109" i="1"/>
  <c r="R9" i="1"/>
  <c r="Z8" i="1"/>
  <c r="AL42" i="1"/>
  <c r="Z85" i="1"/>
  <c r="F86" i="1"/>
  <c r="F13" i="1"/>
  <c r="H18" i="1"/>
  <c r="AK119" i="1"/>
  <c r="H88" i="1"/>
  <c r="B86" i="1"/>
  <c r="B93" i="1"/>
  <c r="L102" i="1"/>
  <c r="AM103" i="1"/>
  <c r="AC13" i="28" s="1"/>
  <c r="AH69" i="1"/>
  <c r="AF23" i="1"/>
  <c r="J108" i="1"/>
  <c r="N14" i="1"/>
  <c r="J109" i="1"/>
  <c r="R23" i="1"/>
  <c r="AD113" i="1"/>
  <c r="AF36" i="1"/>
  <c r="T74" i="1"/>
  <c r="J66" i="1"/>
  <c r="R22" i="1"/>
  <c r="AD73" i="1"/>
  <c r="Z50" i="1"/>
  <c r="AB72" i="1"/>
  <c r="D65" i="1"/>
  <c r="V70" i="1"/>
  <c r="AD79" i="1"/>
  <c r="R7" i="1"/>
  <c r="AM48" i="1"/>
  <c r="B13" i="1"/>
  <c r="AL79" i="1"/>
  <c r="AF54" i="1"/>
  <c r="X48" i="1"/>
  <c r="AL9" i="1"/>
  <c r="L18" i="1"/>
  <c r="AF53" i="1"/>
  <c r="AJ39" i="1"/>
  <c r="Z112" i="1"/>
  <c r="P24" i="1"/>
  <c r="T6" i="1"/>
  <c r="B99" i="1"/>
  <c r="N58" i="1"/>
  <c r="H54" i="1"/>
  <c r="F26" i="1"/>
  <c r="P37" i="1"/>
  <c r="X101" i="1"/>
  <c r="AM51" i="1"/>
  <c r="Q6" i="28" s="1"/>
  <c r="Z78" i="1"/>
  <c r="J67" i="1"/>
  <c r="B43" i="1"/>
  <c r="J80" i="1"/>
  <c r="AD5" i="1"/>
  <c r="B88" i="1"/>
  <c r="J116" i="1"/>
  <c r="N79" i="1"/>
  <c r="T24" i="1"/>
  <c r="D20" i="1"/>
  <c r="J40" i="1"/>
  <c r="H55" i="1"/>
  <c r="R48" i="1"/>
  <c r="D96" i="1"/>
  <c r="N103" i="1"/>
  <c r="T86" i="1"/>
  <c r="P33" i="1"/>
  <c r="AB28" i="1"/>
  <c r="R39" i="1"/>
  <c r="N10" i="1"/>
  <c r="J8" i="1"/>
  <c r="AD54" i="1"/>
  <c r="P19" i="1"/>
  <c r="X102" i="1"/>
  <c r="R26" i="1"/>
  <c r="B80" i="1"/>
  <c r="R21" i="1"/>
  <c r="AK64" i="1"/>
  <c r="B19" i="1"/>
  <c r="P89" i="1"/>
  <c r="X95" i="1"/>
  <c r="AM25" i="1"/>
  <c r="I10" i="28" s="1"/>
  <c r="V25" i="1"/>
  <c r="L99" i="1"/>
  <c r="N54" i="1"/>
  <c r="Z44" i="1"/>
  <c r="AI41" i="1"/>
  <c r="E14" i="28"/>
  <c r="R4" i="1"/>
  <c r="L58" i="1"/>
  <c r="P23" i="1"/>
  <c r="F39" i="1"/>
  <c r="N81" i="1"/>
  <c r="F18" i="1"/>
  <c r="R36" i="1"/>
  <c r="H96" i="1"/>
  <c r="P82" i="1"/>
  <c r="L11" i="1"/>
  <c r="N53" i="1"/>
  <c r="AB84" i="1"/>
  <c r="F67" i="1"/>
  <c r="AM114" i="1"/>
  <c r="D33" i="1"/>
  <c r="L37" i="1"/>
  <c r="X43" i="1"/>
  <c r="F48" i="1"/>
  <c r="AD34" i="1"/>
  <c r="AF68" i="1"/>
  <c r="X34" i="1"/>
  <c r="F117" i="1"/>
  <c r="B51" i="1"/>
  <c r="F71" i="1"/>
  <c r="D36" i="1"/>
  <c r="R29" i="1"/>
  <c r="AC14" i="28"/>
  <c r="AC9" i="28"/>
  <c r="AG14" i="28"/>
  <c r="AG5" i="28"/>
  <c r="Y10" i="28"/>
  <c r="AG7" i="28"/>
  <c r="I8" i="28"/>
  <c r="Y12" i="28"/>
  <c r="AC4" i="28"/>
  <c r="R103" i="1"/>
  <c r="AH65" i="1"/>
  <c r="AD10" i="1"/>
  <c r="T34" i="1"/>
  <c r="N115" i="1"/>
  <c r="AJ43" i="1"/>
  <c r="AI96" i="1"/>
  <c r="N72" i="1"/>
  <c r="D81" i="1"/>
  <c r="AD52" i="1"/>
  <c r="D55" i="1"/>
  <c r="X93" i="1"/>
  <c r="X36" i="1"/>
  <c r="AB50" i="1"/>
  <c r="AK104" i="1"/>
  <c r="T81" i="1"/>
  <c r="F100" i="1"/>
  <c r="L57" i="1"/>
  <c r="H97" i="1"/>
  <c r="R34" i="1"/>
  <c r="AM71" i="1"/>
  <c r="U11" i="28" s="1"/>
  <c r="Z115" i="1"/>
  <c r="D8" i="1"/>
  <c r="H104" i="1"/>
  <c r="N34" i="1"/>
  <c r="AF113" i="1"/>
  <c r="F115" i="1"/>
  <c r="AJ27" i="1"/>
  <c r="Z20" i="1"/>
  <c r="T29" i="1"/>
  <c r="H41" i="1"/>
  <c r="Z51" i="1"/>
  <c r="E7" i="28"/>
  <c r="T53" i="1"/>
  <c r="Z84" i="1"/>
  <c r="N70" i="1"/>
  <c r="X87" i="1"/>
  <c r="L24" i="1"/>
  <c r="J48" i="1"/>
  <c r="Z28" i="1"/>
  <c r="E9" i="28"/>
  <c r="J33" i="1"/>
  <c r="P29" i="1"/>
  <c r="AL3" i="1"/>
  <c r="V39" i="1"/>
  <c r="AC5" i="28"/>
  <c r="Q9" i="28"/>
  <c r="Q12" i="28"/>
  <c r="Q3" i="28"/>
  <c r="U4" i="28"/>
  <c r="AG9" i="28"/>
  <c r="P3" i="1"/>
  <c r="AL53" i="1"/>
  <c r="J24" i="1"/>
  <c r="AK12" i="1"/>
  <c r="AD6" i="1"/>
  <c r="E10" i="28"/>
  <c r="T65" i="1"/>
  <c r="N68" i="1"/>
  <c r="B23" i="1"/>
  <c r="AG8" i="28"/>
  <c r="H49" i="1"/>
  <c r="Z41" i="1"/>
  <c r="AB20" i="1"/>
  <c r="D58" i="1"/>
  <c r="J89" i="1"/>
  <c r="AL97" i="1"/>
  <c r="AK19" i="1"/>
  <c r="AK86" i="1"/>
  <c r="J115" i="1"/>
  <c r="AD104" i="1"/>
  <c r="AH101" i="1"/>
  <c r="P119" i="1"/>
  <c r="AB37" i="1"/>
  <c r="H53" i="1"/>
  <c r="AJ51" i="1"/>
  <c r="Z67" i="1"/>
  <c r="P14" i="1"/>
  <c r="AM28" i="1"/>
  <c r="X35" i="1"/>
  <c r="AK58" i="1"/>
  <c r="L33" i="1"/>
  <c r="F40" i="1"/>
  <c r="AD19" i="1"/>
  <c r="D27" i="1"/>
  <c r="AJ36" i="1"/>
  <c r="Z79" i="1"/>
  <c r="R3" i="1"/>
  <c r="H27" i="1"/>
  <c r="L79" i="1"/>
  <c r="X51" i="1"/>
  <c r="AK24" i="1"/>
  <c r="AF74" i="1"/>
  <c r="V115" i="1"/>
  <c r="L84" i="1"/>
  <c r="V5" i="1"/>
  <c r="H71" i="1"/>
  <c r="AL58" i="1"/>
  <c r="T100" i="1"/>
  <c r="AF41" i="1"/>
  <c r="D37" i="1"/>
  <c r="J28" i="1"/>
  <c r="AI69" i="1"/>
  <c r="R69" i="1"/>
  <c r="X81" i="1"/>
  <c r="B18" i="1"/>
  <c r="U8" i="28"/>
  <c r="AJ4" i="1"/>
  <c r="F36" i="1"/>
  <c r="P93" i="1"/>
  <c r="AC8" i="28"/>
  <c r="AC3" i="28"/>
  <c r="Y4" i="28"/>
  <c r="AC11" i="28"/>
  <c r="AI72" i="1"/>
  <c r="X86" i="1"/>
  <c r="L51" i="1"/>
  <c r="L41" i="1"/>
  <c r="L27" i="1"/>
  <c r="N93" i="1"/>
  <c r="Z29" i="1"/>
  <c r="N35" i="1"/>
  <c r="Y13" i="28"/>
  <c r="H73" i="1"/>
  <c r="D49" i="1"/>
  <c r="P69" i="1"/>
  <c r="Z81" i="1"/>
  <c r="AK83" i="1"/>
  <c r="L5" i="1"/>
  <c r="AL11" i="1"/>
  <c r="AL7" i="1"/>
  <c r="X42" i="1"/>
  <c r="R72" i="1"/>
  <c r="AJ72" i="1"/>
  <c r="Z116" i="1"/>
  <c r="D110" i="1"/>
  <c r="AL48" i="1"/>
  <c r="R110" i="1"/>
  <c r="L81" i="1"/>
  <c r="N82" i="1"/>
  <c r="AB11" i="1"/>
  <c r="T23" i="1"/>
  <c r="V27" i="1"/>
  <c r="X84" i="1"/>
  <c r="P101" i="1"/>
  <c r="AB18" i="1"/>
  <c r="B96" i="1"/>
  <c r="AB21" i="1"/>
  <c r="P43" i="1"/>
  <c r="AM96" i="1"/>
  <c r="AC6" i="28" s="1"/>
  <c r="AJ28" i="1"/>
  <c r="AB69" i="1"/>
  <c r="D53" i="1"/>
  <c r="B100" i="1"/>
  <c r="B66" i="1"/>
  <c r="T27" i="1"/>
  <c r="X68" i="1"/>
  <c r="T51" i="1"/>
  <c r="AK5" i="1"/>
  <c r="AB44" i="1"/>
  <c r="L19" i="1"/>
  <c r="AB23" i="1"/>
  <c r="AJ82" i="1"/>
  <c r="AM86" i="1"/>
  <c r="Z71" i="1"/>
  <c r="V98" i="1"/>
  <c r="E3" i="28"/>
  <c r="T40" i="1"/>
  <c r="P20" i="1"/>
  <c r="L85" i="1"/>
  <c r="U3" i="28"/>
  <c r="Q8" i="28"/>
  <c r="AG4" i="28"/>
  <c r="M4" i="28"/>
  <c r="E6" i="28"/>
  <c r="AJ97" i="1"/>
  <c r="Y7" i="28"/>
  <c r="Y11" i="28"/>
  <c r="M9" i="28"/>
  <c r="R100" i="1"/>
  <c r="AI86" i="1"/>
  <c r="D69" i="1"/>
  <c r="J51" i="1"/>
  <c r="F12" i="1"/>
  <c r="R119" i="1"/>
  <c r="Z43" i="1"/>
  <c r="P40" i="1"/>
  <c r="L34" i="1"/>
  <c r="N28" i="1"/>
  <c r="AM73" i="1"/>
  <c r="U13" i="28" s="1"/>
  <c r="V49" i="1"/>
  <c r="N6" i="1"/>
  <c r="AH118" i="1"/>
  <c r="J22" i="1"/>
  <c r="AF40" i="1"/>
  <c r="AG6" i="28"/>
  <c r="AK55" i="1"/>
  <c r="AM43" i="1"/>
  <c r="M13" i="28" s="1"/>
  <c r="AH57" i="1"/>
  <c r="AM40" i="1"/>
  <c r="M10" i="28" s="1"/>
  <c r="H82" i="1"/>
  <c r="T87" i="1"/>
  <c r="B101" i="1"/>
  <c r="AL6" i="1"/>
  <c r="AF39" i="1"/>
  <c r="AD116" i="1"/>
  <c r="AD82" i="1"/>
  <c r="J65" i="1"/>
  <c r="D64" i="1"/>
  <c r="F7" i="1"/>
  <c r="N29" i="1"/>
  <c r="F19" i="1"/>
  <c r="V82" i="1"/>
  <c r="P53" i="1"/>
  <c r="F94" i="1"/>
  <c r="X44" i="1"/>
  <c r="AJ6" i="1"/>
  <c r="X27" i="1"/>
  <c r="B83" i="1"/>
  <c r="B26" i="1"/>
  <c r="T85" i="1"/>
  <c r="AD43" i="1"/>
  <c r="R40" i="1"/>
  <c r="R33" i="1"/>
  <c r="N42" i="1"/>
  <c r="P39" i="1"/>
  <c r="AB53" i="1"/>
  <c r="D85" i="1"/>
  <c r="AF43" i="1"/>
  <c r="P118" i="1"/>
  <c r="P28" i="1"/>
  <c r="AF27" i="1"/>
  <c r="T56" i="1"/>
  <c r="V55" i="1"/>
  <c r="V29" i="1"/>
  <c r="AD48" i="1"/>
  <c r="T28" i="1"/>
  <c r="J20" i="1"/>
  <c r="I12" i="28"/>
  <c r="I3" i="28"/>
  <c r="E5" i="28"/>
  <c r="AI66" i="1"/>
  <c r="Q5" i="28"/>
  <c r="H113" i="1"/>
  <c r="AJ66" i="1"/>
  <c r="AK40" i="1"/>
  <c r="L26" i="1"/>
  <c r="AD53" i="1"/>
  <c r="AB40" i="1"/>
  <c r="AL94" i="1"/>
  <c r="B64" i="1"/>
  <c r="M14" i="28"/>
  <c r="X80" i="1"/>
  <c r="F41" i="1"/>
  <c r="AD39" i="1"/>
  <c r="D35" i="1"/>
  <c r="I13" i="28"/>
  <c r="N111" i="1"/>
  <c r="AK6" i="1"/>
  <c r="AL43" i="1"/>
  <c r="X49" i="1"/>
  <c r="B14" i="1"/>
  <c r="D22" i="1"/>
  <c r="AD18" i="1"/>
  <c r="AD4" i="1"/>
  <c r="T11" i="1"/>
  <c r="D114" i="1"/>
  <c r="N26" i="1"/>
  <c r="T118" i="1"/>
  <c r="B79" i="1"/>
  <c r="AL49" i="1"/>
  <c r="F53" i="1"/>
  <c r="J63" i="1"/>
  <c r="B36" i="1"/>
  <c r="T7" i="1"/>
  <c r="Z53" i="1"/>
  <c r="F57" i="1"/>
  <c r="N18" i="1"/>
  <c r="D42" i="1"/>
  <c r="X74" i="1"/>
  <c r="AK94" i="1"/>
  <c r="Z3" i="1"/>
  <c r="AF8" i="1"/>
  <c r="X53" i="1"/>
  <c r="X37" i="1"/>
  <c r="D86" i="1"/>
  <c r="AF115" i="1"/>
  <c r="AB22" i="1"/>
  <c r="J23" i="1"/>
  <c r="AD28" i="1"/>
  <c r="AD88" i="1"/>
  <c r="B24" i="1"/>
  <c r="L69" i="1"/>
  <c r="J7" i="1"/>
  <c r="AH70" i="1"/>
  <c r="V59" i="1"/>
  <c r="L7" i="1"/>
  <c r="Y14" i="28"/>
  <c r="P11" i="1"/>
  <c r="B94" i="1"/>
  <c r="H86" i="1"/>
  <c r="AH10" i="1"/>
  <c r="AH81" i="1"/>
  <c r="V23" i="1"/>
  <c r="R43" i="1"/>
  <c r="T22" i="1"/>
  <c r="AF93" i="1"/>
  <c r="AG10" i="28"/>
  <c r="B5" i="1"/>
  <c r="V97" i="1"/>
  <c r="AF88" i="1"/>
  <c r="L88" i="1"/>
  <c r="E11" i="28"/>
  <c r="I9" i="28"/>
  <c r="AL21" i="1"/>
  <c r="AM74" i="1"/>
  <c r="U14" i="28" s="1"/>
  <c r="AH41" i="1"/>
  <c r="AB81" i="1"/>
  <c r="D21" i="1"/>
  <c r="F29" i="1"/>
  <c r="N21" i="1"/>
  <c r="Z95" i="1"/>
  <c r="AF66" i="1"/>
  <c r="AH49" i="1"/>
  <c r="AB64" i="1"/>
  <c r="D12" i="1"/>
  <c r="F37" i="1"/>
  <c r="L111" i="1"/>
  <c r="R55" i="1"/>
  <c r="F6" i="1"/>
  <c r="AF24" i="1"/>
  <c r="AF19" i="1"/>
  <c r="AI78" i="1"/>
  <c r="N39" i="1"/>
  <c r="P66" i="1"/>
  <c r="AM55" i="1"/>
  <c r="Q10" i="28" s="1"/>
  <c r="J59" i="1"/>
  <c r="D88" i="1"/>
  <c r="H43" i="1"/>
  <c r="AJ78" i="1"/>
  <c r="N65" i="1"/>
  <c r="AF108" i="1"/>
  <c r="AK80" i="1"/>
  <c r="T19" i="1"/>
  <c r="T43" i="1"/>
  <c r="AB49" i="1"/>
  <c r="P109" i="1"/>
  <c r="R66" i="1"/>
  <c r="AF20" i="1"/>
  <c r="P18" i="1"/>
  <c r="H23" i="1"/>
  <c r="AH43" i="1"/>
  <c r="N9" i="1"/>
  <c r="E4" i="28"/>
  <c r="D73" i="1"/>
  <c r="AM81" i="1"/>
  <c r="Y6" i="28" s="1"/>
  <c r="B104" i="1"/>
  <c r="R24" i="1"/>
  <c r="I11" i="28"/>
  <c r="U10" i="28"/>
  <c r="M12" i="28"/>
  <c r="U12" i="28"/>
  <c r="AK114" i="1"/>
  <c r="AI63" i="1"/>
  <c r="AD70" i="1"/>
  <c r="AH25" i="1"/>
  <c r="D78" i="1"/>
  <c r="X29" i="1"/>
  <c r="R51" i="1"/>
  <c r="AF13" i="1"/>
  <c r="J49" i="1"/>
  <c r="F4" i="1"/>
  <c r="J38" i="1"/>
  <c r="AB67" i="1"/>
  <c r="AH40" i="1"/>
  <c r="AD8" i="1"/>
  <c r="AB93" i="1"/>
  <c r="V89" i="1"/>
  <c r="N24" i="1"/>
  <c r="F42" i="1"/>
  <c r="F22" i="1"/>
  <c r="X19" i="1"/>
  <c r="L72" i="1"/>
  <c r="X18" i="1"/>
  <c r="AL109" i="1"/>
  <c r="AB96" i="1"/>
  <c r="H9" i="29" l="1"/>
  <c r="J9" i="29"/>
  <c r="G9" i="29"/>
  <c r="I9" i="29"/>
  <c r="F9" i="29"/>
  <c r="M9" i="29"/>
  <c r="E9" i="29"/>
  <c r="L9" i="29"/>
  <c r="D9" i="29"/>
  <c r="K9" i="29"/>
  <c r="C9" i="29"/>
  <c r="B9" i="29"/>
  <c r="C10" i="29"/>
  <c r="C15" i="29"/>
  <c r="C16" i="29" s="1"/>
  <c r="F10" i="29"/>
  <c r="F15" i="29"/>
  <c r="F16" i="29" s="1"/>
  <c r="M10" i="29"/>
  <c r="M15" i="29"/>
  <c r="M16" i="29" s="1"/>
  <c r="D10" i="29"/>
  <c r="D15" i="29"/>
  <c r="D16" i="29" s="1"/>
  <c r="K10" i="29"/>
  <c r="K15" i="29"/>
  <c r="K16" i="29" s="1"/>
  <c r="J10" i="29"/>
  <c r="J15" i="29"/>
  <c r="J16" i="29" s="1"/>
  <c r="G10" i="29"/>
  <c r="G15" i="29"/>
  <c r="G16" i="29" s="1"/>
  <c r="E10" i="29"/>
  <c r="E15" i="29"/>
  <c r="E16" i="29" s="1"/>
  <c r="L10" i="29"/>
  <c r="L15" i="29"/>
  <c r="L16" i="29" s="1"/>
  <c r="I10" i="29"/>
  <c r="I15" i="29"/>
  <c r="I16" i="29" s="1"/>
  <c r="H10" i="29"/>
  <c r="H15" i="29"/>
  <c r="H16" i="29" s="1"/>
  <c r="C17" i="29"/>
  <c r="C18" i="29" s="1"/>
  <c r="F17" i="29"/>
  <c r="F18" i="29" s="1"/>
  <c r="L17" i="29"/>
  <c r="L18" i="29" s="1"/>
  <c r="K17" i="29"/>
  <c r="K18" i="29" s="1"/>
  <c r="J17" i="29"/>
  <c r="J18" i="29" s="1"/>
  <c r="E17" i="29"/>
  <c r="E18" i="29" s="1"/>
  <c r="I17" i="29"/>
  <c r="I18" i="29" s="1"/>
  <c r="H17" i="29"/>
  <c r="H18" i="29" s="1"/>
  <c r="M17" i="29"/>
  <c r="M18" i="29" s="1"/>
  <c r="D17" i="29"/>
  <c r="D18" i="29" s="1"/>
  <c r="G17" i="29"/>
  <c r="G18" i="29" s="1"/>
  <c r="H19" i="29"/>
  <c r="H20" i="29" s="1"/>
  <c r="I19" i="29"/>
  <c r="I20" i="29" s="1"/>
  <c r="G19" i="29"/>
  <c r="G20" i="29" s="1"/>
  <c r="J19" i="29"/>
  <c r="J20" i="29" s="1"/>
  <c r="F19" i="29"/>
  <c r="F20" i="29" s="1"/>
  <c r="M19" i="29"/>
  <c r="M20" i="29" s="1"/>
  <c r="E19" i="29"/>
  <c r="E20" i="29" s="1"/>
  <c r="L19" i="29"/>
  <c r="L20" i="29" s="1"/>
  <c r="D19" i="29"/>
  <c r="D20" i="29" s="1"/>
  <c r="K19" i="29"/>
  <c r="K20" i="29" s="1"/>
  <c r="C19" i="29"/>
  <c r="C20" i="29" s="1"/>
  <c r="B19" i="29"/>
  <c r="B20" i="29" s="1"/>
  <c r="B17" i="29"/>
  <c r="B18" i="29" s="1"/>
  <c r="B15" i="29"/>
  <c r="B16" i="29" s="1"/>
  <c r="B10" i="29"/>
  <c r="AC96" i="1"/>
  <c r="Y18" i="1"/>
  <c r="M72" i="1"/>
  <c r="Y19" i="1"/>
  <c r="G22" i="1"/>
  <c r="G42" i="1"/>
  <c r="O24" i="1"/>
  <c r="W89" i="1"/>
  <c r="AC93" i="1"/>
  <c r="AE8" i="1"/>
  <c r="AC67" i="1"/>
  <c r="K38" i="1"/>
  <c r="G4" i="1"/>
  <c r="K49" i="1"/>
  <c r="AG13" i="1"/>
  <c r="S51" i="1"/>
  <c r="Y29" i="1"/>
  <c r="E78" i="1"/>
  <c r="AE70" i="1"/>
  <c r="S24" i="1"/>
  <c r="AN104" i="1"/>
  <c r="C104" i="1"/>
  <c r="E73" i="1"/>
  <c r="O9" i="1"/>
  <c r="I23" i="1"/>
  <c r="Q18" i="1"/>
  <c r="AG20" i="1"/>
  <c r="S66" i="1"/>
  <c r="Q109" i="1"/>
  <c r="AC49" i="1"/>
  <c r="U43" i="1"/>
  <c r="U19" i="1"/>
  <c r="AG108" i="1"/>
  <c r="O65" i="1"/>
  <c r="I43" i="1"/>
  <c r="E88" i="1"/>
  <c r="K59" i="1"/>
  <c r="Q66" i="1"/>
  <c r="O39" i="1"/>
  <c r="AG19" i="1"/>
  <c r="AG24" i="1"/>
  <c r="G6" i="1"/>
  <c r="S55" i="1"/>
  <c r="M111" i="1"/>
  <c r="G37" i="1"/>
  <c r="E12" i="1"/>
  <c r="AC64" i="1"/>
  <c r="AG66" i="1"/>
  <c r="AA95" i="1"/>
  <c r="O21" i="1"/>
  <c r="G29" i="1"/>
  <c r="E21" i="1"/>
  <c r="AC81" i="1"/>
  <c r="M88" i="1"/>
  <c r="AG88" i="1"/>
  <c r="W97" i="1"/>
  <c r="C5" i="1"/>
  <c r="AN5" i="1"/>
  <c r="AG93" i="1"/>
  <c r="U22" i="1"/>
  <c r="S43" i="1"/>
  <c r="W23" i="1"/>
  <c r="I86" i="1"/>
  <c r="AN94" i="1"/>
  <c r="C94" i="1"/>
  <c r="Q11" i="1"/>
  <c r="M7" i="1"/>
  <c r="W59" i="1"/>
  <c r="K7" i="1"/>
  <c r="M69" i="1"/>
  <c r="AN24" i="1"/>
  <c r="C24" i="1"/>
  <c r="AE88" i="1"/>
  <c r="AE28" i="1"/>
  <c r="K23" i="1"/>
  <c r="AC22" i="1"/>
  <c r="AG115" i="1"/>
  <c r="E86" i="1"/>
  <c r="Y37" i="1"/>
  <c r="Y53" i="1"/>
  <c r="AG8" i="1"/>
  <c r="AA3" i="1"/>
  <c r="Y74" i="1"/>
  <c r="E42" i="1"/>
  <c r="O18" i="1"/>
  <c r="G57" i="1"/>
  <c r="AA53" i="1"/>
  <c r="U7" i="1"/>
  <c r="AN36" i="1"/>
  <c r="C36" i="1"/>
  <c r="K63" i="1"/>
  <c r="G53" i="1"/>
  <c r="C79" i="1"/>
  <c r="AN79" i="1"/>
  <c r="U118" i="1"/>
  <c r="O26" i="1"/>
  <c r="E114" i="1"/>
  <c r="U11" i="1"/>
  <c r="AE4" i="1"/>
  <c r="AE18" i="1"/>
  <c r="E22" i="1"/>
  <c r="AN14" i="1"/>
  <c r="C14" i="1"/>
  <c r="Y49" i="1"/>
  <c r="O111" i="1"/>
  <c r="E35" i="1"/>
  <c r="AE39" i="1"/>
  <c r="G41" i="1"/>
  <c r="Y80" i="1"/>
  <c r="C64" i="1"/>
  <c r="AN64" i="1"/>
  <c r="AC40" i="1"/>
  <c r="AE53" i="1"/>
  <c r="M26" i="1"/>
  <c r="I113" i="1"/>
  <c r="K20" i="1"/>
  <c r="U28" i="1"/>
  <c r="AE48" i="1"/>
  <c r="W29" i="1"/>
  <c r="W55" i="1"/>
  <c r="U56" i="1"/>
  <c r="AG27" i="1"/>
  <c r="Q28" i="1"/>
  <c r="Q118" i="1"/>
  <c r="AG43" i="1"/>
  <c r="E85" i="1"/>
  <c r="AC53" i="1"/>
  <c r="Q39" i="1"/>
  <c r="O42" i="1"/>
  <c r="S33" i="1"/>
  <c r="S40" i="1"/>
  <c r="AE43" i="1"/>
  <c r="U85" i="1"/>
  <c r="C26" i="1"/>
  <c r="AN26" i="1"/>
  <c r="AN83" i="1"/>
  <c r="C83" i="1"/>
  <c r="Y27" i="1"/>
  <c r="Y44" i="1"/>
  <c r="G94" i="1"/>
  <c r="Q53" i="1"/>
  <c r="W82" i="1"/>
  <c r="G19" i="1"/>
  <c r="O29" i="1"/>
  <c r="G7" i="1"/>
  <c r="E64" i="1"/>
  <c r="K65" i="1"/>
  <c r="AE82" i="1"/>
  <c r="AE116" i="1"/>
  <c r="AG39" i="1"/>
  <c r="AN101" i="1"/>
  <c r="C101" i="1"/>
  <c r="U87" i="1"/>
  <c r="I82" i="1"/>
  <c r="AG40" i="1"/>
  <c r="K22" i="1"/>
  <c r="O6" i="1"/>
  <c r="W49" i="1"/>
  <c r="O28" i="1"/>
  <c r="M34" i="1"/>
  <c r="Q40" i="1"/>
  <c r="AA43" i="1"/>
  <c r="S119" i="1"/>
  <c r="G12" i="1"/>
  <c r="K51" i="1"/>
  <c r="E69" i="1"/>
  <c r="S100" i="1"/>
  <c r="M85" i="1"/>
  <c r="Q20" i="1"/>
  <c r="U40" i="1"/>
  <c r="W98" i="1"/>
  <c r="AA71" i="1"/>
  <c r="AC23" i="1"/>
  <c r="M19" i="1"/>
  <c r="AC44" i="1"/>
  <c r="U51" i="1"/>
  <c r="Y68" i="1"/>
  <c r="U27" i="1"/>
  <c r="AN66" i="1"/>
  <c r="C66" i="1"/>
  <c r="AN100" i="1"/>
  <c r="C100" i="1"/>
  <c r="E53" i="1"/>
  <c r="AC69" i="1"/>
  <c r="Q43" i="1"/>
  <c r="AC21" i="1"/>
  <c r="AN96" i="1"/>
  <c r="C96" i="1"/>
  <c r="AC18" i="1"/>
  <c r="Q101" i="1"/>
  <c r="Y84" i="1"/>
  <c r="W27" i="1"/>
  <c r="U23" i="1"/>
  <c r="AC11" i="1"/>
  <c r="O82" i="1"/>
  <c r="M81" i="1"/>
  <c r="S110" i="1"/>
  <c r="E110" i="1"/>
  <c r="AA116" i="1"/>
  <c r="S72" i="1"/>
  <c r="Y42" i="1"/>
  <c r="M5" i="1"/>
  <c r="AA81" i="1"/>
  <c r="Q69" i="1"/>
  <c r="E49" i="1"/>
  <c r="I73" i="1"/>
  <c r="O35" i="1"/>
  <c r="AA29" i="1"/>
  <c r="O93" i="1"/>
  <c r="M27" i="1"/>
  <c r="M41" i="1"/>
  <c r="M51" i="1"/>
  <c r="Y86" i="1"/>
  <c r="Q93" i="1"/>
  <c r="G36" i="1"/>
  <c r="C18" i="1"/>
  <c r="AN18" i="1"/>
  <c r="Y81" i="1"/>
  <c r="S69" i="1"/>
  <c r="K28" i="1"/>
  <c r="E37" i="1"/>
  <c r="AG41" i="1"/>
  <c r="U100" i="1"/>
  <c r="I71" i="1"/>
  <c r="W5" i="1"/>
  <c r="M84" i="1"/>
  <c r="W115" i="1"/>
  <c r="AG74" i="1"/>
  <c r="Y51" i="1"/>
  <c r="M79" i="1"/>
  <c r="I27" i="1"/>
  <c r="S3" i="1"/>
  <c r="AA79" i="1"/>
  <c r="E27" i="1"/>
  <c r="AE19" i="1"/>
  <c r="G40" i="1"/>
  <c r="M33" i="1"/>
  <c r="Y35" i="1"/>
  <c r="Q14" i="1"/>
  <c r="AA67" i="1"/>
  <c r="I53" i="1"/>
  <c r="AC37" i="1"/>
  <c r="Q119" i="1"/>
  <c r="AE104" i="1"/>
  <c r="K115" i="1"/>
  <c r="K89" i="1"/>
  <c r="E58" i="1"/>
  <c r="AC20" i="1"/>
  <c r="AA41" i="1"/>
  <c r="I49" i="1"/>
  <c r="AN23" i="1"/>
  <c r="C23" i="1"/>
  <c r="O68" i="1"/>
  <c r="U65" i="1"/>
  <c r="AE6" i="1"/>
  <c r="K24" i="1"/>
  <c r="Q3" i="1"/>
  <c r="W39" i="1"/>
  <c r="Q29" i="1"/>
  <c r="K33" i="1"/>
  <c r="AA28" i="1"/>
  <c r="K48" i="1"/>
  <c r="M24" i="1"/>
  <c r="Y87" i="1"/>
  <c r="O70" i="1"/>
  <c r="AA84" i="1"/>
  <c r="U53" i="1"/>
  <c r="AA51" i="1"/>
  <c r="I41" i="1"/>
  <c r="U29" i="1"/>
  <c r="AA20" i="1"/>
  <c r="G115" i="1"/>
  <c r="AG113" i="1"/>
  <c r="O34" i="1"/>
  <c r="I104" i="1"/>
  <c r="E8" i="1"/>
  <c r="AA115" i="1"/>
  <c r="S34" i="1"/>
  <c r="I97" i="1"/>
  <c r="M57" i="1"/>
  <c r="G100" i="1"/>
  <c r="U81" i="1"/>
  <c r="AC50" i="1"/>
  <c r="Y36" i="1"/>
  <c r="Y93" i="1"/>
  <c r="E55" i="1"/>
  <c r="AE52" i="1"/>
  <c r="E81" i="1"/>
  <c r="O72" i="1"/>
  <c r="O115" i="1"/>
  <c r="U34" i="1"/>
  <c r="AE10" i="1"/>
  <c r="S103" i="1"/>
  <c r="S29" i="1"/>
  <c r="E36" i="1"/>
  <c r="G71" i="1"/>
  <c r="AN51" i="1"/>
  <c r="C51" i="1"/>
  <c r="G117" i="1"/>
  <c r="Y34" i="1"/>
  <c r="AG68" i="1"/>
  <c r="AE34" i="1"/>
  <c r="G48" i="1"/>
  <c r="Y43" i="1"/>
  <c r="M37" i="1"/>
  <c r="E33" i="1"/>
  <c r="G67" i="1"/>
  <c r="AC84" i="1"/>
  <c r="O53" i="1"/>
  <c r="M11" i="1"/>
  <c r="Q82" i="1"/>
  <c r="I96" i="1"/>
  <c r="S36" i="1"/>
  <c r="G18" i="1"/>
  <c r="O81" i="1"/>
  <c r="G39" i="1"/>
  <c r="Q23" i="1"/>
  <c r="M58" i="1"/>
  <c r="S4" i="1"/>
  <c r="AA44" i="1"/>
  <c r="O54" i="1"/>
  <c r="M99" i="1"/>
  <c r="W25" i="1"/>
  <c r="Y95" i="1"/>
  <c r="Q89" i="1"/>
  <c r="C19" i="1"/>
  <c r="AN19" i="1"/>
  <c r="S21" i="1"/>
  <c r="AN80" i="1"/>
  <c r="C80" i="1"/>
  <c r="S26" i="1"/>
  <c r="Y102" i="1"/>
  <c r="Q19" i="1"/>
  <c r="AE54" i="1"/>
  <c r="K8" i="1"/>
  <c r="O10" i="1"/>
  <c r="S39" i="1"/>
  <c r="AC28" i="1"/>
  <c r="Q33" i="1"/>
  <c r="U86" i="1"/>
  <c r="O103" i="1"/>
  <c r="E96" i="1"/>
  <c r="S48" i="1"/>
  <c r="I55" i="1"/>
  <c r="K40" i="1"/>
  <c r="E20" i="1"/>
  <c r="U24" i="1"/>
  <c r="O79" i="1"/>
  <c r="K116" i="1"/>
  <c r="C88" i="1"/>
  <c r="AN88" i="1"/>
  <c r="AE5" i="1"/>
  <c r="K80" i="1"/>
  <c r="C43" i="1"/>
  <c r="AN43" i="1"/>
  <c r="K67" i="1"/>
  <c r="AA78" i="1"/>
  <c r="Y101" i="1"/>
  <c r="Q37" i="1"/>
  <c r="G26" i="1"/>
  <c r="I54" i="1"/>
  <c r="O58" i="1"/>
  <c r="AN99" i="1"/>
  <c r="C99" i="1"/>
  <c r="U6" i="1"/>
  <c r="Q24" i="1"/>
  <c r="AA112" i="1"/>
  <c r="AG53" i="1"/>
  <c r="M18" i="1"/>
  <c r="Y48" i="1"/>
  <c r="AG54" i="1"/>
  <c r="AN13" i="1"/>
  <c r="C13" i="1"/>
  <c r="S7" i="1"/>
  <c r="AE79" i="1"/>
  <c r="W70" i="1"/>
  <c r="E65" i="1"/>
  <c r="AC72" i="1"/>
  <c r="AA50" i="1"/>
  <c r="AE73" i="1"/>
  <c r="S22" i="1"/>
  <c r="K66" i="1"/>
  <c r="U74" i="1"/>
  <c r="AG36" i="1"/>
  <c r="AE113" i="1"/>
  <c r="S23" i="1"/>
  <c r="K109" i="1"/>
  <c r="O14" i="1"/>
  <c r="K108" i="1"/>
  <c r="AG23" i="1"/>
  <c r="M102" i="1"/>
  <c r="C93" i="1"/>
  <c r="AN93" i="1"/>
  <c r="AN86" i="1"/>
  <c r="C86" i="1"/>
  <c r="I88" i="1"/>
  <c r="I18" i="1"/>
  <c r="G13" i="1"/>
  <c r="G86" i="1"/>
  <c r="AA85" i="1"/>
  <c r="AA8" i="1"/>
  <c r="S9" i="1"/>
  <c r="G109" i="1"/>
  <c r="E99" i="1"/>
  <c r="M48" i="1"/>
  <c r="S74" i="1"/>
  <c r="M36" i="1"/>
  <c r="E43" i="1"/>
  <c r="U67" i="1"/>
  <c r="W38" i="1"/>
  <c r="Y112" i="1"/>
  <c r="E28" i="1"/>
  <c r="G59" i="1"/>
  <c r="AN27" i="1"/>
  <c r="C27" i="1"/>
  <c r="AE86" i="1"/>
  <c r="AG83" i="1"/>
  <c r="AE36" i="1"/>
  <c r="Y25" i="1"/>
  <c r="O94" i="1"/>
  <c r="C25" i="1"/>
  <c r="AN25" i="1"/>
  <c r="K101" i="1"/>
  <c r="C102" i="1"/>
  <c r="AN102" i="1"/>
  <c r="AC55" i="1"/>
  <c r="W58" i="1"/>
  <c r="AE51" i="1"/>
  <c r="AG34" i="1"/>
  <c r="E63" i="1"/>
  <c r="AC118" i="1"/>
  <c r="O83" i="1"/>
  <c r="Q100" i="1"/>
  <c r="S41" i="1"/>
  <c r="E68" i="1"/>
  <c r="AE21" i="1"/>
  <c r="E44" i="1"/>
  <c r="Y21" i="1"/>
  <c r="AA27" i="1"/>
  <c r="AA86" i="1"/>
  <c r="AN72" i="1"/>
  <c r="C72" i="1"/>
  <c r="AE98" i="1"/>
  <c r="AA118" i="1"/>
  <c r="Y97" i="1"/>
  <c r="AC5" i="1"/>
  <c r="S28" i="1"/>
  <c r="S50" i="1"/>
  <c r="I9" i="1"/>
  <c r="S19" i="1"/>
  <c r="AN73" i="1"/>
  <c r="C73" i="1"/>
  <c r="U20" i="1"/>
  <c r="I114" i="1"/>
  <c r="AN71" i="1"/>
  <c r="C71" i="1"/>
  <c r="K21" i="1"/>
  <c r="AE26" i="1"/>
  <c r="I103" i="1"/>
  <c r="S93" i="1"/>
  <c r="AA58" i="1"/>
  <c r="E71" i="1"/>
  <c r="E25" i="1"/>
  <c r="AE57" i="1"/>
  <c r="AE42" i="1"/>
  <c r="M96" i="1"/>
  <c r="S18" i="1"/>
  <c r="Y40" i="1"/>
  <c r="U37" i="1"/>
  <c r="O20" i="1"/>
  <c r="K12" i="1"/>
  <c r="C34" i="1"/>
  <c r="AN34" i="1"/>
  <c r="W48" i="1"/>
  <c r="W112" i="1"/>
  <c r="O40" i="1"/>
  <c r="AE93" i="1"/>
  <c r="S57" i="1"/>
  <c r="Y33" i="1"/>
  <c r="Q9" i="1"/>
  <c r="W4" i="1"/>
  <c r="E72" i="1"/>
  <c r="AE96" i="1"/>
  <c r="U83" i="1"/>
  <c r="Y78" i="1"/>
  <c r="Y13" i="1"/>
  <c r="G112" i="1"/>
  <c r="W74" i="1"/>
  <c r="O102" i="1"/>
  <c r="Y99" i="1"/>
  <c r="I63" i="1"/>
  <c r="G51" i="1"/>
  <c r="AC89" i="1"/>
  <c r="K50" i="1"/>
  <c r="AE118" i="1"/>
  <c r="K57" i="1"/>
  <c r="W118" i="1"/>
  <c r="M6" i="1"/>
  <c r="W86" i="1"/>
  <c r="E6" i="1"/>
  <c r="Y24" i="1"/>
  <c r="I34" i="1"/>
  <c r="Y26" i="1"/>
  <c r="G20" i="1"/>
  <c r="C33" i="1"/>
  <c r="AN33" i="1"/>
  <c r="AA24" i="1"/>
  <c r="AC35" i="1"/>
  <c r="U18" i="1"/>
  <c r="AE25" i="1"/>
  <c r="AE33" i="1"/>
  <c r="S63" i="1"/>
  <c r="AE49" i="1"/>
  <c r="S59" i="1"/>
  <c r="AA33" i="1"/>
  <c r="C55" i="1"/>
  <c r="AN55" i="1"/>
  <c r="Q27" i="1"/>
  <c r="Q104" i="1"/>
  <c r="I79" i="1"/>
  <c r="Y89" i="1"/>
  <c r="E19" i="1"/>
  <c r="AN85" i="1"/>
  <c r="C85" i="1"/>
  <c r="AA68" i="1"/>
  <c r="U44" i="1"/>
  <c r="U25" i="1"/>
  <c r="AA100" i="1"/>
  <c r="AC25" i="1"/>
  <c r="E5" i="1"/>
  <c r="AC87" i="1"/>
  <c r="E48" i="1"/>
  <c r="AE87" i="1"/>
  <c r="C10" i="1"/>
  <c r="AN10" i="1"/>
  <c r="AC33" i="1"/>
  <c r="I84" i="1"/>
  <c r="O84" i="1"/>
  <c r="G35" i="1"/>
  <c r="Y23" i="1"/>
  <c r="G70" i="1"/>
  <c r="U48" i="1"/>
  <c r="Y83" i="1"/>
  <c r="AC43" i="1"/>
  <c r="K100" i="1"/>
  <c r="AA82" i="1"/>
  <c r="S56" i="1"/>
  <c r="M71" i="1"/>
  <c r="O25" i="1"/>
  <c r="U73" i="1"/>
  <c r="K118" i="1"/>
  <c r="AN38" i="1"/>
  <c r="C38" i="1"/>
  <c r="I81" i="1"/>
  <c r="AC8" i="1"/>
  <c r="AC27" i="1"/>
  <c r="M42" i="1"/>
  <c r="G65" i="1"/>
  <c r="S104" i="1"/>
  <c r="U88" i="1"/>
  <c r="AG22" i="1"/>
  <c r="AN22" i="1"/>
  <c r="C22" i="1"/>
  <c r="Y22" i="1"/>
  <c r="O85" i="1"/>
  <c r="AA98" i="1"/>
  <c r="M55" i="1"/>
  <c r="I80" i="1"/>
  <c r="S79" i="1"/>
  <c r="G72" i="1"/>
  <c r="O57" i="1"/>
  <c r="U112" i="1"/>
  <c r="S118" i="1"/>
  <c r="AA40" i="1"/>
  <c r="E14" i="1"/>
  <c r="Y14" i="1"/>
  <c r="E116" i="1"/>
  <c r="AN67" i="1"/>
  <c r="C67" i="1"/>
  <c r="K18" i="1"/>
  <c r="W101" i="1"/>
  <c r="AA39" i="1"/>
  <c r="U12" i="1"/>
  <c r="W10" i="1"/>
  <c r="K13" i="1"/>
  <c r="S42" i="1"/>
  <c r="AE58" i="1"/>
  <c r="AC119" i="1"/>
  <c r="AN53" i="1"/>
  <c r="C53" i="1"/>
  <c r="C114" i="1"/>
  <c r="AN114" i="1"/>
  <c r="C113" i="1"/>
  <c r="AN113" i="1"/>
  <c r="O66" i="1"/>
  <c r="AE99" i="1"/>
  <c r="AG104" i="1"/>
  <c r="Y59" i="1"/>
  <c r="AC97" i="1"/>
  <c r="AG102" i="1"/>
  <c r="Q80" i="1"/>
  <c r="G113" i="1"/>
  <c r="AA37" i="1"/>
  <c r="W19" i="1"/>
  <c r="AN69" i="1"/>
  <c r="C69" i="1"/>
  <c r="E18" i="1"/>
  <c r="E115" i="1"/>
  <c r="AE23" i="1"/>
  <c r="K26" i="1"/>
  <c r="G99" i="1"/>
  <c r="AA34" i="1"/>
  <c r="AG28" i="1"/>
  <c r="W109" i="1"/>
  <c r="I28" i="1"/>
  <c r="O43" i="1"/>
  <c r="W18" i="1"/>
  <c r="C35" i="1"/>
  <c r="AN35" i="1"/>
  <c r="Q115" i="1"/>
  <c r="I98" i="1"/>
  <c r="AE41" i="1"/>
  <c r="O87" i="1"/>
  <c r="Y56" i="1"/>
  <c r="K56" i="1"/>
  <c r="G33" i="1"/>
  <c r="AE84" i="1"/>
  <c r="O88" i="1"/>
  <c r="O49" i="1"/>
  <c r="O95" i="1"/>
  <c r="U95" i="1"/>
  <c r="Y12" i="1"/>
  <c r="AC57" i="1"/>
  <c r="O44" i="1"/>
  <c r="I26" i="1"/>
  <c r="E29" i="1"/>
  <c r="I89" i="1"/>
  <c r="G24" i="1"/>
  <c r="G87" i="1"/>
  <c r="AN48" i="1"/>
  <c r="C48" i="1"/>
  <c r="AG96" i="1"/>
  <c r="Q49" i="1"/>
  <c r="AE97" i="1"/>
  <c r="K84" i="1"/>
  <c r="AE59" i="1"/>
  <c r="W85" i="1"/>
  <c r="AN40" i="1"/>
  <c r="C40" i="1"/>
  <c r="U79" i="1"/>
  <c r="G54" i="1"/>
  <c r="Y63" i="1"/>
  <c r="AE35" i="1"/>
  <c r="I38" i="1"/>
  <c r="K37" i="1"/>
  <c r="AG118" i="1"/>
  <c r="Y118" i="1"/>
  <c r="AN58" i="1"/>
  <c r="C58" i="1"/>
  <c r="W94" i="1"/>
  <c r="K71" i="1"/>
  <c r="AA117" i="1"/>
  <c r="AE102" i="1"/>
  <c r="U70" i="1"/>
  <c r="K87" i="1"/>
  <c r="Y20" i="1"/>
  <c r="Y41" i="1"/>
  <c r="AG29" i="1"/>
  <c r="W78" i="1"/>
  <c r="I22" i="1"/>
  <c r="W104" i="1"/>
  <c r="S114" i="1"/>
  <c r="K112" i="1"/>
  <c r="Q5" i="1"/>
  <c r="G81" i="1"/>
  <c r="Y38" i="1"/>
  <c r="U99" i="1"/>
  <c r="AC29" i="1"/>
  <c r="AG99" i="1"/>
  <c r="Y113" i="1"/>
  <c r="G56" i="1"/>
  <c r="K113" i="1"/>
  <c r="K14" i="1"/>
  <c r="U39" i="1"/>
  <c r="Q63" i="1"/>
  <c r="K110" i="1"/>
  <c r="U52" i="1"/>
  <c r="G118" i="1"/>
  <c r="G69" i="1"/>
  <c r="AA96" i="1"/>
  <c r="S49" i="1"/>
  <c r="AE114" i="1"/>
  <c r="G89" i="1"/>
  <c r="O41" i="1"/>
  <c r="AA113" i="1"/>
  <c r="S54" i="1"/>
  <c r="I58" i="1"/>
  <c r="Q73" i="1"/>
  <c r="AG4" i="1"/>
  <c r="W116" i="1"/>
  <c r="O96" i="1"/>
  <c r="W14" i="1"/>
  <c r="G102" i="1"/>
  <c r="U50" i="1"/>
  <c r="G68" i="1"/>
  <c r="G23" i="1"/>
  <c r="AC59" i="1"/>
  <c r="K43" i="1"/>
  <c r="AA11" i="1"/>
  <c r="I20" i="1"/>
  <c r="O73" i="1"/>
  <c r="Q72" i="1"/>
  <c r="C115" i="1"/>
  <c r="AN115" i="1"/>
  <c r="Q42" i="1"/>
  <c r="AA35" i="1"/>
  <c r="M25" i="1"/>
  <c r="AC14" i="1"/>
  <c r="Q35" i="1"/>
  <c r="I72" i="1"/>
  <c r="S87" i="1"/>
  <c r="Q116" i="1"/>
  <c r="I42" i="1"/>
  <c r="C103" i="1"/>
  <c r="AN103" i="1"/>
  <c r="AA63" i="1"/>
  <c r="E52" i="1"/>
  <c r="AG117" i="1"/>
  <c r="AG89" i="1"/>
  <c r="AG51" i="1"/>
  <c r="Y39" i="1"/>
  <c r="I40" i="1"/>
  <c r="AC83" i="1"/>
  <c r="I115" i="1"/>
  <c r="G63" i="1"/>
  <c r="AC94" i="1"/>
  <c r="AA70" i="1"/>
  <c r="Q68" i="1"/>
  <c r="AE64" i="1"/>
  <c r="K27" i="1"/>
  <c r="K98" i="1"/>
  <c r="W22" i="1"/>
  <c r="G9" i="1"/>
  <c r="S109" i="1"/>
  <c r="E117" i="1"/>
  <c r="Q21" i="1"/>
  <c r="AA19" i="1"/>
  <c r="M56" i="1"/>
  <c r="E38" i="1"/>
  <c r="U41" i="1"/>
  <c r="AG18" i="1"/>
  <c r="AA59" i="1"/>
  <c r="AC24" i="1"/>
  <c r="K19" i="1"/>
  <c r="C20" i="1"/>
  <c r="AN20" i="1"/>
  <c r="U59" i="1"/>
  <c r="AE24" i="1"/>
  <c r="M119" i="1"/>
  <c r="S53" i="1"/>
  <c r="W21" i="1"/>
  <c r="W69" i="1"/>
  <c r="W73" i="1"/>
  <c r="G55" i="1"/>
  <c r="E40" i="1"/>
  <c r="AN37" i="1"/>
  <c r="C37" i="1"/>
  <c r="I35" i="1"/>
  <c r="W43" i="1"/>
  <c r="AN39" i="1"/>
  <c r="C39" i="1"/>
  <c r="AA69" i="1"/>
  <c r="Y54" i="1"/>
  <c r="E79" i="1"/>
  <c r="U36" i="1"/>
  <c r="S108" i="1"/>
  <c r="Q102" i="1"/>
  <c r="AA108" i="1"/>
  <c r="AG95" i="1"/>
  <c r="U26" i="1"/>
  <c r="Q81" i="1"/>
  <c r="G58" i="1"/>
  <c r="AC34" i="1"/>
  <c r="K119" i="1"/>
  <c r="W66" i="1"/>
  <c r="AG38" i="1"/>
  <c r="AA38" i="1"/>
  <c r="K72" i="1"/>
  <c r="O19" i="1"/>
  <c r="Q83" i="1"/>
  <c r="Q88" i="1"/>
  <c r="W83" i="1"/>
  <c r="I44" i="1"/>
  <c r="AA109" i="1"/>
  <c r="M3" i="1"/>
  <c r="U71" i="1"/>
  <c r="AG48" i="1"/>
  <c r="AN50" i="1"/>
  <c r="C50" i="1"/>
  <c r="S98" i="1"/>
  <c r="Y64" i="1"/>
  <c r="I70" i="1"/>
  <c r="AG85" i="1"/>
  <c r="O13" i="1"/>
  <c r="Q48" i="1"/>
  <c r="W13" i="1"/>
  <c r="W40" i="1"/>
  <c r="I48" i="1"/>
  <c r="W35" i="1"/>
  <c r="M87" i="1"/>
  <c r="S35" i="1"/>
  <c r="W87" i="1"/>
  <c r="U49" i="1"/>
  <c r="M35" i="1"/>
  <c r="I39" i="1"/>
  <c r="AG63" i="1"/>
  <c r="C84" i="1"/>
  <c r="AN84" i="1"/>
  <c r="Q38" i="1"/>
  <c r="AC86" i="1"/>
  <c r="M66" i="1"/>
  <c r="E84" i="1"/>
  <c r="I101" i="1"/>
  <c r="Q94" i="1"/>
  <c r="AC39" i="1"/>
  <c r="S101" i="1"/>
  <c r="K53" i="1"/>
  <c r="Q103" i="1"/>
  <c r="Y67" i="1"/>
  <c r="Q97" i="1"/>
  <c r="AA65" i="1"/>
  <c r="AN44" i="1"/>
  <c r="C44" i="1"/>
  <c r="G78" i="1"/>
  <c r="Q71" i="1"/>
  <c r="AA111" i="1"/>
  <c r="Y9" i="1"/>
  <c r="G44" i="1"/>
  <c r="W103" i="1"/>
  <c r="O55" i="1"/>
  <c r="S44" i="1"/>
  <c r="W99" i="1"/>
  <c r="AE67" i="1"/>
  <c r="W72" i="1"/>
  <c r="Q57" i="1"/>
  <c r="M14" i="1"/>
  <c r="U109" i="1"/>
  <c r="M115" i="1"/>
  <c r="AA36" i="1"/>
  <c r="M52" i="1"/>
  <c r="O69" i="1"/>
  <c r="W26" i="1"/>
  <c r="S78" i="1"/>
  <c r="O22" i="1"/>
  <c r="K86" i="1"/>
  <c r="M43" i="1"/>
  <c r="AE100" i="1"/>
  <c r="Q87" i="1"/>
  <c r="AC115" i="1"/>
  <c r="M68" i="1"/>
  <c r="S73" i="1"/>
  <c r="AE38" i="1"/>
  <c r="Q54" i="1"/>
  <c r="Q74" i="1"/>
  <c r="Q58" i="1"/>
  <c r="AA13" i="1"/>
  <c r="S94" i="1"/>
  <c r="AG101" i="1"/>
  <c r="O67" i="1"/>
  <c r="AG112" i="1"/>
  <c r="AA66" i="1"/>
  <c r="AA49" i="1"/>
  <c r="Q96" i="1"/>
  <c r="E24" i="1"/>
  <c r="C21" i="1"/>
  <c r="AN21" i="1"/>
  <c r="AC73" i="1"/>
  <c r="Q25" i="1"/>
  <c r="E23" i="1"/>
  <c r="Q34" i="1"/>
  <c r="W42" i="1"/>
  <c r="K68" i="1"/>
  <c r="G21" i="1"/>
  <c r="O104" i="1"/>
  <c r="C65" i="1"/>
  <c r="AN65" i="1"/>
  <c r="M8" i="1"/>
  <c r="AA5" i="1"/>
  <c r="M74" i="1"/>
  <c r="Q13" i="1"/>
  <c r="K81" i="1"/>
  <c r="U3" i="1"/>
  <c r="AA93" i="1"/>
  <c r="C116" i="1"/>
  <c r="AN116" i="1"/>
  <c r="AE9" i="1"/>
  <c r="M103" i="1"/>
  <c r="I11" i="1"/>
  <c r="Q64" i="1"/>
  <c r="O101" i="1"/>
  <c r="AE115" i="1"/>
  <c r="K94" i="1"/>
  <c r="AA14" i="1"/>
  <c r="AG25" i="1"/>
  <c r="AA83" i="1"/>
  <c r="E82" i="1"/>
  <c r="W36" i="1"/>
  <c r="M94" i="1"/>
  <c r="W65" i="1"/>
  <c r="O74" i="1"/>
  <c r="AN12" i="1"/>
  <c r="C12" i="1"/>
  <c r="Q51" i="1"/>
  <c r="AA7" i="1"/>
  <c r="AE40" i="1"/>
  <c r="I100" i="1"/>
  <c r="AA57" i="1"/>
  <c r="E98" i="1"/>
  <c r="AC26" i="1"/>
  <c r="AA18" i="1"/>
  <c r="K29" i="1"/>
  <c r="K42" i="1"/>
  <c r="U21" i="1"/>
  <c r="U101" i="1"/>
  <c r="I66" i="1"/>
  <c r="G98" i="1"/>
  <c r="Y58" i="1"/>
  <c r="Y50" i="1"/>
  <c r="S117" i="1"/>
  <c r="E101" i="1"/>
  <c r="K96" i="1"/>
  <c r="C57" i="1"/>
  <c r="AN57" i="1"/>
  <c r="M4" i="1"/>
  <c r="M65" i="1"/>
  <c r="Q70" i="1"/>
  <c r="O48" i="1"/>
  <c r="AC52" i="1"/>
  <c r="O110" i="1"/>
  <c r="G28" i="1"/>
  <c r="E103" i="1"/>
  <c r="U42" i="1"/>
  <c r="AE22" i="1"/>
  <c r="M38" i="1"/>
  <c r="S37" i="1"/>
  <c r="K52" i="1"/>
  <c r="Q59" i="1"/>
  <c r="U58" i="1"/>
  <c r="K64" i="1"/>
  <c r="S20" i="1"/>
  <c r="AC41" i="1"/>
  <c r="AA101" i="1"/>
  <c r="O116" i="1"/>
  <c r="I111" i="1"/>
  <c r="AG42" i="1"/>
  <c r="AG10" i="1"/>
  <c r="AC6" i="1"/>
  <c r="W80" i="1"/>
  <c r="Q117" i="1"/>
  <c r="AG12" i="1"/>
  <c r="AA21" i="1"/>
  <c r="U114" i="1"/>
  <c r="S97" i="1"/>
  <c r="AC110" i="1"/>
  <c r="K5" i="1"/>
  <c r="E100" i="1"/>
  <c r="W12" i="1"/>
  <c r="AG109" i="1"/>
  <c r="M63" i="1"/>
  <c r="K114" i="1"/>
  <c r="S12" i="1"/>
  <c r="Y4" i="1"/>
  <c r="G14" i="1"/>
  <c r="K104" i="1"/>
  <c r="O5" i="1"/>
  <c r="W84" i="1"/>
  <c r="AA80" i="1"/>
  <c r="G5" i="1"/>
  <c r="E26" i="1"/>
  <c r="Y116" i="1"/>
  <c r="AC58" i="1"/>
  <c r="AC54" i="1"/>
  <c r="K93" i="1"/>
  <c r="W110" i="1"/>
  <c r="Q22" i="1"/>
  <c r="AE81" i="1"/>
  <c r="AC78" i="1"/>
  <c r="I29" i="1"/>
  <c r="M112" i="1"/>
  <c r="E51" i="1"/>
  <c r="AE65" i="1"/>
  <c r="AG26" i="1"/>
  <c r="I19" i="1"/>
  <c r="E56" i="1"/>
  <c r="C28" i="1"/>
  <c r="AN28" i="1"/>
  <c r="Q10" i="1"/>
  <c r="W64" i="1"/>
  <c r="AG35" i="1"/>
  <c r="AG80" i="1"/>
  <c r="AC68" i="1"/>
  <c r="M28" i="1"/>
  <c r="AN108" i="1"/>
  <c r="C108" i="1"/>
  <c r="M29" i="1"/>
  <c r="S27" i="1"/>
  <c r="I36" i="1"/>
  <c r="Y57" i="1"/>
  <c r="M97" i="1"/>
  <c r="Y6" i="1"/>
  <c r="G38" i="1"/>
  <c r="S85" i="1"/>
  <c r="AG69" i="1"/>
  <c r="U57" i="1"/>
  <c r="G85" i="1"/>
  <c r="AG55" i="1"/>
  <c r="AE78" i="1"/>
  <c r="S84" i="1"/>
  <c r="Q50" i="1"/>
  <c r="U119" i="1"/>
  <c r="AG52" i="1"/>
  <c r="K39" i="1"/>
  <c r="G104" i="1"/>
  <c r="W114" i="1"/>
  <c r="W57" i="1"/>
  <c r="AG21" i="1"/>
  <c r="Y28" i="1"/>
  <c r="AN41" i="1"/>
  <c r="C41" i="1"/>
  <c r="AN59" i="1"/>
  <c r="C59" i="1"/>
  <c r="M23" i="1"/>
  <c r="AC103" i="1"/>
  <c r="M54" i="1"/>
  <c r="AE69" i="1"/>
  <c r="AC42" i="1"/>
  <c r="W41" i="1"/>
  <c r="AC98" i="1"/>
  <c r="G95" i="1"/>
  <c r="M50" i="1"/>
  <c r="AG64" i="1"/>
  <c r="AA4" i="1"/>
  <c r="K69" i="1"/>
  <c r="C68" i="1"/>
  <c r="AN68" i="1"/>
  <c r="AA102" i="1"/>
  <c r="K95" i="1"/>
  <c r="Y96" i="1"/>
  <c r="K99" i="1"/>
  <c r="C6" i="1"/>
  <c r="AN6" i="1"/>
  <c r="I78" i="1"/>
  <c r="AC38" i="1"/>
  <c r="O37" i="1"/>
  <c r="U9" i="1"/>
  <c r="AG70" i="1"/>
  <c r="AN7" i="1"/>
  <c r="C7" i="1"/>
  <c r="O33" i="1"/>
  <c r="W53" i="1"/>
  <c r="AG97" i="1"/>
  <c r="I21" i="1"/>
  <c r="C56" i="1"/>
  <c r="AN56" i="1"/>
  <c r="S11" i="1"/>
  <c r="I117" i="1"/>
  <c r="U64" i="1"/>
  <c r="Q111" i="1"/>
  <c r="U54" i="1"/>
  <c r="AC116" i="1"/>
  <c r="Y108" i="1"/>
  <c r="AE12" i="1"/>
  <c r="G10" i="1"/>
  <c r="W108" i="1"/>
  <c r="G3" i="1"/>
  <c r="M101" i="1"/>
  <c r="K4" i="1"/>
  <c r="AA89" i="1"/>
  <c r="Y70" i="1"/>
  <c r="K78" i="1"/>
  <c r="E13" i="1"/>
  <c r="Q52" i="1"/>
  <c r="K111" i="1"/>
  <c r="Q41" i="1"/>
  <c r="K83" i="1"/>
  <c r="M39" i="1"/>
  <c r="AA22" i="1"/>
  <c r="G88" i="1"/>
  <c r="C9" i="1"/>
  <c r="AN9" i="1"/>
  <c r="S38" i="1"/>
  <c r="W119" i="1"/>
  <c r="K73" i="1"/>
  <c r="W33" i="1"/>
  <c r="W68" i="1"/>
  <c r="I65" i="1"/>
  <c r="O27" i="1"/>
  <c r="O109" i="1"/>
  <c r="O119" i="1"/>
  <c r="AA42" i="1"/>
  <c r="O113" i="1"/>
  <c r="O71" i="1"/>
  <c r="E104" i="1"/>
  <c r="O64" i="1"/>
  <c r="Q6" i="1"/>
  <c r="AN82" i="1"/>
  <c r="C82" i="1"/>
  <c r="AE27" i="1"/>
  <c r="AN98" i="1"/>
  <c r="C98" i="1"/>
  <c r="G82" i="1"/>
  <c r="K103" i="1"/>
  <c r="AA114" i="1"/>
  <c r="U93" i="1"/>
  <c r="Q55" i="1"/>
  <c r="M93" i="1"/>
  <c r="O50" i="1"/>
  <c r="AC114" i="1"/>
  <c r="E102" i="1"/>
  <c r="AA56" i="1"/>
  <c r="W100" i="1"/>
  <c r="W96" i="1"/>
  <c r="S58" i="1"/>
  <c r="M80" i="1"/>
  <c r="C112" i="1"/>
  <c r="AN112" i="1"/>
  <c r="AG14" i="1"/>
  <c r="M49" i="1"/>
  <c r="AA55" i="1"/>
  <c r="AG84" i="1"/>
  <c r="S52" i="1"/>
  <c r="AG110" i="1"/>
  <c r="AC19" i="1"/>
  <c r="M20" i="1"/>
  <c r="AC88" i="1"/>
  <c r="Q26" i="1"/>
  <c r="U84" i="1"/>
  <c r="I37" i="1"/>
  <c r="G96" i="1"/>
  <c r="AN110" i="1"/>
  <c r="C110" i="1"/>
  <c r="O98" i="1"/>
  <c r="M40" i="1"/>
  <c r="G73" i="1"/>
  <c r="E67" i="1"/>
  <c r="S81" i="1"/>
  <c r="W44" i="1"/>
  <c r="M53" i="1"/>
  <c r="W28" i="1"/>
  <c r="I67" i="1"/>
  <c r="S65" i="1"/>
  <c r="U82" i="1"/>
  <c r="AG59" i="1"/>
  <c r="AE95" i="1"/>
  <c r="M67" i="1"/>
  <c r="I99" i="1"/>
  <c r="G108" i="1"/>
  <c r="AG116" i="1"/>
  <c r="I95" i="1"/>
  <c r="G119" i="1"/>
  <c r="M89" i="1"/>
  <c r="M117" i="1"/>
  <c r="O100" i="1"/>
  <c r="AC70" i="1"/>
  <c r="G83" i="1"/>
  <c r="Q79" i="1"/>
  <c r="AN11" i="1"/>
  <c r="C11" i="1"/>
  <c r="U116" i="1"/>
  <c r="I6" i="1"/>
  <c r="AG44" i="1"/>
  <c r="AA99" i="1"/>
  <c r="S64" i="1"/>
  <c r="C117" i="1"/>
  <c r="AN117" i="1"/>
  <c r="E89" i="1"/>
  <c r="Y5" i="1"/>
  <c r="K82" i="1"/>
  <c r="E93" i="1"/>
  <c r="AC108" i="1"/>
  <c r="S96" i="1"/>
  <c r="Q36" i="1"/>
  <c r="I51" i="1"/>
  <c r="I74" i="1"/>
  <c r="U55" i="1"/>
  <c r="AA72" i="1"/>
  <c r="M22" i="1"/>
  <c r="E80" i="1"/>
  <c r="AE109" i="1"/>
  <c r="U113" i="1"/>
  <c r="U38" i="1"/>
  <c r="W34" i="1"/>
  <c r="I50" i="1"/>
  <c r="I56" i="1"/>
  <c r="O51" i="1"/>
  <c r="W95" i="1"/>
  <c r="O59" i="1"/>
  <c r="AC79" i="1"/>
  <c r="O52" i="1"/>
  <c r="Y66" i="1"/>
  <c r="AA73" i="1"/>
  <c r="AN52" i="1"/>
  <c r="C52" i="1"/>
  <c r="AE29" i="1"/>
  <c r="E83" i="1"/>
  <c r="AA25" i="1"/>
  <c r="AE80" i="1"/>
  <c r="G34" i="1"/>
  <c r="Y100" i="1"/>
  <c r="E87" i="1"/>
  <c r="AG114" i="1"/>
  <c r="Y10" i="1"/>
  <c r="Q44" i="1"/>
  <c r="K44" i="1"/>
  <c r="AE37" i="1"/>
  <c r="M73" i="1"/>
  <c r="M83" i="1"/>
  <c r="W88" i="1"/>
  <c r="K70" i="1"/>
  <c r="W7" i="1"/>
  <c r="W71" i="1"/>
  <c r="W54" i="1"/>
  <c r="AN49" i="1"/>
  <c r="C49" i="1"/>
  <c r="AN89" i="1"/>
  <c r="C89" i="1"/>
  <c r="AA52" i="1"/>
  <c r="S13" i="1"/>
  <c r="I13" i="1"/>
  <c r="AE55" i="1"/>
  <c r="AE50" i="1"/>
  <c r="AE20" i="1"/>
  <c r="AG33" i="1"/>
  <c r="G43" i="1"/>
  <c r="G66" i="1"/>
  <c r="I112" i="1"/>
  <c r="U115" i="1"/>
  <c r="AA119" i="1"/>
  <c r="AN87" i="1"/>
  <c r="C87" i="1"/>
  <c r="M95" i="1"/>
  <c r="AC3" i="1"/>
  <c r="AA94" i="1"/>
  <c r="I110" i="1"/>
  <c r="O7" i="1"/>
  <c r="E39" i="1"/>
  <c r="AG9" i="1"/>
  <c r="I109" i="1"/>
  <c r="AE11" i="1"/>
  <c r="Y82" i="1"/>
  <c r="G97" i="1"/>
  <c r="AN74" i="1"/>
  <c r="C74" i="1"/>
  <c r="Q8" i="1"/>
  <c r="C118" i="1"/>
  <c r="AN118" i="1"/>
  <c r="S115" i="1"/>
  <c r="AG73" i="1"/>
  <c r="AC95" i="1"/>
  <c r="G110" i="1"/>
  <c r="E54" i="1"/>
  <c r="AG58" i="1"/>
  <c r="AC65" i="1"/>
  <c r="AA48" i="1"/>
  <c r="M13" i="1"/>
  <c r="AG56" i="1"/>
  <c r="Y8" i="1"/>
  <c r="Y52" i="1"/>
  <c r="U63" i="1"/>
  <c r="AE108" i="1"/>
  <c r="AN54" i="1"/>
  <c r="C54" i="1"/>
  <c r="AC111" i="1"/>
  <c r="S25" i="1"/>
  <c r="G64" i="1"/>
  <c r="U80" i="1"/>
  <c r="U35" i="1"/>
  <c r="E41" i="1"/>
  <c r="W37" i="1"/>
  <c r="E108" i="1"/>
  <c r="I25" i="1"/>
  <c r="K34" i="1"/>
  <c r="AA104" i="1"/>
  <c r="U68" i="1"/>
  <c r="S6" i="1"/>
  <c r="G74" i="1"/>
  <c r="K58" i="1"/>
  <c r="AC113" i="1"/>
  <c r="AG86" i="1"/>
  <c r="U97" i="1"/>
  <c r="I93" i="1"/>
  <c r="U103" i="1"/>
  <c r="O23" i="1"/>
  <c r="E34" i="1"/>
  <c r="O80" i="1"/>
  <c r="I8" i="1"/>
  <c r="AC104" i="1"/>
  <c r="E9" i="1"/>
  <c r="G52" i="1"/>
  <c r="M109" i="1"/>
  <c r="AA64" i="1"/>
  <c r="AC12" i="1"/>
  <c r="AG65" i="1"/>
  <c r="K6" i="1"/>
  <c r="C81" i="1"/>
  <c r="AN81" i="1"/>
  <c r="AE14" i="1"/>
  <c r="AA23" i="1"/>
  <c r="W102" i="1"/>
  <c r="K88" i="1"/>
  <c r="AE111" i="1"/>
  <c r="S71" i="1"/>
  <c r="E119" i="1"/>
  <c r="Q65" i="1"/>
  <c r="AG5" i="1"/>
  <c r="AG81" i="1"/>
  <c r="AA9" i="1"/>
  <c r="I87" i="1"/>
  <c r="S5" i="1"/>
  <c r="U4" i="1"/>
  <c r="W52" i="1"/>
  <c r="I59" i="1"/>
  <c r="Y103" i="1"/>
  <c r="Y72" i="1"/>
  <c r="O12" i="1"/>
  <c r="W81" i="1"/>
  <c r="U14" i="1"/>
  <c r="S111" i="1"/>
  <c r="AE110" i="1"/>
  <c r="E4" i="1"/>
  <c r="AG11" i="1"/>
  <c r="AA103" i="1"/>
  <c r="S99" i="1"/>
  <c r="W56" i="1"/>
  <c r="E10" i="1"/>
  <c r="G93" i="1"/>
  <c r="M86" i="1"/>
  <c r="AG3" i="1"/>
  <c r="AA88" i="1"/>
  <c r="Q95" i="1"/>
  <c r="O99" i="1"/>
  <c r="AG6" i="1"/>
  <c r="M21" i="1"/>
  <c r="AN70" i="1"/>
  <c r="C70" i="1"/>
  <c r="I33" i="1"/>
  <c r="AA26" i="1"/>
  <c r="K41" i="1"/>
  <c r="AE44" i="1"/>
  <c r="AC71" i="1"/>
  <c r="I83" i="1"/>
  <c r="K54" i="1"/>
  <c r="AE94" i="1"/>
  <c r="I14" i="1"/>
  <c r="I24" i="1"/>
  <c r="W20" i="1"/>
  <c r="W79" i="1"/>
  <c r="C78" i="1"/>
  <c r="AN78" i="1"/>
  <c r="U108" i="1"/>
  <c r="G27" i="1"/>
  <c r="O38" i="1"/>
  <c r="AG100" i="1"/>
  <c r="K36" i="1"/>
  <c r="U94" i="1"/>
  <c r="AG50" i="1"/>
  <c r="E7" i="1"/>
  <c r="AC82" i="1"/>
  <c r="AC100" i="1"/>
  <c r="O112" i="1"/>
  <c r="U69" i="1"/>
  <c r="U66" i="1"/>
  <c r="I68" i="1"/>
  <c r="AA110" i="1"/>
  <c r="S80" i="1"/>
  <c r="AC99" i="1"/>
  <c r="I52" i="1"/>
  <c r="AC112" i="1"/>
  <c r="AC56" i="1"/>
  <c r="M114" i="1"/>
  <c r="E70" i="1"/>
  <c r="I108" i="1"/>
  <c r="O89" i="1"/>
  <c r="AE68" i="1"/>
  <c r="K117" i="1"/>
  <c r="Y73" i="1"/>
  <c r="K10" i="1"/>
  <c r="G103" i="1"/>
  <c r="U8" i="1"/>
  <c r="AA54" i="1"/>
  <c r="Q113" i="1"/>
  <c r="M12" i="1"/>
  <c r="Y11" i="1"/>
  <c r="Q7" i="1"/>
  <c r="AC36" i="1"/>
  <c r="Y3" i="1"/>
  <c r="AN4" i="1"/>
  <c r="C4" i="1"/>
  <c r="M82" i="1"/>
  <c r="U13" i="1"/>
  <c r="K79" i="1"/>
  <c r="AA87" i="1"/>
  <c r="G50" i="1"/>
  <c r="E94" i="1"/>
  <c r="K74" i="1"/>
  <c r="S10" i="1"/>
  <c r="AG78" i="1"/>
  <c r="Q84" i="1"/>
  <c r="C97" i="1"/>
  <c r="AN97" i="1"/>
  <c r="U72" i="1"/>
  <c r="AE71" i="1"/>
  <c r="Q108" i="1"/>
  <c r="G84" i="1"/>
  <c r="W3" i="1"/>
  <c r="Q99" i="1"/>
  <c r="G101" i="1"/>
  <c r="E50" i="1"/>
  <c r="Y110" i="1"/>
  <c r="O56" i="1"/>
  <c r="U117" i="1"/>
  <c r="U89" i="1"/>
  <c r="E112" i="1"/>
  <c r="K55" i="1"/>
  <c r="I118" i="1"/>
  <c r="AN29" i="1"/>
  <c r="C29" i="1"/>
  <c r="U98" i="1"/>
  <c r="Y88" i="1"/>
  <c r="U110" i="1"/>
  <c r="AC80" i="1"/>
  <c r="E74" i="1"/>
  <c r="U102" i="1"/>
  <c r="I119" i="1"/>
  <c r="O78" i="1"/>
  <c r="C63" i="1"/>
  <c r="AN63" i="1"/>
  <c r="W24" i="1"/>
  <c r="M59" i="1"/>
  <c r="K102" i="1"/>
  <c r="AE119" i="1"/>
  <c r="AG57" i="1"/>
  <c r="AN3" i="1"/>
  <c r="C3" i="1"/>
  <c r="E59" i="1"/>
  <c r="S112" i="1"/>
  <c r="AC66" i="1"/>
  <c r="Y71" i="1"/>
  <c r="M100" i="1"/>
  <c r="AG49" i="1"/>
  <c r="M64" i="1"/>
  <c r="AC48" i="1"/>
  <c r="AA12" i="1"/>
  <c r="AG119" i="1"/>
  <c r="AC51" i="1"/>
  <c r="E109" i="1"/>
  <c r="Q78" i="1"/>
  <c r="Y104" i="1"/>
  <c r="S102" i="1"/>
  <c r="M104" i="1"/>
  <c r="M44" i="1"/>
  <c r="AG79" i="1"/>
  <c r="AE89" i="1"/>
  <c r="O3" i="1"/>
  <c r="W93" i="1"/>
  <c r="K9" i="1"/>
  <c r="G114" i="1"/>
  <c r="E118" i="1"/>
  <c r="C8" i="1"/>
  <c r="AN8" i="1"/>
  <c r="W9" i="1"/>
  <c r="E11" i="1"/>
  <c r="AC13" i="1"/>
  <c r="AA6" i="1"/>
  <c r="U5" i="1"/>
  <c r="O36" i="1"/>
  <c r="M118" i="1"/>
  <c r="AA74" i="1"/>
  <c r="AA10" i="1"/>
  <c r="U78" i="1"/>
  <c r="M9" i="1"/>
  <c r="S82" i="1"/>
  <c r="M10" i="1"/>
  <c r="G49" i="1"/>
  <c r="O97" i="1"/>
  <c r="AE66" i="1"/>
  <c r="AE13" i="1"/>
  <c r="Q85" i="1"/>
  <c r="AE3" i="1"/>
  <c r="G116" i="1"/>
  <c r="AE63" i="1"/>
  <c r="AE56" i="1"/>
  <c r="O118" i="1"/>
  <c r="S89" i="1"/>
  <c r="W6" i="1"/>
  <c r="AG87" i="1"/>
  <c r="AC10" i="1"/>
  <c r="AG98" i="1"/>
  <c r="Y94" i="1"/>
  <c r="K35" i="1"/>
  <c r="I116" i="1"/>
  <c r="U104" i="1"/>
  <c r="Q56" i="1"/>
  <c r="AE117" i="1"/>
  <c r="S88" i="1"/>
  <c r="AG7" i="1"/>
  <c r="AE83" i="1"/>
  <c r="AA97" i="1"/>
  <c r="K97" i="1"/>
  <c r="E66" i="1"/>
  <c r="K3" i="1"/>
  <c r="O63" i="1"/>
  <c r="M116" i="1"/>
  <c r="AG111" i="1"/>
  <c r="Y117" i="1"/>
  <c r="E3" i="1"/>
  <c r="W63" i="1"/>
  <c r="AE74" i="1"/>
  <c r="O108" i="1"/>
  <c r="O86" i="1"/>
  <c r="E95" i="1"/>
  <c r="C111" i="1"/>
  <c r="AN111" i="1"/>
  <c r="Q110" i="1"/>
  <c r="AC109" i="1"/>
  <c r="M110" i="1"/>
  <c r="O114" i="1"/>
  <c r="Y115" i="1"/>
  <c r="Q114" i="1"/>
  <c r="W111" i="1"/>
  <c r="Q112" i="1"/>
  <c r="S14" i="1"/>
  <c r="AC7" i="1"/>
  <c r="M70" i="1"/>
  <c r="E111" i="1"/>
  <c r="Y79" i="1"/>
  <c r="I7" i="1"/>
  <c r="I94" i="1"/>
  <c r="G11" i="1"/>
  <c r="AN42" i="1"/>
  <c r="C42" i="1"/>
  <c r="Y55" i="1"/>
  <c r="C95" i="1"/>
  <c r="AN95" i="1"/>
  <c r="I5" i="1"/>
  <c r="Q67" i="1"/>
  <c r="AC4" i="1"/>
  <c r="M78" i="1"/>
  <c r="S8" i="1"/>
  <c r="S86" i="1"/>
  <c r="AG82" i="1"/>
  <c r="I102" i="1"/>
  <c r="M98" i="1"/>
  <c r="AE103" i="1"/>
  <c r="I69" i="1"/>
  <c r="G8" i="1"/>
  <c r="Y85" i="1"/>
  <c r="G79" i="1"/>
  <c r="AG103" i="1"/>
  <c r="W51" i="1"/>
  <c r="S68" i="1"/>
  <c r="AE72" i="1"/>
  <c r="S116" i="1"/>
  <c r="AE85" i="1"/>
  <c r="E97" i="1"/>
  <c r="Y98" i="1"/>
  <c r="C109" i="1"/>
  <c r="AN109" i="1"/>
  <c r="M108" i="1"/>
  <c r="W113" i="1"/>
  <c r="E113" i="1"/>
  <c r="S67" i="1"/>
  <c r="AG71" i="1"/>
  <c r="AC74" i="1"/>
  <c r="K25" i="1"/>
  <c r="I10" i="1"/>
  <c r="Y119" i="1"/>
  <c r="AE112" i="1"/>
  <c r="W67" i="1"/>
  <c r="O11" i="1"/>
  <c r="G111" i="1"/>
  <c r="AC102" i="1"/>
  <c r="O117" i="1"/>
  <c r="AC117" i="1"/>
  <c r="I4" i="1"/>
  <c r="U33" i="1"/>
  <c r="AC9" i="1"/>
  <c r="U10" i="1"/>
  <c r="Y111" i="1"/>
  <c r="AG67" i="1"/>
  <c r="K11" i="1"/>
  <c r="S70" i="1"/>
  <c r="W8" i="1"/>
  <c r="AC63" i="1"/>
  <c r="O4" i="1"/>
  <c r="G25" i="1"/>
  <c r="AG37" i="1"/>
  <c r="S83" i="1"/>
  <c r="W117" i="1"/>
  <c r="AG72" i="1"/>
  <c r="S113" i="1"/>
  <c r="Y69" i="1"/>
  <c r="O8" i="1"/>
  <c r="I85" i="1"/>
  <c r="I12" i="1"/>
  <c r="G80" i="1"/>
  <c r="AE7" i="1"/>
  <c r="C119" i="1"/>
  <c r="AN119" i="1"/>
  <c r="E57" i="1"/>
  <c r="AG94" i="1"/>
  <c r="I64" i="1"/>
  <c r="Q12" i="1"/>
  <c r="Q86" i="1"/>
  <c r="Y109" i="1"/>
  <c r="Y65" i="1"/>
  <c r="I57" i="1"/>
  <c r="M113" i="1"/>
  <c r="K85" i="1"/>
  <c r="I3" i="1"/>
  <c r="AC85" i="1"/>
  <c r="Q4" i="1"/>
  <c r="U96" i="1"/>
  <c r="AE101" i="1"/>
  <c r="AC101" i="1"/>
  <c r="W50" i="1"/>
  <c r="U111" i="1"/>
  <c r="Q98" i="1"/>
  <c r="S95" i="1"/>
  <c r="Y114" i="1"/>
  <c r="Y7" i="1"/>
  <c r="W11" i="1"/>
  <c r="J6" i="28"/>
  <c r="F3" i="28"/>
  <c r="N6" i="28"/>
  <c r="V5" i="28"/>
  <c r="Z3" i="28"/>
  <c r="Z12" i="28"/>
  <c r="R12" i="28"/>
  <c r="J4" i="28"/>
  <c r="B7" i="28"/>
  <c r="V14" i="28"/>
  <c r="AD14" i="28"/>
  <c r="B5" i="28"/>
  <c r="V11" i="28"/>
  <c r="J3" i="28"/>
  <c r="F7" i="28"/>
  <c r="R7" i="28"/>
  <c r="AD8" i="28"/>
  <c r="N13" i="28"/>
  <c r="AD10" i="28"/>
  <c r="J9" i="28"/>
  <c r="V9" i="28"/>
  <c r="B9" i="28"/>
  <c r="V7" i="28"/>
  <c r="N7" i="28"/>
  <c r="Z7" i="28"/>
  <c r="R6" i="28"/>
  <c r="Z6" i="28"/>
  <c r="F8" i="28"/>
  <c r="J13" i="28"/>
  <c r="Z9" i="28"/>
  <c r="R13" i="28"/>
  <c r="V10" i="28"/>
  <c r="J5" i="28"/>
  <c r="AD3" i="28"/>
  <c r="B6" i="28"/>
  <c r="B3" i="28"/>
  <c r="B13" i="28"/>
  <c r="F5" i="28"/>
  <c r="F6" i="28"/>
  <c r="F13" i="28"/>
  <c r="J11" i="28"/>
  <c r="AD5" i="28"/>
  <c r="R14" i="28"/>
  <c r="J12" i="28"/>
  <c r="Z14" i="28"/>
  <c r="Z10" i="28"/>
  <c r="N10" i="28"/>
  <c r="N8" i="28"/>
  <c r="R9" i="28"/>
  <c r="Z13" i="28"/>
  <c r="N12" i="28"/>
  <c r="R8" i="28"/>
  <c r="Z8" i="28"/>
  <c r="B4" i="28"/>
  <c r="R3" i="28"/>
  <c r="V3" i="28"/>
  <c r="AD6" i="28"/>
  <c r="V4" i="28"/>
  <c r="B14" i="28"/>
  <c r="F12" i="28"/>
  <c r="F10" i="28"/>
  <c r="J7" i="28"/>
  <c r="N5" i="28"/>
  <c r="R5" i="28"/>
  <c r="N14" i="28"/>
  <c r="AD7" i="28"/>
  <c r="B8" i="28"/>
  <c r="F9" i="28"/>
  <c r="R4" i="28"/>
  <c r="F11" i="28"/>
  <c r="Z11" i="28"/>
  <c r="F4" i="28"/>
  <c r="V13" i="28"/>
  <c r="R11" i="28"/>
  <c r="B10" i="28"/>
  <c r="AD11" i="28"/>
  <c r="B12" i="28"/>
  <c r="B11" i="28"/>
  <c r="AD12" i="28"/>
  <c r="N4" i="28"/>
  <c r="V12" i="28"/>
  <c r="N9" i="28"/>
  <c r="Z4" i="28"/>
  <c r="V8" i="28"/>
  <c r="J8" i="28"/>
  <c r="AD9" i="28"/>
  <c r="N3" i="28"/>
  <c r="J10" i="28"/>
  <c r="J14" i="28"/>
  <c r="N11" i="28"/>
  <c r="AD13" i="28"/>
  <c r="R10" i="28"/>
  <c r="Z5" i="28"/>
  <c r="AD4" i="28"/>
  <c r="V6" i="28"/>
  <c r="F14" i="28"/>
  <c r="H11" i="29" l="1"/>
  <c r="I11" i="29"/>
  <c r="J11" i="29"/>
  <c r="F11" i="29"/>
  <c r="L11" i="29"/>
  <c r="K11" i="29"/>
  <c r="C11" i="29"/>
  <c r="B11" i="29"/>
  <c r="E11" i="29"/>
  <c r="D11" i="29"/>
  <c r="G11" i="29"/>
  <c r="M11" i="29"/>
  <c r="G14" i="28"/>
  <c r="H14" i="28"/>
  <c r="W6" i="28"/>
  <c r="X6" i="28"/>
  <c r="AE4" i="28"/>
  <c r="AF4" i="28"/>
  <c r="AA5" i="28"/>
  <c r="AB5" i="28"/>
  <c r="S10" i="28"/>
  <c r="T10" i="28"/>
  <c r="AF13" i="28"/>
  <c r="AE13" i="28"/>
  <c r="P11" i="28"/>
  <c r="O11" i="28"/>
  <c r="K14" i="28"/>
  <c r="L14" i="28"/>
  <c r="L10" i="28"/>
  <c r="K10" i="28"/>
  <c r="O3" i="28"/>
  <c r="P3" i="28"/>
  <c r="AE9" i="28"/>
  <c r="AF9" i="28"/>
  <c r="K8" i="28"/>
  <c r="L8" i="28"/>
  <c r="W8" i="28"/>
  <c r="X8" i="28"/>
  <c r="AA4" i="28"/>
  <c r="AB4" i="28"/>
  <c r="P9" i="28"/>
  <c r="O9" i="28"/>
  <c r="W12" i="28"/>
  <c r="X12" i="28"/>
  <c r="O4" i="28"/>
  <c r="P4" i="28"/>
  <c r="AE12" i="28"/>
  <c r="AF12" i="28"/>
  <c r="D11" i="28"/>
  <c r="C11" i="28"/>
  <c r="AH11" i="28"/>
  <c r="D12" i="28"/>
  <c r="AH12" i="28"/>
  <c r="C12" i="28"/>
  <c r="AE11" i="28"/>
  <c r="AF11" i="28"/>
  <c r="D10" i="28"/>
  <c r="AH10" i="28"/>
  <c r="C10" i="28"/>
  <c r="T11" i="28"/>
  <c r="S11" i="28"/>
  <c r="X13" i="28"/>
  <c r="W13" i="28"/>
  <c r="H4" i="28"/>
  <c r="G4" i="28"/>
  <c r="AB11" i="28"/>
  <c r="AA11" i="28"/>
  <c r="H11" i="28"/>
  <c r="G11" i="28"/>
  <c r="S4" i="28"/>
  <c r="T4" i="28"/>
  <c r="G9" i="28"/>
  <c r="H9" i="28"/>
  <c r="C8" i="28"/>
  <c r="D8" i="28"/>
  <c r="AH8" i="28"/>
  <c r="AE7" i="28"/>
  <c r="AF7" i="28"/>
  <c r="O14" i="28"/>
  <c r="P14" i="28"/>
  <c r="S5" i="28"/>
  <c r="T5" i="28"/>
  <c r="O5" i="28"/>
  <c r="P5" i="28"/>
  <c r="L7" i="28"/>
  <c r="K7" i="28"/>
  <c r="H10" i="28"/>
  <c r="G10" i="28"/>
  <c r="H12" i="28"/>
  <c r="G12" i="28"/>
  <c r="C14" i="28"/>
  <c r="D14" i="28"/>
  <c r="AH14" i="28"/>
  <c r="X4" i="28"/>
  <c r="W4" i="28"/>
  <c r="AE6" i="28"/>
  <c r="AF6" i="28"/>
  <c r="W3" i="28"/>
  <c r="X3" i="28"/>
  <c r="T3" i="28"/>
  <c r="S3" i="28"/>
  <c r="C4" i="28"/>
  <c r="D4" i="28"/>
  <c r="AH4" i="28"/>
  <c r="AB8" i="28"/>
  <c r="AA8" i="28"/>
  <c r="S8" i="28"/>
  <c r="T8" i="28"/>
  <c r="P12" i="28"/>
  <c r="O12" i="28"/>
  <c r="AB13" i="28"/>
  <c r="AA13" i="28"/>
  <c r="T9" i="28"/>
  <c r="S9" i="28"/>
  <c r="O8" i="28"/>
  <c r="P8" i="28"/>
  <c r="O10" i="28"/>
  <c r="P10" i="28"/>
  <c r="AB10" i="28"/>
  <c r="AA10" i="28"/>
  <c r="AB14" i="28"/>
  <c r="AA14" i="28"/>
  <c r="K12" i="28"/>
  <c r="L12" i="28"/>
  <c r="T14" i="28"/>
  <c r="S14" i="28"/>
  <c r="AE5" i="28"/>
  <c r="AF5" i="28"/>
  <c r="K11" i="28"/>
  <c r="L11" i="28"/>
  <c r="G13" i="28"/>
  <c r="H13" i="28"/>
  <c r="G6" i="28"/>
  <c r="H6" i="28"/>
  <c r="H5" i="28"/>
  <c r="G5" i="28"/>
  <c r="D13" i="28"/>
  <c r="C13" i="28"/>
  <c r="AH13" i="28"/>
  <c r="C3" i="28"/>
  <c r="AH3" i="28"/>
  <c r="D3" i="28"/>
  <c r="AH6" i="28"/>
  <c r="C6" i="28"/>
  <c r="D6" i="28"/>
  <c r="AE3" i="28"/>
  <c r="AF3" i="28"/>
  <c r="L5" i="28"/>
  <c r="K5" i="28"/>
  <c r="X10" i="28"/>
  <c r="W10" i="28"/>
  <c r="T13" i="28"/>
  <c r="S13" i="28"/>
  <c r="AA9" i="28"/>
  <c r="AB9" i="28"/>
  <c r="L13" i="28"/>
  <c r="K13" i="28"/>
  <c r="H8" i="28"/>
  <c r="G8" i="28"/>
  <c r="AA6" i="28"/>
  <c r="AB6" i="28"/>
  <c r="S6" i="28"/>
  <c r="T6" i="28"/>
  <c r="AB7" i="28"/>
  <c r="AA7" i="28"/>
  <c r="O7" i="28"/>
  <c r="P7" i="28"/>
  <c r="X7" i="28"/>
  <c r="W7" i="28"/>
  <c r="D9" i="28"/>
  <c r="AH9" i="28"/>
  <c r="C9" i="28"/>
  <c r="X9" i="28"/>
  <c r="W9" i="28"/>
  <c r="L9" i="28"/>
  <c r="K9" i="28"/>
  <c r="AF10" i="28"/>
  <c r="AE10" i="28"/>
  <c r="P13" i="28"/>
  <c r="O13" i="28"/>
  <c r="AF8" i="28"/>
  <c r="AE8" i="28"/>
  <c r="S7" i="28"/>
  <c r="T7" i="28"/>
  <c r="G7" i="28"/>
  <c r="H7" i="28"/>
  <c r="L3" i="28"/>
  <c r="K3" i="28"/>
  <c r="W11" i="28"/>
  <c r="X11" i="28"/>
  <c r="AH5" i="28"/>
  <c r="C5" i="28"/>
  <c r="D5" i="28"/>
  <c r="AE14" i="28"/>
  <c r="AF14" i="28"/>
  <c r="X14" i="28"/>
  <c r="W14" i="28"/>
  <c r="AH7" i="28"/>
  <c r="C7" i="28"/>
  <c r="D7" i="28"/>
  <c r="K4" i="28"/>
  <c r="L4" i="28"/>
  <c r="T12" i="28"/>
  <c r="S12" i="28"/>
  <c r="AB12" i="28"/>
  <c r="AA12" i="28"/>
  <c r="AB3" i="28"/>
  <c r="AA3" i="28"/>
  <c r="X5" i="28"/>
  <c r="W5" i="28"/>
  <c r="O6" i="28"/>
  <c r="P6" i="28"/>
  <c r="G3" i="28"/>
  <c r="H3" i="28"/>
  <c r="K6" i="28"/>
  <c r="L6" i="28"/>
  <c r="AO29" i="1"/>
  <c r="AO81" i="1"/>
  <c r="AO109" i="1"/>
  <c r="AO95" i="1"/>
  <c r="AO70" i="1"/>
  <c r="AO118" i="1"/>
  <c r="AO56" i="1"/>
  <c r="AO44" i="1"/>
  <c r="AO40" i="1"/>
  <c r="AO48" i="1"/>
  <c r="AO114" i="1"/>
  <c r="AO38" i="1"/>
  <c r="AO83" i="1"/>
  <c r="AO94" i="1"/>
  <c r="AO54" i="1"/>
  <c r="AO87" i="1"/>
  <c r="AO49" i="1"/>
  <c r="AO117" i="1"/>
  <c r="AO11" i="1"/>
  <c r="AO12" i="1"/>
  <c r="AO116" i="1"/>
  <c r="AO10" i="1"/>
  <c r="AO71" i="1"/>
  <c r="AO88" i="1"/>
  <c r="AO19" i="1"/>
  <c r="AO101" i="1"/>
  <c r="AO26" i="1"/>
  <c r="AO64" i="1"/>
  <c r="AO24" i="1"/>
  <c r="AO8" i="1"/>
  <c r="AO112" i="1"/>
  <c r="AO59" i="1"/>
  <c r="AO65" i="1"/>
  <c r="AO50" i="1"/>
  <c r="AO37" i="1"/>
  <c r="AO25" i="1"/>
  <c r="AO27" i="1"/>
  <c r="AO14" i="1"/>
  <c r="AO79" i="1"/>
  <c r="AO111" i="1"/>
  <c r="AO78" i="1"/>
  <c r="AO63" i="1"/>
  <c r="AO4" i="1"/>
  <c r="AO98" i="1"/>
  <c r="AO68" i="1"/>
  <c r="AO57" i="1"/>
  <c r="AO103" i="1"/>
  <c r="AO69" i="1"/>
  <c r="AO53" i="1"/>
  <c r="AO55" i="1"/>
  <c r="AO100" i="1"/>
  <c r="AO104" i="1"/>
  <c r="AO42" i="1"/>
  <c r="AO74" i="1"/>
  <c r="AO110" i="1"/>
  <c r="AO41" i="1"/>
  <c r="AO28" i="1"/>
  <c r="AO21" i="1"/>
  <c r="AO20" i="1"/>
  <c r="AO13" i="1"/>
  <c r="AO3" i="1"/>
  <c r="AO6" i="1"/>
  <c r="AO108" i="1"/>
  <c r="AO35" i="1"/>
  <c r="AO85" i="1"/>
  <c r="AO73" i="1"/>
  <c r="AO99" i="1"/>
  <c r="AO43" i="1"/>
  <c r="AO23" i="1"/>
  <c r="AO96" i="1"/>
  <c r="AO66" i="1"/>
  <c r="AO97" i="1"/>
  <c r="AO52" i="1"/>
  <c r="AO82" i="1"/>
  <c r="AO9" i="1"/>
  <c r="AO84" i="1"/>
  <c r="AO39" i="1"/>
  <c r="AO115" i="1"/>
  <c r="AO58" i="1"/>
  <c r="AO113" i="1"/>
  <c r="AO67" i="1"/>
  <c r="AO22" i="1"/>
  <c r="AO33" i="1"/>
  <c r="AO86" i="1"/>
  <c r="AO5" i="1"/>
  <c r="AO119" i="1"/>
  <c r="AO89" i="1"/>
  <c r="AO7" i="1"/>
  <c r="AO34" i="1"/>
  <c r="AO72" i="1"/>
  <c r="AO102" i="1"/>
  <c r="AO93" i="1"/>
  <c r="AO80" i="1"/>
  <c r="AO51" i="1"/>
  <c r="AO18" i="1"/>
  <c r="AO36" i="1"/>
  <c r="AJ9" i="28" l="1"/>
  <c r="AI9" i="28"/>
  <c r="AI13" i="28"/>
  <c r="AJ13" i="28"/>
  <c r="AM8" i="28"/>
  <c r="AK8" i="28"/>
  <c r="AJ11" i="28"/>
  <c r="AI11" i="28"/>
  <c r="AI8" i="28"/>
  <c r="AJ8" i="28"/>
  <c r="AK12" i="28"/>
  <c r="AM12" i="28"/>
  <c r="AK9" i="28"/>
  <c r="AM9" i="28"/>
  <c r="AI10" i="28"/>
  <c r="AJ10" i="28"/>
  <c r="AM14" i="28"/>
  <c r="AK14" i="28"/>
  <c r="AM5" i="28"/>
  <c r="AK5" i="28"/>
  <c r="AM6" i="28"/>
  <c r="AK6" i="28"/>
  <c r="AK13" i="28"/>
  <c r="AM13" i="28"/>
  <c r="AM10" i="28"/>
  <c r="AK10" i="28"/>
  <c r="AK11" i="28"/>
  <c r="AM11" i="28"/>
  <c r="AK7" i="28"/>
  <c r="AM7" i="28"/>
  <c r="AJ4" i="28"/>
  <c r="AI4" i="28"/>
  <c r="AI5" i="28"/>
  <c r="AJ5" i="28"/>
  <c r="AI6" i="28"/>
  <c r="AJ6" i="28"/>
  <c r="AM4" i="28"/>
  <c r="AK4" i="28"/>
  <c r="AJ7" i="28"/>
  <c r="AI7" i="28"/>
  <c r="AM3" i="28"/>
  <c r="AK3" i="28"/>
  <c r="AI3" i="28"/>
  <c r="AJ3" i="28"/>
  <c r="AJ14" i="28"/>
  <c r="AI14" i="28"/>
  <c r="AI12" i="28"/>
  <c r="AJ12" i="28"/>
  <c r="AL7" i="28" l="1"/>
  <c r="AL13" i="28"/>
  <c r="AL10" i="28"/>
  <c r="AL4" i="28"/>
  <c r="AL6" i="28"/>
  <c r="AL8" i="28"/>
  <c r="AL5" i="28"/>
  <c r="AL9" i="28"/>
  <c r="AL11" i="28"/>
  <c r="AL12" i="28"/>
  <c r="AL3" i="28"/>
  <c r="AL14" i="2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en B" description="Connection to the 'Queen B' query in the workbook." type="5" refreshedVersion="6" background="1" saveData="1">
    <dbPr connection="Provider=Microsoft.Mashup.OleDb.1;Data Source=$Workbook$;Location=Queen B;Extended Properties=&quot;&quot;" command="SELECT * FROM [Queen B]"/>
  </connection>
  <connection id="2" xr16:uid="{00000000-0015-0000-FFFF-FFFF01000000}" keepAlive="1" name="Query - Stats" description="Connection to the 'Stats' query in the workbook." type="5" refreshedVersion="6" background="1" saveData="1">
    <dbPr connection="Provider=Microsoft.Mashup.OleDb.1;Data Source=$Workbook$;Location=Stats;Extended Properties=&quot;&quot;" command="SELECT * FROM [Stats]"/>
  </connection>
  <connection id="3" xr16:uid="{00000000-0015-0000-FFFF-FFFF02000000}" keepAlive="1" name="Query - Stats (10)" description="Connection to the 'Stats (10)' query in the workbook." type="5" refreshedVersion="6" background="1" saveData="1">
    <dbPr connection="Provider=Microsoft.Mashup.OleDb.1;Data Source=$Workbook$;Location=Stats (10);Extended Properties=&quot;&quot;" command="SELECT * FROM [Stats (10)]"/>
  </connection>
  <connection id="4" xr16:uid="{00000000-0015-0000-FFFF-FFFF03000000}" keepAlive="1" name="Query - Stats (11)" description="Connection to the 'Stats (11)' query in the workbook." type="5" refreshedVersion="6" background="1" saveData="1">
    <dbPr connection="Provider=Microsoft.Mashup.OleDb.1;Data Source=$Workbook$;Location=Stats (11);Extended Properties=&quot;&quot;" command="SELECT * FROM [Stats (11)]"/>
  </connection>
  <connection id="5" xr16:uid="{00000000-0015-0000-FFFF-FFFF04000000}" keepAlive="1" name="Query - Stats (2)" description="Connection to the 'Stats (2)' query in the workbook." type="5" refreshedVersion="6" background="1" saveData="1">
    <dbPr connection="Provider=Microsoft.Mashup.OleDb.1;Data Source=$Workbook$;Location=Stats (2);Extended Properties=&quot;&quot;" command="SELECT * FROM [Stats (2)]"/>
  </connection>
  <connection id="6" xr16:uid="{00000000-0015-0000-FFFF-FFFF05000000}" keepAlive="1" name="Query - Stats (3)" description="Connection to the 'Stats (3)' query in the workbook." type="5" refreshedVersion="6" background="1" saveData="1">
    <dbPr connection="Provider=Microsoft.Mashup.OleDb.1;Data Source=$Workbook$;Location=Stats (3);Extended Properties=&quot;&quot;" command="SELECT * FROM [Stats (3)]"/>
  </connection>
  <connection id="7" xr16:uid="{00000000-0015-0000-FFFF-FFFF06000000}" keepAlive="1" name="Query - Stats (4)" description="Connection to the 'Stats (4)' query in the workbook." type="5" refreshedVersion="6" background="1" saveData="1">
    <dbPr connection="Provider=Microsoft.Mashup.OleDb.1;Data Source=$Workbook$;Location=Stats (4);Extended Properties=&quot;&quot;" command="SELECT * FROM [Stats (4)]"/>
  </connection>
  <connection id="8" xr16:uid="{00000000-0015-0000-FFFF-FFFF07000000}" keepAlive="1" name="Query - Stats (5)" description="Connection to the 'Stats (5)' query in the workbook." type="5" refreshedVersion="6" background="1" saveData="1">
    <dbPr connection="Provider=Microsoft.Mashup.OleDb.1;Data Source=$Workbook$;Location=Stats (5);Extended Properties=&quot;&quot;" command="SELECT * FROM [Stats (5)]"/>
  </connection>
  <connection id="9" xr16:uid="{00000000-0015-0000-FFFF-FFFF08000000}" keepAlive="1" name="Query - Stats (6)" description="Connection to the 'Stats (6)' query in the workbook." type="5" refreshedVersion="6" background="1" saveData="1">
    <dbPr connection="Provider=Microsoft.Mashup.OleDb.1;Data Source=$Workbook$;Location=Stats (6);Extended Properties=&quot;&quot;" command="SELECT * FROM [Stats (6)]"/>
  </connection>
  <connection id="10" xr16:uid="{00000000-0015-0000-FFFF-FFFF09000000}" keepAlive="1" name="Query - Stats (7)" description="Connection to the 'Stats (7)' query in the workbook." type="5" refreshedVersion="6" background="1" saveData="1">
    <dbPr connection="Provider=Microsoft.Mashup.OleDb.1;Data Source=$Workbook$;Location=Stats (7);Extended Properties=&quot;&quot;" command="SELECT * FROM [Stats (7)]"/>
  </connection>
  <connection id="11" xr16:uid="{00000000-0015-0000-FFFF-FFFF0A000000}" keepAlive="1" name="Query - Stats (8)" description="Connection to the 'Stats (8)' query in the workbook." type="5" refreshedVersion="6" background="1" saveData="1">
    <dbPr connection="Provider=Microsoft.Mashup.OleDb.1;Data Source=$Workbook$;Location=Stats (8);Extended Properties=&quot;&quot;" command="SELECT * FROM [Stats (8)]"/>
  </connection>
  <connection id="12" xr16:uid="{00000000-0015-0000-FFFF-FFFF0B000000}" keepAlive="1" name="Query - Stats (9)" description="Connection to the 'Stats (9)' query in the workbook." type="5" refreshedVersion="6" background="1" saveData="1">
    <dbPr connection="Provider=Microsoft.Mashup.OleDb.1;Data Source=$Workbook$;Location=Stats (9);Extended Properties=&quot;&quot;" command="SELECT * FROM [Stats (9)]"/>
  </connection>
</connections>
</file>

<file path=xl/sharedStrings.xml><?xml version="1.0" encoding="utf-8"?>
<sst xmlns="http://schemas.openxmlformats.org/spreadsheetml/2006/main" count="1867" uniqueCount="74">
  <si>
    <t>QB</t>
  </si>
  <si>
    <t>Octobers Very Own</t>
  </si>
  <si>
    <t>King Goffrey</t>
  </si>
  <si>
    <t>5 INT 7-8</t>
  </si>
  <si>
    <t>Queen B</t>
  </si>
  <si>
    <t>Team Ratliff</t>
  </si>
  <si>
    <t>Pitts Likes Dicks</t>
  </si>
  <si>
    <t>The Dictator</t>
  </si>
  <si>
    <t>Team No Trades</t>
  </si>
  <si>
    <t>Team capt queef</t>
  </si>
  <si>
    <t>Team Quintanilla</t>
  </si>
  <si>
    <t>The Last Jedi</t>
  </si>
  <si>
    <t>Team Binder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</si>
  <si>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</si>
  <si>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</si>
  <si>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</si>
  <si>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</si>
  <si>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</si>
  <si>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</si>
  <si>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</si>
  <si>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</si>
  <si>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</si>
  <si>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</si>
  <si>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</si>
  <si>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</si>
  <si>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</si>
  <si>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</si>
  <si>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</si>
  <si>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</si>
  <si>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Points</t>
  </si>
  <si>
    <t>Min</t>
  </si>
  <si>
    <t>Max</t>
  </si>
  <si>
    <t>Average</t>
  </si>
  <si>
    <t>Std Dev</t>
  </si>
  <si>
    <t>Total</t>
  </si>
  <si>
    <t>% of Points</t>
  </si>
  <si>
    <t>Starters Total</t>
  </si>
  <si>
    <t>Bench Total</t>
  </si>
  <si>
    <t>Team Total</t>
  </si>
  <si>
    <t>N/A</t>
  </si>
  <si>
    <t>New Starters</t>
  </si>
  <si>
    <t>New Players</t>
  </si>
  <si>
    <t>Bench Players Outscored Starters</t>
  </si>
  <si>
    <t>Max Score</t>
  </si>
  <si>
    <t>% of Max Score</t>
  </si>
  <si>
    <t>Point Breakdown</t>
  </si>
  <si>
    <t>Starters Total TDs</t>
  </si>
  <si>
    <t>Bench Total TDs</t>
  </si>
  <si>
    <t>Team Total TDs</t>
  </si>
  <si>
    <t>Starters % of Points by TD</t>
  </si>
  <si>
    <t>Starters % of Points by Other</t>
  </si>
  <si>
    <t>Bench % of Points by TD</t>
  </si>
  <si>
    <t>Bench % of Points by Other</t>
  </si>
  <si>
    <t>Team % of Points by TD</t>
  </si>
  <si>
    <t>Team % of Points by Other</t>
  </si>
  <si>
    <t>RB1</t>
  </si>
  <si>
    <t>RB2</t>
  </si>
  <si>
    <t>WR1</t>
  </si>
  <si>
    <t>WR2</t>
  </si>
  <si>
    <t>TE</t>
  </si>
  <si>
    <t>FLEX</t>
  </si>
  <si>
    <t>D/ST</t>
  </si>
  <si>
    <t/>
  </si>
  <si>
    <t>Rank</t>
  </si>
  <si>
    <t>Regular Season</t>
  </si>
  <si>
    <t>PPG</t>
  </si>
  <si>
    <t>Behind Leader</t>
  </si>
  <si>
    <t>DST</t>
  </si>
  <si>
    <t>PPG Rank</t>
  </si>
  <si>
    <t>AVG Pos
Rank</t>
  </si>
  <si>
    <t>Top 6 Position Ranks</t>
  </si>
  <si>
    <t>Rank AVG Pos</t>
  </si>
  <si>
    <t>Max Score Rank</t>
  </si>
  <si>
    <t>% of Max Score 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</si>
</sst>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2" fontId="0" fillId="0" borderId="1" xfId="1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1" xfId="0" applyFill="1" applyBorder="1"/>
  </cellXfs>
  <cellStyles count="2">
    <cellStyle name="Normal" xfId="0" builtinId="0"/>
    <cellStyle name="Percent" xfId="1" builtinId="5"/>
  </cellStyles>
  <dxfs count="250"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300-000000000000}" autoFormatId="16" applyNumberFormats="0" applyBorderFormats="0" applyFontFormats="0" applyPatternFormats="0" applyAlignmentFormats="0" applyWidthHeightFormats="0">
  <queryTableRefresh nextId="24">
    <queryTableFields count="23">
      <queryTableField id="1" name="Points" tableColumnId="24"/>
      <queryTableField id="2" name="Week 1" tableColumnId="2"/>
      <queryTableField id="3" name="Week 2" tableColumnId="3"/>
      <queryTableField id="4" name="Week 3" tableColumnId="4"/>
      <queryTableField id="5" name="Week 4" tableColumnId="5"/>
      <queryTableField id="6" name="Week 5" tableColumnId="6"/>
      <queryTableField id="7" name="Week 6" tableColumnId="7"/>
      <queryTableField id="8" name="Week 7" tableColumnId="8"/>
      <queryTableField id="9" name="Week 8" tableColumnId="9"/>
      <queryTableField id="10" name="Week 9" tableColumnId="10"/>
      <queryTableField id="11" name="Week 10" tableColumnId="11"/>
      <queryTableField id="12" name="Week 11" tableColumnId="12"/>
      <queryTableField id="13" name="Week 12" tableColumnId="13"/>
      <queryTableField id="14" name="Week 13" tableColumnId="14"/>
      <queryTableField id="15" name="Week 14" tableColumnId="15"/>
      <queryTableField id="16" name="Week 15" tableColumnId="16"/>
      <queryTableField id="17" name="Week 16" tableColumnId="17"/>
      <queryTableField id="18" name="Min" tableColumnId="18"/>
      <queryTableField id="19" name="Max" tableColumnId="19"/>
      <queryTableField id="20" name="Average" tableColumnId="20"/>
      <queryTableField id="21" name="Std Dev" tableColumnId="21"/>
      <queryTableField id="22" name="Total" tableColumnId="22"/>
      <queryTableField id="23" name="% of Points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0000000-0016-0000-0500-000002000000}" autoFormatId="16" applyNumberFormats="0" applyBorderFormats="0" applyFontFormats="0" applyPatternFormats="0" applyAlignmentFormats="0" applyWidthHeightFormats="0">
  <queryTableRefresh nextId="24">
    <queryTableFields count="23">
      <queryTableField id="1" name="Points" tableColumnId="24"/>
      <queryTableField id="2" name="Week 1" tableColumnId="2"/>
      <queryTableField id="3" name="Week 2" tableColumnId="3"/>
      <queryTableField id="4" name="Week 3" tableColumnId="4"/>
      <queryTableField id="5" name="Week 4" tableColumnId="5"/>
      <queryTableField id="6" name="Week 5" tableColumnId="6"/>
      <queryTableField id="7" name="Week 6" tableColumnId="7"/>
      <queryTableField id="8" name="Week 7" tableColumnId="8"/>
      <queryTableField id="9" name="Week 8" tableColumnId="9"/>
      <queryTableField id="10" name="Week 9" tableColumnId="10"/>
      <queryTableField id="11" name="Week 10" tableColumnId="11"/>
      <queryTableField id="12" name="Week 11" tableColumnId="12"/>
      <queryTableField id="13" name="Week 12" tableColumnId="13"/>
      <queryTableField id="14" name="Week 13" tableColumnId="14"/>
      <queryTableField id="15" name="Week 14" tableColumnId="15"/>
      <queryTableField id="16" name="Week 15" tableColumnId="16"/>
      <queryTableField id="17" name="Week 16" tableColumnId="17"/>
      <queryTableField id="18" name="Min" tableColumnId="18"/>
      <queryTableField id="19" name="Max" tableColumnId="19"/>
      <queryTableField id="20" name="Average" tableColumnId="20"/>
      <queryTableField id="21" name="Std Dev" tableColumnId="21"/>
      <queryTableField id="22" name="Total" tableColumnId="22"/>
      <queryTableField id="23" name="% of Points" tableColumnId="2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0000000-0016-0000-0400-000001000000}" autoFormatId="16" applyNumberFormats="0" applyBorderFormats="0" applyFontFormats="0" applyPatternFormats="0" applyAlignmentFormats="0" applyWidthHeightFormats="0">
  <queryTableRefresh nextId="24">
    <queryTableFields count="23">
      <queryTableField id="1" name="Points" tableColumnId="24"/>
      <queryTableField id="2" name="Week 1" tableColumnId="2"/>
      <queryTableField id="3" name="Week 2" tableColumnId="3"/>
      <queryTableField id="4" name="Week 3" tableColumnId="4"/>
      <queryTableField id="5" name="Week 4" tableColumnId="5"/>
      <queryTableField id="6" name="Week 5" tableColumnId="6"/>
      <queryTableField id="7" name="Week 6" tableColumnId="7"/>
      <queryTableField id="8" name="Week 7" tableColumnId="8"/>
      <queryTableField id="9" name="Week 8" tableColumnId="9"/>
      <queryTableField id="10" name="Week 9" tableColumnId="10"/>
      <queryTableField id="11" name="Week 10" tableColumnId="11"/>
      <queryTableField id="12" name="Week 11" tableColumnId="12"/>
      <queryTableField id="13" name="Week 12" tableColumnId="13"/>
      <queryTableField id="14" name="Week 13" tableColumnId="14"/>
      <queryTableField id="15" name="Week 14" tableColumnId="15"/>
      <queryTableField id="16" name="Week 15" tableColumnId="16"/>
      <queryTableField id="17" name="Week 16" tableColumnId="17"/>
      <queryTableField id="18" name="Min" tableColumnId="18"/>
      <queryTableField id="19" name="Max" tableColumnId="19"/>
      <queryTableField id="20" name="Average" tableColumnId="20"/>
      <queryTableField id="21" name="Std Dev" tableColumnId="21"/>
      <queryTableField id="22" name="Total" tableColumnId="22"/>
      <queryTableField id="23" name="% of Points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3000000}" autoFormatId="16" applyNumberFormats="0" applyBorderFormats="0" applyFontFormats="0" applyPatternFormats="0" applyAlignmentFormats="0" applyWidthHeightFormats="0">
  <queryTableRefresh nextId="24">
    <queryTableFields count="23">
      <queryTableField id="1" name="Points" tableColumnId="24"/>
      <queryTableField id="2" name="Week 1" tableColumnId="2"/>
      <queryTableField id="3" name="Week 2" tableColumnId="3"/>
      <queryTableField id="4" name="Week 3" tableColumnId="4"/>
      <queryTableField id="5" name="Week 4" tableColumnId="5"/>
      <queryTableField id="6" name="Week 5" tableColumnId="6"/>
      <queryTableField id="7" name="Week 6" tableColumnId="7"/>
      <queryTableField id="8" name="Week 7" tableColumnId="8"/>
      <queryTableField id="9" name="Week 8" tableColumnId="9"/>
      <queryTableField id="10" name="Week 9" tableColumnId="10"/>
      <queryTableField id="11" name="Week 10" tableColumnId="11"/>
      <queryTableField id="12" name="Week 11" tableColumnId="12"/>
      <queryTableField id="13" name="Week 12" tableColumnId="13"/>
      <queryTableField id="14" name="Week 13" tableColumnId="14"/>
      <queryTableField id="15" name="Week 14" tableColumnId="15"/>
      <queryTableField id="16" name="Week 15" tableColumnId="16"/>
      <queryTableField id="17" name="Week 16" tableColumnId="17"/>
      <queryTableField id="18" name="Min" tableColumnId="18"/>
      <queryTableField id="19" name="Max" tableColumnId="19"/>
      <queryTableField id="20" name="Average" tableColumnId="20"/>
      <queryTableField id="21" name="Std Dev" tableColumnId="21"/>
      <queryTableField id="22" name="Total" tableColumnId="22"/>
      <queryTableField id="23" name="% of Points" tableColumnId="2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700-000004000000}" autoFormatId="16" applyNumberFormats="0" applyBorderFormats="0" applyFontFormats="0" applyPatternFormats="0" applyAlignmentFormats="0" applyWidthHeightFormats="0">
  <queryTableRefresh nextId="24">
    <queryTableFields count="23">
      <queryTableField id="1" name="Points" tableColumnId="24"/>
      <queryTableField id="2" name="Week 1" tableColumnId="2"/>
      <queryTableField id="3" name="Week 2" tableColumnId="3"/>
      <queryTableField id="4" name="Week 3" tableColumnId="4"/>
      <queryTableField id="5" name="Week 4" tableColumnId="5"/>
      <queryTableField id="6" name="Week 5" tableColumnId="6"/>
      <queryTableField id="7" name="Week 6" tableColumnId="7"/>
      <queryTableField id="8" name="Week 7" tableColumnId="8"/>
      <queryTableField id="9" name="Week 8" tableColumnId="9"/>
      <queryTableField id="10" name="Week 9" tableColumnId="10"/>
      <queryTableField id="11" name="Week 10" tableColumnId="11"/>
      <queryTableField id="12" name="Week 11" tableColumnId="12"/>
      <queryTableField id="13" name="Week 12" tableColumnId="13"/>
      <queryTableField id="14" name="Week 13" tableColumnId="14"/>
      <queryTableField id="15" name="Week 14" tableColumnId="15"/>
      <queryTableField id="16" name="Week 15" tableColumnId="16"/>
      <queryTableField id="17" name="Week 16" tableColumnId="17"/>
      <queryTableField id="18" name="Min" tableColumnId="18"/>
      <queryTableField id="19" name="Max" tableColumnId="19"/>
      <queryTableField id="20" name="Average" tableColumnId="20"/>
      <queryTableField id="21" name="Std Dev" tableColumnId="21"/>
      <queryTableField id="22" name="Total" tableColumnId="22"/>
      <queryTableField id="23" name="% of Points" tableColumnId="2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0000000-0016-0000-0800-000005000000}" autoFormatId="16" applyNumberFormats="0" applyBorderFormats="0" applyFontFormats="0" applyPatternFormats="0" applyAlignmentFormats="0" applyWidthHeightFormats="0">
  <queryTableRefresh nextId="24">
    <queryTableFields count="23">
      <queryTableField id="1" name="Points" tableColumnId="24"/>
      <queryTableField id="2" name="Week 1" tableColumnId="2"/>
      <queryTableField id="3" name="Week 2" tableColumnId="3"/>
      <queryTableField id="4" name="Week 3" tableColumnId="4"/>
      <queryTableField id="5" name="Week 4" tableColumnId="5"/>
      <queryTableField id="6" name="Week 5" tableColumnId="6"/>
      <queryTableField id="7" name="Week 6" tableColumnId="7"/>
      <queryTableField id="8" name="Week 7" tableColumnId="8"/>
      <queryTableField id="9" name="Week 8" tableColumnId="9"/>
      <queryTableField id="10" name="Week 9" tableColumnId="10"/>
      <queryTableField id="11" name="Week 10" tableColumnId="11"/>
      <queryTableField id="12" name="Week 11" tableColumnId="12"/>
      <queryTableField id="13" name="Week 12" tableColumnId="13"/>
      <queryTableField id="14" name="Week 13" tableColumnId="14"/>
      <queryTableField id="15" name="Week 14" tableColumnId="15"/>
      <queryTableField id="16" name="Week 15" tableColumnId="16"/>
      <queryTableField id="17" name="Week 16" tableColumnId="17"/>
      <queryTableField id="18" name="Min" tableColumnId="18"/>
      <queryTableField id="19" name="Max" tableColumnId="19"/>
      <queryTableField id="20" name="Average" tableColumnId="20"/>
      <queryTableField id="21" name="Std Dev" tableColumnId="21"/>
      <queryTableField id="22" name="Total" tableColumnId="22"/>
      <queryTableField id="23" name="% of Points" tableColumnId="2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00000000-0016-0000-0900-000006000000}" autoFormatId="16" applyNumberFormats="0" applyBorderFormats="0" applyFontFormats="0" applyPatternFormats="0" applyAlignmentFormats="0" applyWidthHeightFormats="0">
  <queryTableRefresh nextId="24">
    <queryTableFields count="23">
      <queryTableField id="1" name="Points" tableColumnId="24"/>
      <queryTableField id="2" name="Week 1" tableColumnId="2"/>
      <queryTableField id="3" name="Week 2" tableColumnId="3"/>
      <queryTableField id="4" name="Week 3" tableColumnId="4"/>
      <queryTableField id="5" name="Week 4" tableColumnId="5"/>
      <queryTableField id="6" name="Week 5" tableColumnId="6"/>
      <queryTableField id="7" name="Week 6" tableColumnId="7"/>
      <queryTableField id="8" name="Week 7" tableColumnId="8"/>
      <queryTableField id="9" name="Week 8" tableColumnId="9"/>
      <queryTableField id="10" name="Week 9" tableColumnId="10"/>
      <queryTableField id="11" name="Week 10" tableColumnId="11"/>
      <queryTableField id="12" name="Week 11" tableColumnId="12"/>
      <queryTableField id="13" name="Week 12" tableColumnId="13"/>
      <queryTableField id="14" name="Week 13" tableColumnId="14"/>
      <queryTableField id="15" name="Week 14" tableColumnId="15"/>
      <queryTableField id="16" name="Week 15" tableColumnId="16"/>
      <queryTableField id="17" name="Week 16" tableColumnId="17"/>
      <queryTableField id="18" name="Min" tableColumnId="18"/>
      <queryTableField id="19" name="Max" tableColumnId="19"/>
      <queryTableField id="20" name="Average" tableColumnId="20"/>
      <queryTableField id="21" name="Std Dev" tableColumnId="21"/>
      <queryTableField id="22" name="Total" tableColumnId="22"/>
      <queryTableField id="23" name="% of Points" tableColumnId="2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0000000-0016-0000-0A00-000007000000}" autoFormatId="16" applyNumberFormats="0" applyBorderFormats="0" applyFontFormats="0" applyPatternFormats="0" applyAlignmentFormats="0" applyWidthHeightFormats="0">
  <queryTableRefresh nextId="24">
    <queryTableFields count="23">
      <queryTableField id="1" name="Points" tableColumnId="24"/>
      <queryTableField id="2" name="Week 1" tableColumnId="2"/>
      <queryTableField id="3" name="Week 2" tableColumnId="3"/>
      <queryTableField id="4" name="Week 3" tableColumnId="4"/>
      <queryTableField id="5" name="Week 4" tableColumnId="5"/>
      <queryTableField id="6" name="Week 5" tableColumnId="6"/>
      <queryTableField id="7" name="Week 6" tableColumnId="7"/>
      <queryTableField id="8" name="Week 7" tableColumnId="8"/>
      <queryTableField id="9" name="Week 8" tableColumnId="9"/>
      <queryTableField id="10" name="Week 9" tableColumnId="10"/>
      <queryTableField id="11" name="Week 10" tableColumnId="11"/>
      <queryTableField id="12" name="Week 11" tableColumnId="12"/>
      <queryTableField id="13" name="Week 12" tableColumnId="13"/>
      <queryTableField id="14" name="Week 13" tableColumnId="14"/>
      <queryTableField id="15" name="Week 14" tableColumnId="15"/>
      <queryTableField id="16" name="Week 15" tableColumnId="16"/>
      <queryTableField id="17" name="Week 16" tableColumnId="17"/>
      <queryTableField id="18" name="Min" tableColumnId="18"/>
      <queryTableField id="19" name="Max" tableColumnId="19"/>
      <queryTableField id="20" name="Average" tableColumnId="20"/>
      <queryTableField id="21" name="Std Dev" tableColumnId="21"/>
      <queryTableField id="22" name="Total" tableColumnId="22"/>
      <queryTableField id="23" name="% of Points" tableColumnId="2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B00-000008000000}" autoFormatId="16" applyNumberFormats="0" applyBorderFormats="0" applyFontFormats="0" applyPatternFormats="0" applyAlignmentFormats="0" applyWidthHeightFormats="0">
  <queryTableRefresh nextId="24">
    <queryTableFields count="23">
      <queryTableField id="1" name="Points" tableColumnId="24"/>
      <queryTableField id="2" name="Week 1" tableColumnId="2"/>
      <queryTableField id="3" name="Week 2" tableColumnId="3"/>
      <queryTableField id="4" name="Week 3" tableColumnId="4"/>
      <queryTableField id="5" name="Week 4" tableColumnId="5"/>
      <queryTableField id="6" name="Week 5" tableColumnId="6"/>
      <queryTableField id="7" name="Week 6" tableColumnId="7"/>
      <queryTableField id="8" name="Week 7" tableColumnId="8"/>
      <queryTableField id="9" name="Week 8" tableColumnId="9"/>
      <queryTableField id="10" name="Week 9" tableColumnId="10"/>
      <queryTableField id="11" name="Week 10" tableColumnId="11"/>
      <queryTableField id="12" name="Week 11" tableColumnId="12"/>
      <queryTableField id="13" name="Week 12" tableColumnId="13"/>
      <queryTableField id="14" name="Week 13" tableColumnId="14"/>
      <queryTableField id="15" name="Week 14" tableColumnId="15"/>
      <queryTableField id="16" name="Week 15" tableColumnId="16"/>
      <queryTableField id="17" name="Week 16" tableColumnId="17"/>
      <queryTableField id="18" name="Min" tableColumnId="18"/>
      <queryTableField id="19" name="Max" tableColumnId="19"/>
      <queryTableField id="20" name="Average" tableColumnId="20"/>
      <queryTableField id="21" name="Std Dev" tableColumnId="21"/>
      <queryTableField id="22" name="Total" tableColumnId="22"/>
      <queryTableField id="23" name="% of Points" tableColumnId="2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00000000-0016-0000-0C00-000009000000}" autoFormatId="16" applyNumberFormats="0" applyBorderFormats="0" applyFontFormats="0" applyPatternFormats="0" applyAlignmentFormats="0" applyWidthHeightFormats="0">
  <queryTableRefresh nextId="24">
    <queryTableFields count="23">
      <queryTableField id="1" name="Points" tableColumnId="24"/>
      <queryTableField id="2" name="Week 1" tableColumnId="2"/>
      <queryTableField id="3" name="Week 2" tableColumnId="3"/>
      <queryTableField id="4" name="Week 3" tableColumnId="4"/>
      <queryTableField id="5" name="Week 4" tableColumnId="5"/>
      <queryTableField id="6" name="Week 5" tableColumnId="6"/>
      <queryTableField id="7" name="Week 6" tableColumnId="7"/>
      <queryTableField id="8" name="Week 7" tableColumnId="8"/>
      <queryTableField id="9" name="Week 8" tableColumnId="9"/>
      <queryTableField id="10" name="Week 9" tableColumnId="10"/>
      <queryTableField id="11" name="Week 10" tableColumnId="11"/>
      <queryTableField id="12" name="Week 11" tableColumnId="12"/>
      <queryTableField id="13" name="Week 12" tableColumnId="13"/>
      <queryTableField id="14" name="Week 13" tableColumnId="14"/>
      <queryTableField id="15" name="Week 14" tableColumnId="15"/>
      <queryTableField id="16" name="Week 15" tableColumnId="16"/>
      <queryTableField id="17" name="Week 16" tableColumnId="17"/>
      <queryTableField id="18" name="Min" tableColumnId="18"/>
      <queryTableField id="19" name="Max" tableColumnId="19"/>
      <queryTableField id="20" name="Average" tableColumnId="20"/>
      <queryTableField id="21" name="Std Dev" tableColumnId="21"/>
      <queryTableField id="22" name="Total" tableColumnId="22"/>
      <queryTableField id="23" name="% of Points" tableColumnId="2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D00-00000A000000}" autoFormatId="16" applyNumberFormats="0" applyBorderFormats="0" applyFontFormats="0" applyPatternFormats="0" applyAlignmentFormats="0" applyWidthHeightFormats="0">
  <queryTableRefresh nextId="24">
    <queryTableFields count="23">
      <queryTableField id="1" name="Points" tableColumnId="24"/>
      <queryTableField id="2" name="Week 1" tableColumnId="2"/>
      <queryTableField id="3" name="Week 2" tableColumnId="3"/>
      <queryTableField id="4" name="Week 3" tableColumnId="4"/>
      <queryTableField id="5" name="Week 4" tableColumnId="5"/>
      <queryTableField id="6" name="Week 5" tableColumnId="6"/>
      <queryTableField id="7" name="Week 6" tableColumnId="7"/>
      <queryTableField id="8" name="Week 7" tableColumnId="8"/>
      <queryTableField id="9" name="Week 8" tableColumnId="9"/>
      <queryTableField id="10" name="Week 9" tableColumnId="10"/>
      <queryTableField id="11" name="Week 10" tableColumnId="11"/>
      <queryTableField id="12" name="Week 11" tableColumnId="12"/>
      <queryTableField id="13" name="Week 12" tableColumnId="13"/>
      <queryTableField id="14" name="Week 13" tableColumnId="14"/>
      <queryTableField id="15" name="Week 14" tableColumnId="15"/>
      <queryTableField id="16" name="Week 15" tableColumnId="16"/>
      <queryTableField id="17" name="Week 16" tableColumnId="17"/>
      <queryTableField id="18" name="Min" tableColumnId="18"/>
      <queryTableField id="19" name="Max" tableColumnId="19"/>
      <queryTableField id="20" name="Average" tableColumnId="20"/>
      <queryTableField id="21" name="Std Dev" tableColumnId="21"/>
      <queryTableField id="22" name="Total" tableColumnId="22"/>
      <queryTableField id="23" name="% of Points" tableColumnId="2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0E00-00000B000000}" autoFormatId="16" applyNumberFormats="0" applyBorderFormats="0" applyFontFormats="0" applyPatternFormats="0" applyAlignmentFormats="0" applyWidthHeightFormats="0">
  <queryTableRefresh nextId="24">
    <queryTableFields count="23">
      <queryTableField id="1" name="Points" tableColumnId="24"/>
      <queryTableField id="2" name="Week 1" tableColumnId="2"/>
      <queryTableField id="3" name="Week 2" tableColumnId="3"/>
      <queryTableField id="4" name="Week 3" tableColumnId="4"/>
      <queryTableField id="5" name="Week 4" tableColumnId="5"/>
      <queryTableField id="6" name="Week 5" tableColumnId="6"/>
      <queryTableField id="7" name="Week 6" tableColumnId="7"/>
      <queryTableField id="8" name="Week 7" tableColumnId="8"/>
      <queryTableField id="9" name="Week 8" tableColumnId="9"/>
      <queryTableField id="10" name="Week 9" tableColumnId="10"/>
      <queryTableField id="11" name="Week 10" tableColumnId="11"/>
      <queryTableField id="12" name="Week 11" tableColumnId="12"/>
      <queryTableField id="13" name="Week 12" tableColumnId="13"/>
      <queryTableField id="14" name="Week 13" tableColumnId="14"/>
      <queryTableField id="15" name="Week 14" tableColumnId="15"/>
      <queryTableField id="16" name="Week 15" tableColumnId="16"/>
      <queryTableField id="17" name="Week 16" tableColumnId="17"/>
      <queryTableField id="18" name="Min" tableColumnId="18"/>
      <queryTableField id="19" name="Max" tableColumnId="19"/>
      <queryTableField id="20" name="Average" tableColumnId="20"/>
      <queryTableField id="21" name="Std Dev" tableColumnId="21"/>
      <queryTableField id="22" name="Total" tableColumnId="22"/>
      <queryTableField id="23" name="% of Points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A21E77-1897-4E22-B1ED-E8BDC457DC50}" name="Stats" displayName="Stats" ref="A1:W31" tableType="queryTable" totalsRowShown="0" dataDxfId="249">
  <autoFilter ref="A1:W31" xr:uid="{8B48A503-161B-4883-9C01-AC4EE61B8352}"/>
  <tableColumns count="23">
    <tableColumn id="24" xr3:uid="{A5A624A4-5562-4493-8087-84D59A3648C5}" uniqueName="24" name="Points" queryTableFieldId="1" dataDxfId="230"/>
    <tableColumn id="2" xr3:uid="{2D427866-FF79-44D4-A5C9-45C54E3E3CFE}" uniqueName="2" name="Week 1" queryTableFieldId="2" dataDxfId="229"/>
    <tableColumn id="3" xr3:uid="{351F5A99-5535-4475-858E-77A0CD0E938C}" uniqueName="3" name="Week 2" queryTableFieldId="3" dataDxfId="228"/>
    <tableColumn id="4" xr3:uid="{642378AE-0D7B-40F4-B374-6783279EBC1B}" uniqueName="4" name="Week 3" queryTableFieldId="4" dataDxfId="227"/>
    <tableColumn id="5" xr3:uid="{2556B406-7D79-4FB4-81C6-4A9691495B41}" uniqueName="5" name="Week 4" queryTableFieldId="5" dataDxfId="226"/>
    <tableColumn id="6" xr3:uid="{1FF9886A-16D0-4FB4-8F37-F607C45AA7EA}" uniqueName="6" name="Week 5" queryTableFieldId="6" dataDxfId="225"/>
    <tableColumn id="7" xr3:uid="{A6EAA5B0-C825-4C44-A9FA-78184F0A66EB}" uniqueName="7" name="Week 6" queryTableFieldId="7" dataDxfId="224"/>
    <tableColumn id="8" xr3:uid="{B1970E06-8E6C-408C-AA33-C969301E5882}" uniqueName="8" name="Week 7" queryTableFieldId="8" dataDxfId="223"/>
    <tableColumn id="9" xr3:uid="{442CD30D-42EA-4C24-A01B-721E8B749CC8}" uniqueName="9" name="Week 8" queryTableFieldId="9" dataDxfId="222"/>
    <tableColumn id="10" xr3:uid="{79465E22-8BB8-4941-A741-F2672346C830}" uniqueName="10" name="Week 9" queryTableFieldId="10" dataDxfId="221"/>
    <tableColumn id="11" xr3:uid="{72EA11AA-14E9-451C-9F6A-9E76345F04FD}" uniqueName="11" name="Week 10" queryTableFieldId="11" dataDxfId="220"/>
    <tableColumn id="12" xr3:uid="{B2E4B72C-9342-4518-94BC-5BE55B521DBF}" uniqueName="12" name="Week 11" queryTableFieldId="12" dataDxfId="219"/>
    <tableColumn id="13" xr3:uid="{EF5157E9-1207-4F6B-89B8-169B745D92BA}" uniqueName="13" name="Week 12" queryTableFieldId="13" dataDxfId="218"/>
    <tableColumn id="14" xr3:uid="{31284292-2019-4FA8-84A2-2323EEE34696}" uniqueName="14" name="Week 13" queryTableFieldId="14" dataDxfId="217"/>
    <tableColumn id="15" xr3:uid="{07A8BF66-7CF3-46D5-A22D-0270296676F4}" uniqueName="15" name="Week 14" queryTableFieldId="15" dataDxfId="216"/>
    <tableColumn id="16" xr3:uid="{F2EBB2EC-4FCF-4A3B-89F4-B3B83F32DF19}" uniqueName="16" name="Week 15" queryTableFieldId="16" dataDxfId="215"/>
    <tableColumn id="17" xr3:uid="{70EC2BE3-7B42-4BA9-A9FD-91B0B515D70E}" uniqueName="17" name="Week 16" queryTableFieldId="17" dataDxfId="214"/>
    <tableColumn id="18" xr3:uid="{E916F363-227B-465F-8632-AFA8A466FF73}" uniqueName="18" name="Min" queryTableFieldId="18" dataDxfId="213"/>
    <tableColumn id="19" xr3:uid="{FB1C2065-301E-4569-8C60-87C60F489936}" uniqueName="19" name="Max" queryTableFieldId="19" dataDxfId="212"/>
    <tableColumn id="20" xr3:uid="{9DFD778E-365E-4D48-8FB7-843F593B9CCE}" uniqueName="20" name="Average" queryTableFieldId="20" dataDxfId="211"/>
    <tableColumn id="21" xr3:uid="{40731B4C-7A56-493E-A373-27E437380D10}" uniqueName="21" name="Std Dev" queryTableFieldId="21" dataDxfId="210"/>
    <tableColumn id="22" xr3:uid="{B4D95CE6-57A0-4488-994E-D09DC5F3C20B}" uniqueName="22" name="Total" queryTableFieldId="22" dataDxfId="209"/>
    <tableColumn id="23" xr3:uid="{B8D7C146-CB8E-4DE3-9509-A3DA87DA98D6}" uniqueName="23" name="% of Points" queryTableFieldId="23" dataDxfId="20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81DD32-9C9D-47D9-B66A-5425F2E3210F}" name="Stats__3" displayName="Stats__3" ref="A1:W31" tableType="queryTable" totalsRowShown="0" headerRowDxfId="246" dataDxfId="245">
  <autoFilter ref="A1:W31" xr:uid="{28928E62-1C45-467F-AD52-785A3DF90E37}"/>
  <tableColumns count="23">
    <tableColumn id="24" xr3:uid="{DCD0E0CD-DEFA-452D-B11B-CE15B8BBC873}" uniqueName="24" name="Points" queryTableFieldId="1" dataDxfId="138"/>
    <tableColumn id="2" xr3:uid="{70F6C9FE-3902-4739-AE8B-478010715849}" uniqueName="2" name="Week 1" queryTableFieldId="2" dataDxfId="137"/>
    <tableColumn id="3" xr3:uid="{5D611DEF-340B-48A0-82BD-67EDF8F16716}" uniqueName="3" name="Week 2" queryTableFieldId="3" dataDxfId="136"/>
    <tableColumn id="4" xr3:uid="{27A96667-57C8-4E4A-89ED-4738D10B6765}" uniqueName="4" name="Week 3" queryTableFieldId="4" dataDxfId="135"/>
    <tableColumn id="5" xr3:uid="{BBF6DF6F-F334-45EF-A6FA-4881D271BC0C}" uniqueName="5" name="Week 4" queryTableFieldId="5" dataDxfId="134"/>
    <tableColumn id="6" xr3:uid="{B755DA18-611D-4134-B153-10CD52829C1A}" uniqueName="6" name="Week 5" queryTableFieldId="6" dataDxfId="133"/>
    <tableColumn id="7" xr3:uid="{C6CBD128-95FE-472D-BB82-BE489AD27441}" uniqueName="7" name="Week 6" queryTableFieldId="7" dataDxfId="132"/>
    <tableColumn id="8" xr3:uid="{3FF1ECC3-BC80-4A69-911B-7932145330B7}" uniqueName="8" name="Week 7" queryTableFieldId="8" dataDxfId="131"/>
    <tableColumn id="9" xr3:uid="{9EFBF178-FFC9-4D3C-9894-24F59E67A939}" uniqueName="9" name="Week 8" queryTableFieldId="9" dataDxfId="130"/>
    <tableColumn id="10" xr3:uid="{90159CE4-4076-4D78-A3C5-E60021827E53}" uniqueName="10" name="Week 9" queryTableFieldId="10" dataDxfId="129"/>
    <tableColumn id="11" xr3:uid="{E53664A7-C6B4-46A1-A17B-0B6E184A4939}" uniqueName="11" name="Week 10" queryTableFieldId="11" dataDxfId="128"/>
    <tableColumn id="12" xr3:uid="{44493802-33E3-4AB0-BF88-9B4FC08AEE7D}" uniqueName="12" name="Week 11" queryTableFieldId="12" dataDxfId="127"/>
    <tableColumn id="13" xr3:uid="{672E2D9D-2468-4180-990B-3B9225D0D065}" uniqueName="13" name="Week 12" queryTableFieldId="13" dataDxfId="126"/>
    <tableColumn id="14" xr3:uid="{9AD22C0A-B82D-4B63-867E-6194F8DFB29A}" uniqueName="14" name="Week 13" queryTableFieldId="14" dataDxfId="125"/>
    <tableColumn id="15" xr3:uid="{51BDC2DD-EB31-4FB9-B02F-0241FAE115C4}" uniqueName="15" name="Week 14" queryTableFieldId="15" dataDxfId="124"/>
    <tableColumn id="16" xr3:uid="{65F703DF-FD40-4410-B0F6-F1847DF6A1E0}" uniqueName="16" name="Week 15" queryTableFieldId="16" dataDxfId="123"/>
    <tableColumn id="17" xr3:uid="{3F127A99-64A2-4441-A66E-EEEC6E9D8B27}" uniqueName="17" name="Week 16" queryTableFieldId="17" dataDxfId="122"/>
    <tableColumn id="18" xr3:uid="{2EF95A5B-B0DB-4592-B803-96CC996F2E09}" uniqueName="18" name="Min" queryTableFieldId="18" dataDxfId="121"/>
    <tableColumn id="19" xr3:uid="{30903909-7C94-41CF-A7CF-B29691F0C9EB}" uniqueName="19" name="Max" queryTableFieldId="19" dataDxfId="120"/>
    <tableColumn id="20" xr3:uid="{2E8A7203-0CF2-43A4-BF69-6C4043C2DC53}" uniqueName="20" name="Average" queryTableFieldId="20" dataDxfId="119"/>
    <tableColumn id="21" xr3:uid="{09D7BFC7-293A-487E-B13C-E77A4FAC4C5A}" uniqueName="21" name="Std Dev" queryTableFieldId="21" dataDxfId="118"/>
    <tableColumn id="22" xr3:uid="{D46C74AD-8D47-4C6D-80E2-111EE9622C35}" uniqueName="22" name="Total" queryTableFieldId="22" dataDxfId="117"/>
    <tableColumn id="23" xr3:uid="{F0219C04-F867-4E61-A90F-F900AC12FFFB}" uniqueName="23" name="% of Points" queryTableFieldId="23" dataDxfId="1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6C775C-13A9-4AA4-8E82-D0D0ADE3D312}" name="Stats__2" displayName="Stats__2" ref="A1:W31" tableType="queryTable" totalsRowShown="0" headerRowDxfId="248" dataDxfId="247">
  <autoFilter ref="A1:W31" xr:uid="{9D4ED592-1516-4151-AADA-3A0DD2980426}"/>
  <tableColumns count="23">
    <tableColumn id="24" xr3:uid="{39042E57-ED85-4A07-860D-DD5B11A57180}" uniqueName="24" name="Points" queryTableFieldId="1" dataDxfId="115"/>
    <tableColumn id="2" xr3:uid="{41705D0F-8E29-4833-978B-6171DF1367E6}" uniqueName="2" name="Week 1" queryTableFieldId="2" dataDxfId="114"/>
    <tableColumn id="3" xr3:uid="{EE2A40C5-C76A-4690-91C5-3C6BA2B16BBC}" uniqueName="3" name="Week 2" queryTableFieldId="3" dataDxfId="113"/>
    <tableColumn id="4" xr3:uid="{7D804B8A-003C-49D9-85AB-2B8CB24B5B9A}" uniqueName="4" name="Week 3" queryTableFieldId="4" dataDxfId="112"/>
    <tableColumn id="5" xr3:uid="{5261569C-1241-42BB-9000-650D62F3724A}" uniqueName="5" name="Week 4" queryTableFieldId="5" dataDxfId="111"/>
    <tableColumn id="6" xr3:uid="{3B1EA919-932D-499E-9024-C0163D814E2C}" uniqueName="6" name="Week 5" queryTableFieldId="6" dataDxfId="110"/>
    <tableColumn id="7" xr3:uid="{45DC1676-28FF-4BA1-A45A-7386B86BB438}" uniqueName="7" name="Week 6" queryTableFieldId="7" dataDxfId="109"/>
    <tableColumn id="8" xr3:uid="{5BF1EA6E-B00C-4195-9BC5-532335145AB3}" uniqueName="8" name="Week 7" queryTableFieldId="8" dataDxfId="108"/>
    <tableColumn id="9" xr3:uid="{E3DA4B81-4B22-4EBE-BB34-5B68862F133A}" uniqueName="9" name="Week 8" queryTableFieldId="9" dataDxfId="107"/>
    <tableColumn id="10" xr3:uid="{D325BC16-C379-4A1D-AD4B-CA572AD329DC}" uniqueName="10" name="Week 9" queryTableFieldId="10" dataDxfId="106"/>
    <tableColumn id="11" xr3:uid="{204D0810-C1A1-45E7-9EBB-DA8F157F5C63}" uniqueName="11" name="Week 10" queryTableFieldId="11" dataDxfId="105"/>
    <tableColumn id="12" xr3:uid="{E18EAF61-D062-410E-B833-DEC16022EDA0}" uniqueName="12" name="Week 11" queryTableFieldId="12" dataDxfId="104"/>
    <tableColumn id="13" xr3:uid="{E88F3FA8-13CD-4D73-BA94-7D0F96780D40}" uniqueName="13" name="Week 12" queryTableFieldId="13" dataDxfId="103"/>
    <tableColumn id="14" xr3:uid="{098E6EE9-2F92-4C08-8990-162876E40E56}" uniqueName="14" name="Week 13" queryTableFieldId="14" dataDxfId="102"/>
    <tableColumn id="15" xr3:uid="{53EDDA53-6D6D-49EC-BDB0-59B3792897E9}" uniqueName="15" name="Week 14" queryTableFieldId="15" dataDxfId="101"/>
    <tableColumn id="16" xr3:uid="{4D10180C-60C1-4CF9-9261-1DF51AEC16F9}" uniqueName="16" name="Week 15" queryTableFieldId="16" dataDxfId="100"/>
    <tableColumn id="17" xr3:uid="{2628309A-FFD9-4DA3-B46E-F273681592CE}" uniqueName="17" name="Week 16" queryTableFieldId="17" dataDxfId="99"/>
    <tableColumn id="18" xr3:uid="{1A71373B-373C-45B7-8FAC-7A248859DCF6}" uniqueName="18" name="Min" queryTableFieldId="18" dataDxfId="98"/>
    <tableColumn id="19" xr3:uid="{ACEECE9B-F002-4DBA-B014-08D78D0F0C07}" uniqueName="19" name="Max" queryTableFieldId="19" dataDxfId="97"/>
    <tableColumn id="20" xr3:uid="{88FEAD81-F3AD-47DE-9DEF-FB53D066BCBC}" uniqueName="20" name="Average" queryTableFieldId="20" dataDxfId="96"/>
    <tableColumn id="21" xr3:uid="{B54AF79C-FAE1-403A-811F-A037FEABC6EA}" uniqueName="21" name="Std Dev" queryTableFieldId="21" dataDxfId="95"/>
    <tableColumn id="22" xr3:uid="{BBFD9435-FEB0-47C4-8134-DA475C4A68A9}" uniqueName="22" name="Total" queryTableFieldId="22" dataDxfId="94"/>
    <tableColumn id="23" xr3:uid="{3A672FBA-7938-4DE3-A567-6A89EDA765BF}" uniqueName="23" name="% of Points" queryTableFieldId="23" dataDxfId="9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52DE2A9-2D14-467C-8026-AB88583EE6C5}" name="Stats__4" displayName="Stats__4" ref="A1:W31" tableType="queryTable" totalsRowShown="0" headerRowDxfId="244" dataDxfId="243">
  <autoFilter ref="A1:W31" xr:uid="{CABE9BA0-357C-4C5C-9739-C3F750BAFF24}"/>
  <tableColumns count="23">
    <tableColumn id="24" xr3:uid="{F7C2CED5-2193-4420-981E-32EA072BA57C}" uniqueName="24" name="Points" queryTableFieldId="1" dataDxfId="92"/>
    <tableColumn id="2" xr3:uid="{1CF925CA-368E-4227-8B70-C73379F6F4F2}" uniqueName="2" name="Week 1" queryTableFieldId="2" dataDxfId="91"/>
    <tableColumn id="3" xr3:uid="{59561A69-DCDF-4C2D-9030-E22AB531E0B9}" uniqueName="3" name="Week 2" queryTableFieldId="3" dataDxfId="90"/>
    <tableColumn id="4" xr3:uid="{D1EA8EE2-A367-4354-AD2D-59950FEDAD81}" uniqueName="4" name="Week 3" queryTableFieldId="4" dataDxfId="89"/>
    <tableColumn id="5" xr3:uid="{FF7EFF33-F0D7-44CF-9B4A-12FF642D574A}" uniqueName="5" name="Week 4" queryTableFieldId="5" dataDxfId="88"/>
    <tableColumn id="6" xr3:uid="{812C3E50-9B8C-4250-9442-4B62B0CCAB17}" uniqueName="6" name="Week 5" queryTableFieldId="6" dataDxfId="87"/>
    <tableColumn id="7" xr3:uid="{28438260-24B6-4496-8D96-01781C1D4A6C}" uniqueName="7" name="Week 6" queryTableFieldId="7" dataDxfId="86"/>
    <tableColumn id="8" xr3:uid="{D7DFD9CB-55AB-4467-BE39-85F9C92C0FC2}" uniqueName="8" name="Week 7" queryTableFieldId="8" dataDxfId="85"/>
    <tableColumn id="9" xr3:uid="{657C3677-FDF5-4CF9-B88B-2444A1022862}" uniqueName="9" name="Week 8" queryTableFieldId="9" dataDxfId="84"/>
    <tableColumn id="10" xr3:uid="{868F7F64-A987-45BE-9816-F5928C598285}" uniqueName="10" name="Week 9" queryTableFieldId="10" dataDxfId="83"/>
    <tableColumn id="11" xr3:uid="{3625C9AD-8CE7-447E-BF66-CF333540B20F}" uniqueName="11" name="Week 10" queryTableFieldId="11" dataDxfId="82"/>
    <tableColumn id="12" xr3:uid="{40FC1166-2BA4-472B-8F9D-0A654FB19E97}" uniqueName="12" name="Week 11" queryTableFieldId="12" dataDxfId="81"/>
    <tableColumn id="13" xr3:uid="{64B741A0-21F4-44B6-A8B0-F1799E00EC1E}" uniqueName="13" name="Week 12" queryTableFieldId="13" dataDxfId="80"/>
    <tableColumn id="14" xr3:uid="{2A0D95E7-2393-48E9-B836-D1CDB5F83281}" uniqueName="14" name="Week 13" queryTableFieldId="14" dataDxfId="79"/>
    <tableColumn id="15" xr3:uid="{59FF7768-2B44-4CAA-A5E2-041A9B4C458D}" uniqueName="15" name="Week 14" queryTableFieldId="15" dataDxfId="78"/>
    <tableColumn id="16" xr3:uid="{338C13DD-05E1-4791-940A-5A1424D6A103}" uniqueName="16" name="Week 15" queryTableFieldId="16" dataDxfId="77"/>
    <tableColumn id="17" xr3:uid="{353A1A88-EA62-499A-B56C-895756A23EDB}" uniqueName="17" name="Week 16" queryTableFieldId="17" dataDxfId="76"/>
    <tableColumn id="18" xr3:uid="{A29D5528-6D1B-439C-967D-F83CD8CD3F3E}" uniqueName="18" name="Min" queryTableFieldId="18" dataDxfId="75"/>
    <tableColumn id="19" xr3:uid="{FF38EDDD-C808-458C-8A1D-4E162D58AC2D}" uniqueName="19" name="Max" queryTableFieldId="19" dataDxfId="74"/>
    <tableColumn id="20" xr3:uid="{126B8496-352C-4D8F-B17D-A52340E4350F}" uniqueName="20" name="Average" queryTableFieldId="20" dataDxfId="73"/>
    <tableColumn id="21" xr3:uid="{6EEB91A8-2565-41C1-AA73-9EF685405F68}" uniqueName="21" name="Std Dev" queryTableFieldId="21" dataDxfId="72"/>
    <tableColumn id="22" xr3:uid="{94B05BBC-86F9-4B55-9531-7BEB22AE5752}" uniqueName="22" name="Total" queryTableFieldId="22" dataDxfId="71"/>
    <tableColumn id="23" xr3:uid="{F6703F7F-E430-4F24-919E-ADC27D761EDC}" uniqueName="23" name="% of Points" queryTableFieldId="23" dataDxfId="7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81326C-055B-43C2-96D4-C1323A987D75}" name="Queen_B" displayName="Queen_B" ref="A1:W31" tableType="queryTable" totalsRowShown="0" headerRowDxfId="242" dataDxfId="241">
  <autoFilter ref="A1:W31" xr:uid="{099037F9-D213-468D-8F2E-C02044C230A7}"/>
  <tableColumns count="23">
    <tableColumn id="24" xr3:uid="{ED357AAF-057E-4FF4-ACFF-0F3BAD87AD1A}" uniqueName="24" name="Points" queryTableFieldId="1" dataDxfId="69"/>
    <tableColumn id="2" xr3:uid="{75B4F598-FF23-4EDC-91B3-1F15420425D5}" uniqueName="2" name="Week 1" queryTableFieldId="2" dataDxfId="68"/>
    <tableColumn id="3" xr3:uid="{5D5F9DEF-AB5C-4699-84B0-A7D9A70578BD}" uniqueName="3" name="Week 2" queryTableFieldId="3" dataDxfId="67"/>
    <tableColumn id="4" xr3:uid="{972A8095-DDA1-48EA-BE55-C4986D789F02}" uniqueName="4" name="Week 3" queryTableFieldId="4" dataDxfId="66"/>
    <tableColumn id="5" xr3:uid="{BA46872E-49C0-4E11-8D04-20DDD9475832}" uniqueName="5" name="Week 4" queryTableFieldId="5" dataDxfId="65"/>
    <tableColumn id="6" xr3:uid="{A50175A1-9E97-4047-897B-D65660BB4F89}" uniqueName="6" name="Week 5" queryTableFieldId="6" dataDxfId="64"/>
    <tableColumn id="7" xr3:uid="{DDB0FF99-ADAF-4156-97D0-452FC90800AD}" uniqueName="7" name="Week 6" queryTableFieldId="7" dataDxfId="63"/>
    <tableColumn id="8" xr3:uid="{1552F082-ADB0-4E7D-B6DB-1D2AC593F25F}" uniqueName="8" name="Week 7" queryTableFieldId="8" dataDxfId="62"/>
    <tableColumn id="9" xr3:uid="{8608365E-E2AE-461A-9AC9-961CDA614CFC}" uniqueName="9" name="Week 8" queryTableFieldId="9" dataDxfId="61"/>
    <tableColumn id="10" xr3:uid="{5938FA26-FF49-4E6A-A2F7-434EEB96394F}" uniqueName="10" name="Week 9" queryTableFieldId="10" dataDxfId="60"/>
    <tableColumn id="11" xr3:uid="{071BDF6E-208B-460C-9E6E-FB3B612AB73A}" uniqueName="11" name="Week 10" queryTableFieldId="11" dataDxfId="59"/>
    <tableColumn id="12" xr3:uid="{DA31E906-6685-4CF1-BDD1-ABD596819A72}" uniqueName="12" name="Week 11" queryTableFieldId="12" dataDxfId="58"/>
    <tableColumn id="13" xr3:uid="{3A06BC9C-7D82-4732-8329-FBC03A9276AB}" uniqueName="13" name="Week 12" queryTableFieldId="13" dataDxfId="57"/>
    <tableColumn id="14" xr3:uid="{47DAF2E0-7AF4-4CC5-99F0-3DADA409C5E9}" uniqueName="14" name="Week 13" queryTableFieldId="14" dataDxfId="56"/>
    <tableColumn id="15" xr3:uid="{3A1BB83B-A52B-4F2A-9ADB-210FF3DD051A}" uniqueName="15" name="Week 14" queryTableFieldId="15" dataDxfId="55"/>
    <tableColumn id="16" xr3:uid="{AFFEDB37-CB5D-4148-9857-B0D4F4C447AE}" uniqueName="16" name="Week 15" queryTableFieldId="16" dataDxfId="54"/>
    <tableColumn id="17" xr3:uid="{A2621197-F32C-44A5-8BCB-79821CE3CC2D}" uniqueName="17" name="Week 16" queryTableFieldId="17" dataDxfId="53"/>
    <tableColumn id="18" xr3:uid="{5266160F-B2A4-4122-B0E7-F6664E3E0EE3}" uniqueName="18" name="Min" queryTableFieldId="18" dataDxfId="52"/>
    <tableColumn id="19" xr3:uid="{AD61433E-57A4-4D97-9A5B-648E224A9033}" uniqueName="19" name="Max" queryTableFieldId="19" dataDxfId="51"/>
    <tableColumn id="20" xr3:uid="{ECDDE91F-093E-408F-809A-7A24006CB9E1}" uniqueName="20" name="Average" queryTableFieldId="20" dataDxfId="50"/>
    <tableColumn id="21" xr3:uid="{DE5DB93F-2DCF-47EC-A227-8DF8C1EA0FE3}" uniqueName="21" name="Std Dev" queryTableFieldId="21" dataDxfId="49"/>
    <tableColumn id="22" xr3:uid="{39172A37-7D73-424B-9A20-9D2F8D2690A6}" uniqueName="22" name="Total" queryTableFieldId="22" dataDxfId="48"/>
    <tableColumn id="23" xr3:uid="{54190D75-B5B2-4F0C-B39F-011A7137A14B}" uniqueName="23" name="% of Points" queryTableFieldId="23" dataDxfId="4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FE917F-3CBC-415F-AE6D-DB417BE81335}" name="Stats__5" displayName="Stats__5" ref="A1:W31" tableType="queryTable" totalsRowShown="0" headerRowDxfId="240" dataDxfId="239">
  <autoFilter ref="A1:W31" xr:uid="{04A99D38-55B8-4EF2-9C95-08166375B223}"/>
  <tableColumns count="23">
    <tableColumn id="24" xr3:uid="{9C304DAC-6247-4614-9AD4-84488A9C458D}" uniqueName="24" name="Points" queryTableFieldId="1" dataDxfId="46"/>
    <tableColumn id="2" xr3:uid="{929E4BD3-06D8-4754-9026-9F8DDF57EA3A}" uniqueName="2" name="Week 1" queryTableFieldId="2" dataDxfId="45"/>
    <tableColumn id="3" xr3:uid="{D783736E-A8E8-458C-A3C8-F075BF91004E}" uniqueName="3" name="Week 2" queryTableFieldId="3" dataDxfId="44"/>
    <tableColumn id="4" xr3:uid="{6985E950-1024-414D-846B-2B5F82467276}" uniqueName="4" name="Week 3" queryTableFieldId="4" dataDxfId="43"/>
    <tableColumn id="5" xr3:uid="{54D02785-5D44-4E43-8398-63092B4200AD}" uniqueName="5" name="Week 4" queryTableFieldId="5" dataDxfId="42"/>
    <tableColumn id="6" xr3:uid="{273FB1A2-F3F0-4DB7-9847-92E23D979015}" uniqueName="6" name="Week 5" queryTableFieldId="6" dataDxfId="41"/>
    <tableColumn id="7" xr3:uid="{435C3E1C-EDFA-439C-A624-58ED5D132330}" uniqueName="7" name="Week 6" queryTableFieldId="7" dataDxfId="40"/>
    <tableColumn id="8" xr3:uid="{7276D1A7-FB69-4642-846D-751A0CC715CC}" uniqueName="8" name="Week 7" queryTableFieldId="8" dataDxfId="39"/>
    <tableColumn id="9" xr3:uid="{F446ACDD-DDB6-4306-A11A-74292061E50E}" uniqueName="9" name="Week 8" queryTableFieldId="9" dataDxfId="38"/>
    <tableColumn id="10" xr3:uid="{FDB9D80E-4E6C-4B2C-AF86-3B904A53785C}" uniqueName="10" name="Week 9" queryTableFieldId="10" dataDxfId="37"/>
    <tableColumn id="11" xr3:uid="{E9913AE8-9958-4D7B-9258-D13D29FF09C8}" uniqueName="11" name="Week 10" queryTableFieldId="11" dataDxfId="36"/>
    <tableColumn id="12" xr3:uid="{D5C3B970-6E7A-49EA-BBC7-4ED7E68BDE11}" uniqueName="12" name="Week 11" queryTableFieldId="12" dataDxfId="35"/>
    <tableColumn id="13" xr3:uid="{9A515A6C-4C67-435E-88A5-C5C6C66BD33A}" uniqueName="13" name="Week 12" queryTableFieldId="13" dataDxfId="34"/>
    <tableColumn id="14" xr3:uid="{A3DA29BF-65B1-4501-A0A8-78A8923A9828}" uniqueName="14" name="Week 13" queryTableFieldId="14" dataDxfId="33"/>
    <tableColumn id="15" xr3:uid="{D4FB3D9E-60F0-40C0-9CCD-C5EC8BE76A56}" uniqueName="15" name="Week 14" queryTableFieldId="15" dataDxfId="32"/>
    <tableColumn id="16" xr3:uid="{747BCC8C-4FD1-44A6-BB60-20A1202AE144}" uniqueName="16" name="Week 15" queryTableFieldId="16" dataDxfId="31"/>
    <tableColumn id="17" xr3:uid="{D6BAC6CA-7234-4733-BBCC-0F0F515A249C}" uniqueName="17" name="Week 16" queryTableFieldId="17" dataDxfId="30"/>
    <tableColumn id="18" xr3:uid="{3C010D68-CD42-49FC-81DB-4C08CA999158}" uniqueName="18" name="Min" queryTableFieldId="18" dataDxfId="29"/>
    <tableColumn id="19" xr3:uid="{DBA747E8-48AF-44DE-B264-DA4640C46E3F}" uniqueName="19" name="Max" queryTableFieldId="19" dataDxfId="28"/>
    <tableColumn id="20" xr3:uid="{6D3E22E8-03AD-4DE9-8C77-DC2B7F37EAB1}" uniqueName="20" name="Average" queryTableFieldId="20" dataDxfId="27"/>
    <tableColumn id="21" xr3:uid="{71F3626B-BCFB-4054-80C0-5A71AFF2D2E5}" uniqueName="21" name="Std Dev" queryTableFieldId="21" dataDxfId="26"/>
    <tableColumn id="22" xr3:uid="{2EA2CAF2-0926-4F33-908B-37BE74039048}" uniqueName="22" name="Total" queryTableFieldId="22" dataDxfId="25"/>
    <tableColumn id="23" xr3:uid="{1618EAE6-772A-4CAD-82A8-004EF14CC691}" uniqueName="23" name="% of Points" queryTableFieldId="23" dataDxfId="2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3AA3A49-F929-47D3-9943-56B04B9400D4}" name="Stats__6" displayName="Stats__6" ref="A1:W31" tableType="queryTable" totalsRowShown="0">
  <autoFilter ref="A1:W31" xr:uid="{94003B35-D13F-4363-AE66-0AEA861CCB98}"/>
  <tableColumns count="23">
    <tableColumn id="24" xr3:uid="{495EFD83-DE36-4CB3-9060-345918F1BB9C}" uniqueName="24" name="Points" queryTableFieldId="1"/>
    <tableColumn id="2" xr3:uid="{438D46FC-9ABD-4E57-8535-FD06F709283E}" uniqueName="2" name="Week 1" queryTableFieldId="2"/>
    <tableColumn id="3" xr3:uid="{AACF6B8C-2E52-4F9F-A818-3999BC3FD690}" uniqueName="3" name="Week 2" queryTableFieldId="3"/>
    <tableColumn id="4" xr3:uid="{CB4907B6-FA9F-4D3F-B0A7-1D535EE30486}" uniqueName="4" name="Week 3" queryTableFieldId="4"/>
    <tableColumn id="5" xr3:uid="{16642821-56A3-439D-A600-EB77457875F8}" uniqueName="5" name="Week 4" queryTableFieldId="5"/>
    <tableColumn id="6" xr3:uid="{7A01CA98-D51E-4311-8D41-D7854D256454}" uniqueName="6" name="Week 5" queryTableFieldId="6"/>
    <tableColumn id="7" xr3:uid="{07F6B0A9-F134-402E-88CB-3B4FCB124899}" uniqueName="7" name="Week 6" queryTableFieldId="7"/>
    <tableColumn id="8" xr3:uid="{929F0536-0686-47A3-A4D8-F94FA82CC2CF}" uniqueName="8" name="Week 7" queryTableFieldId="8"/>
    <tableColumn id="9" xr3:uid="{0526BEE6-F117-451E-9D46-F1C7EF858160}" uniqueName="9" name="Week 8" queryTableFieldId="9"/>
    <tableColumn id="10" xr3:uid="{24E8F35D-8CA3-4B87-97B5-4210BC71B1AF}" uniqueName="10" name="Week 9" queryTableFieldId="10"/>
    <tableColumn id="11" xr3:uid="{6F932922-B350-4F39-937C-D69C84B3BF48}" uniqueName="11" name="Week 10" queryTableFieldId="11"/>
    <tableColumn id="12" xr3:uid="{8F033E15-1060-4F8D-B2E1-287A5134150C}" uniqueName="12" name="Week 11" queryTableFieldId="12"/>
    <tableColumn id="13" xr3:uid="{37F5E375-E089-40F3-A41F-9CF62B894F78}" uniqueName="13" name="Week 12" queryTableFieldId="13"/>
    <tableColumn id="14" xr3:uid="{A032DAF3-FFA3-4DEA-8359-CA5D226383C0}" uniqueName="14" name="Week 13" queryTableFieldId="14"/>
    <tableColumn id="15" xr3:uid="{DEECDAA7-D0C4-4CEB-9D3E-85EAC02A2903}" uniqueName="15" name="Week 14" queryTableFieldId="15"/>
    <tableColumn id="16" xr3:uid="{AEA7BB3C-23F9-45D3-9B5B-183B0CF1EDC8}" uniqueName="16" name="Week 15" queryTableFieldId="16"/>
    <tableColumn id="17" xr3:uid="{9CCEF116-CD3D-43EC-B978-A012655595BB}" uniqueName="17" name="Week 16" queryTableFieldId="17"/>
    <tableColumn id="18" xr3:uid="{FAE3187E-1AD8-480B-B5C1-6E63866EC379}" uniqueName="18" name="Min" queryTableFieldId="18"/>
    <tableColumn id="19" xr3:uid="{8135BECD-CA2C-4CD7-AF43-42D4A39346E5}" uniqueName="19" name="Max" queryTableFieldId="19"/>
    <tableColumn id="20" xr3:uid="{E61F2CD0-A7A4-4CAE-8C41-84B96BE566B1}" uniqueName="20" name="Average" queryTableFieldId="20"/>
    <tableColumn id="21" xr3:uid="{70AEF8A7-840E-4958-8DD7-C8E5A97968AD}" uniqueName="21" name="Std Dev" queryTableFieldId="21"/>
    <tableColumn id="22" xr3:uid="{0917E41B-1F0B-4319-8673-5D8F369F338C}" uniqueName="22" name="Total" queryTableFieldId="22"/>
    <tableColumn id="23" xr3:uid="{57951C09-DE60-4218-B46D-03667F664713}" uniqueName="23" name="% of Points" queryTableFieldId="2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DEA33DA-04B4-4272-893D-D3C4B1F9B18F}" name="Stats__7" displayName="Stats__7" ref="A1:W31" tableType="queryTable" totalsRowShown="0" headerRowDxfId="238" dataDxfId="237">
  <autoFilter ref="A1:W31" xr:uid="{EB445F00-6386-4A6B-B4CD-A26E58350D1D}"/>
  <tableColumns count="23">
    <tableColumn id="24" xr3:uid="{2DD8A3B7-682D-44DB-AEEF-23E20C375523}" uniqueName="24" name="Points" queryTableFieldId="1" dataDxfId="207"/>
    <tableColumn id="2" xr3:uid="{AE28F4EA-A094-448C-94FE-A026C5DFECE7}" uniqueName="2" name="Week 1" queryTableFieldId="2" dataDxfId="206"/>
    <tableColumn id="3" xr3:uid="{F79CDB36-EBBE-4B9C-AFB3-931F280C01CC}" uniqueName="3" name="Week 2" queryTableFieldId="3" dataDxfId="205"/>
    <tableColumn id="4" xr3:uid="{5A9BE80E-3ACD-45B5-94B1-D59B237C5D2B}" uniqueName="4" name="Week 3" queryTableFieldId="4" dataDxfId="204"/>
    <tableColumn id="5" xr3:uid="{F9933D7C-59FD-497E-B8EA-89C9EC628659}" uniqueName="5" name="Week 4" queryTableFieldId="5" dataDxfId="203"/>
    <tableColumn id="6" xr3:uid="{CFE8F80F-A485-4C74-A94E-1E30309CD08F}" uniqueName="6" name="Week 5" queryTableFieldId="6" dataDxfId="202"/>
    <tableColumn id="7" xr3:uid="{32516713-3563-4821-B153-6D1672A97F31}" uniqueName="7" name="Week 6" queryTableFieldId="7" dataDxfId="201"/>
    <tableColumn id="8" xr3:uid="{04493F29-CD69-4348-8A1B-A538A180D68E}" uniqueName="8" name="Week 7" queryTableFieldId="8" dataDxfId="200"/>
    <tableColumn id="9" xr3:uid="{765992A1-8470-47DD-A14B-B32EE611B256}" uniqueName="9" name="Week 8" queryTableFieldId="9" dataDxfId="199"/>
    <tableColumn id="10" xr3:uid="{F2B1910F-B805-4D42-9CA9-002D3B3CF651}" uniqueName="10" name="Week 9" queryTableFieldId="10" dataDxfId="198"/>
    <tableColumn id="11" xr3:uid="{6DD66381-2A9F-409A-A735-8497D92D1D9E}" uniqueName="11" name="Week 10" queryTableFieldId="11" dataDxfId="197"/>
    <tableColumn id="12" xr3:uid="{CB683F79-1D39-4AB8-98B8-24DB3C364635}" uniqueName="12" name="Week 11" queryTableFieldId="12" dataDxfId="196"/>
    <tableColumn id="13" xr3:uid="{C8FD2DF6-767A-44A4-AAE4-7EDAFBBAA7D4}" uniqueName="13" name="Week 12" queryTableFieldId="13" dataDxfId="195"/>
    <tableColumn id="14" xr3:uid="{0E320495-7C39-4C3C-9028-87E93ED91F9F}" uniqueName="14" name="Week 13" queryTableFieldId="14" dataDxfId="194"/>
    <tableColumn id="15" xr3:uid="{1AEE7737-23E8-47E4-84FE-DFEDF2C2BAF2}" uniqueName="15" name="Week 14" queryTableFieldId="15" dataDxfId="193"/>
    <tableColumn id="16" xr3:uid="{4EE4CDF1-8B6A-4952-91B1-42A2FF865B2A}" uniqueName="16" name="Week 15" queryTableFieldId="16" dataDxfId="192"/>
    <tableColumn id="17" xr3:uid="{CC952470-51D3-455C-9A55-D2D9DEB7D7FA}" uniqueName="17" name="Week 16" queryTableFieldId="17" dataDxfId="191"/>
    <tableColumn id="18" xr3:uid="{84838BFA-8635-4540-B596-0F0E001D00CA}" uniqueName="18" name="Min" queryTableFieldId="18" dataDxfId="190"/>
    <tableColumn id="19" xr3:uid="{0B6EF8F7-ECDC-4CF7-A538-E55380E75417}" uniqueName="19" name="Max" queryTableFieldId="19" dataDxfId="189"/>
    <tableColumn id="20" xr3:uid="{C4DA6511-B246-449C-AA4A-F1DDE7720EF8}" uniqueName="20" name="Average" queryTableFieldId="20" dataDxfId="188"/>
    <tableColumn id="21" xr3:uid="{A52CADCF-9BB6-4DA8-9B7F-7D2A8B1F7411}" uniqueName="21" name="Std Dev" queryTableFieldId="21" dataDxfId="187"/>
    <tableColumn id="22" xr3:uid="{131BBD7C-CAC3-49ED-BCFA-2B0759A05B2E}" uniqueName="22" name="Total" queryTableFieldId="22" dataDxfId="186"/>
    <tableColumn id="23" xr3:uid="{C88BD4C9-0FAD-4F1D-BEFC-34744BAF850A}" uniqueName="23" name="% of Points" queryTableFieldId="23" dataDxfId="18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CD5A40-61DF-4025-AA80-6C358B70A34B}" name="Stats__8" displayName="Stats__8" ref="A1:W31" tableType="queryTable" totalsRowShown="0" headerRowDxfId="236" dataDxfId="235">
  <autoFilter ref="A1:W31" xr:uid="{E03C052C-59FE-4218-8D01-7374F3429E25}"/>
  <tableColumns count="23">
    <tableColumn id="24" xr3:uid="{0ADA95DC-B61A-472C-9CC6-172ECDCE9AB2}" uniqueName="24" name="Points" queryTableFieldId="1" dataDxfId="184"/>
    <tableColumn id="2" xr3:uid="{203D2529-9BD4-4518-92AD-BC13D43EA45C}" uniqueName="2" name="Week 1" queryTableFieldId="2" dataDxfId="183"/>
    <tableColumn id="3" xr3:uid="{968142E6-FA70-44E0-A423-65DAB0DA5510}" uniqueName="3" name="Week 2" queryTableFieldId="3" dataDxfId="182"/>
    <tableColumn id="4" xr3:uid="{F881B8BC-3E23-4FCA-AEBF-FB79D50DD628}" uniqueName="4" name="Week 3" queryTableFieldId="4" dataDxfId="181"/>
    <tableColumn id="5" xr3:uid="{D9B0F44B-6443-4F64-A977-D84552FECEA3}" uniqueName="5" name="Week 4" queryTableFieldId="5" dataDxfId="180"/>
    <tableColumn id="6" xr3:uid="{144ABCB2-6BBC-4099-9436-B6CAEA5EC79D}" uniqueName="6" name="Week 5" queryTableFieldId="6" dataDxfId="179"/>
    <tableColumn id="7" xr3:uid="{AA7C9754-3089-43ED-851B-7BF35A4932C0}" uniqueName="7" name="Week 6" queryTableFieldId="7" dataDxfId="178"/>
    <tableColumn id="8" xr3:uid="{65DB5300-0E10-4EA7-8179-857FCE6E086C}" uniqueName="8" name="Week 7" queryTableFieldId="8" dataDxfId="177"/>
    <tableColumn id="9" xr3:uid="{ACBA303B-2AA1-42E6-B02A-D74B28CB80ED}" uniqueName="9" name="Week 8" queryTableFieldId="9" dataDxfId="176"/>
    <tableColumn id="10" xr3:uid="{7FEEB01E-4EC8-40B2-ABEC-A6A408ABCAD9}" uniqueName="10" name="Week 9" queryTableFieldId="10" dataDxfId="175"/>
    <tableColumn id="11" xr3:uid="{D50A9E35-F8B5-4F22-B976-945F64E76C4A}" uniqueName="11" name="Week 10" queryTableFieldId="11" dataDxfId="174"/>
    <tableColumn id="12" xr3:uid="{0B54B98C-1441-496B-8560-0F9E96EE1CF3}" uniqueName="12" name="Week 11" queryTableFieldId="12" dataDxfId="173"/>
    <tableColumn id="13" xr3:uid="{7BAF0BDE-FE0E-4D16-971A-81667D66DF73}" uniqueName="13" name="Week 12" queryTableFieldId="13" dataDxfId="172"/>
    <tableColumn id="14" xr3:uid="{49917DEC-1D2A-43A4-A975-CA0C2AD969E5}" uniqueName="14" name="Week 13" queryTableFieldId="14" dataDxfId="171"/>
    <tableColumn id="15" xr3:uid="{E0700263-5A15-496C-8055-1C6E1211B79B}" uniqueName="15" name="Week 14" queryTableFieldId="15" dataDxfId="170"/>
    <tableColumn id="16" xr3:uid="{10F96AE2-F631-4B84-9172-0A2E8CF1AB16}" uniqueName="16" name="Week 15" queryTableFieldId="16" dataDxfId="169"/>
    <tableColumn id="17" xr3:uid="{F2C349B2-5D81-4879-ADD0-55F11B691BC1}" uniqueName="17" name="Week 16" queryTableFieldId="17" dataDxfId="168"/>
    <tableColumn id="18" xr3:uid="{3AFEB7B7-B58D-4CE0-A916-015AA05D52BF}" uniqueName="18" name="Min" queryTableFieldId="18" dataDxfId="167"/>
    <tableColumn id="19" xr3:uid="{C8105D62-E6C7-4E59-A953-043277CABD8E}" uniqueName="19" name="Max" queryTableFieldId="19" dataDxfId="166"/>
    <tableColumn id="20" xr3:uid="{CF2819A0-2488-45DA-B983-0202A7BF52CE}" uniqueName="20" name="Average" queryTableFieldId="20" dataDxfId="165"/>
    <tableColumn id="21" xr3:uid="{07AE8416-7FBC-4DFB-A28A-14AEA0E10AE5}" uniqueName="21" name="Std Dev" queryTableFieldId="21" dataDxfId="164"/>
    <tableColumn id="22" xr3:uid="{A4C48B3C-4007-4402-86FB-1DAE7469E807}" uniqueName="22" name="Total" queryTableFieldId="22" dataDxfId="163"/>
    <tableColumn id="23" xr3:uid="{BCC5132E-057B-4ABE-9E95-C21158270248}" uniqueName="23" name="% of Points" queryTableFieldId="23" dataDxfId="16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5ABBC7F-F2D0-4349-935C-842E5AF95F3E}" name="Stats__9" displayName="Stats__9" ref="A1:W31" tableType="queryTable" totalsRowShown="0" headerRowDxfId="234" dataDxfId="233">
  <autoFilter ref="A1:W31" xr:uid="{58EBA6E8-1832-42E6-9C16-78D411EB1B55}"/>
  <tableColumns count="23">
    <tableColumn id="24" xr3:uid="{01A24E13-47A5-4EB7-9BDC-7D27C12D1559}" uniqueName="24" name="Points" queryTableFieldId="1" dataDxfId="161"/>
    <tableColumn id="2" xr3:uid="{FA2CF99C-478D-432E-AB08-6919B528186E}" uniqueName="2" name="Week 1" queryTableFieldId="2" dataDxfId="160"/>
    <tableColumn id="3" xr3:uid="{8AD80247-D68F-4F94-A5C2-AA4E0B52A097}" uniqueName="3" name="Week 2" queryTableFieldId="3" dataDxfId="159"/>
    <tableColumn id="4" xr3:uid="{C043A4F7-BAF8-4C28-9138-93A7C847977E}" uniqueName="4" name="Week 3" queryTableFieldId="4" dataDxfId="158"/>
    <tableColumn id="5" xr3:uid="{0048B244-1D4F-40E3-8BFE-29143BADCCE5}" uniqueName="5" name="Week 4" queryTableFieldId="5" dataDxfId="157"/>
    <tableColumn id="6" xr3:uid="{E0B0013C-5D2B-4BA8-B94C-A7E29F0B014C}" uniqueName="6" name="Week 5" queryTableFieldId="6" dataDxfId="156"/>
    <tableColumn id="7" xr3:uid="{4A8637BA-35AF-44C1-9602-44CDF9156878}" uniqueName="7" name="Week 6" queryTableFieldId="7" dataDxfId="155"/>
    <tableColumn id="8" xr3:uid="{DFDC7B3C-7440-4C98-991C-B4EAAC0535A3}" uniqueName="8" name="Week 7" queryTableFieldId="8" dataDxfId="154"/>
    <tableColumn id="9" xr3:uid="{4BA07A89-D8D9-4EAD-AAE7-C2EE7A57E3A5}" uniqueName="9" name="Week 8" queryTableFieldId="9" dataDxfId="153"/>
    <tableColumn id="10" xr3:uid="{B18462D3-11AB-4196-ABDA-8E2882982458}" uniqueName="10" name="Week 9" queryTableFieldId="10" dataDxfId="152"/>
    <tableColumn id="11" xr3:uid="{6BD34D0F-FA51-4AA8-AC76-A9E495BE8011}" uniqueName="11" name="Week 10" queryTableFieldId="11" dataDxfId="151"/>
    <tableColumn id="12" xr3:uid="{3A3F95A6-A48D-458B-BCF4-D4E168BC6B0A}" uniqueName="12" name="Week 11" queryTableFieldId="12" dataDxfId="150"/>
    <tableColumn id="13" xr3:uid="{59038CC5-2EF6-497D-89D0-1504878F3B9F}" uniqueName="13" name="Week 12" queryTableFieldId="13" dataDxfId="149"/>
    <tableColumn id="14" xr3:uid="{854AF0B9-1332-4535-816C-D073D802D6FC}" uniqueName="14" name="Week 13" queryTableFieldId="14" dataDxfId="148"/>
    <tableColumn id="15" xr3:uid="{ED128428-A661-4944-8AD7-B47B8C26E9B0}" uniqueName="15" name="Week 14" queryTableFieldId="15" dataDxfId="147"/>
    <tableColumn id="16" xr3:uid="{BB306F7D-A23C-48B1-81BB-B65E79E9543B}" uniqueName="16" name="Week 15" queryTableFieldId="16" dataDxfId="146"/>
    <tableColumn id="17" xr3:uid="{C169926D-762D-47A7-813B-FDAD1B04F306}" uniqueName="17" name="Week 16" queryTableFieldId="17" dataDxfId="145"/>
    <tableColumn id="18" xr3:uid="{6D04DE40-4827-4C77-9433-DD4F3BDC1A09}" uniqueName="18" name="Min" queryTableFieldId="18" dataDxfId="144"/>
    <tableColumn id="19" xr3:uid="{8A3773C4-BDF5-43D9-8EAA-0F94FFBCFA88}" uniqueName="19" name="Max" queryTableFieldId="19" dataDxfId="143"/>
    <tableColumn id="20" xr3:uid="{0429A61E-F7B9-478E-AB22-179D650CFACE}" uniqueName="20" name="Average" queryTableFieldId="20" dataDxfId="142"/>
    <tableColumn id="21" xr3:uid="{065D0217-C96A-4415-B019-4F4588323525}" uniqueName="21" name="Std Dev" queryTableFieldId="21" dataDxfId="141"/>
    <tableColumn id="22" xr3:uid="{A2369FC1-19D5-4AA3-97E5-E96405E5DF17}" uniqueName="22" name="Total" queryTableFieldId="22" dataDxfId="140"/>
    <tableColumn id="23" xr3:uid="{DB739433-DB74-4544-86D9-351A860B5E65}" uniqueName="23" name="% of Points" queryTableFieldId="23" dataDxfId="139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0D3994-7C9B-4CCD-AB07-1063B265E691}" name="Stats__10" displayName="Stats__10" ref="A1:W31" tableType="queryTable" totalsRowShown="0" headerRowDxfId="232" dataDxfId="231">
  <autoFilter ref="A1:W31" xr:uid="{3A479505-3583-4E43-999C-BFDC37CF0BC5}"/>
  <tableColumns count="23">
    <tableColumn id="24" xr3:uid="{EC022C5E-C5F4-4F89-B550-DE8CDA09690C}" uniqueName="24" name="Points" queryTableFieldId="1" dataDxfId="23"/>
    <tableColumn id="2" xr3:uid="{CAEDEC49-6CEF-429A-ADC2-26F552826222}" uniqueName="2" name="Week 1" queryTableFieldId="2" dataDxfId="22"/>
    <tableColumn id="3" xr3:uid="{5D712BBC-23D5-4B9D-82FB-6E2C0400F214}" uniqueName="3" name="Week 2" queryTableFieldId="3" dataDxfId="21"/>
    <tableColumn id="4" xr3:uid="{2EA26304-F882-4B40-9DF6-074B479BA0A0}" uniqueName="4" name="Week 3" queryTableFieldId="4" dataDxfId="20"/>
    <tableColumn id="5" xr3:uid="{7967BDE3-4D10-43F9-8DC2-7821A9F573F7}" uniqueName="5" name="Week 4" queryTableFieldId="5" dataDxfId="19"/>
    <tableColumn id="6" xr3:uid="{E21457F8-1766-4F99-AB43-6219183D452A}" uniqueName="6" name="Week 5" queryTableFieldId="6" dataDxfId="18"/>
    <tableColumn id="7" xr3:uid="{A2AAA291-3CCD-45FE-8F9C-771ADCD688D3}" uniqueName="7" name="Week 6" queryTableFieldId="7" dataDxfId="17"/>
    <tableColumn id="8" xr3:uid="{EDB5F73B-46E6-4215-92E9-3CDB017E64C0}" uniqueName="8" name="Week 7" queryTableFieldId="8" dataDxfId="16"/>
    <tableColumn id="9" xr3:uid="{AD4E8C0A-2A25-460B-AD1B-056CD2019E16}" uniqueName="9" name="Week 8" queryTableFieldId="9" dataDxfId="15"/>
    <tableColumn id="10" xr3:uid="{5EDB34CC-BF17-40A4-BE01-F99CADC58F62}" uniqueName="10" name="Week 9" queryTableFieldId="10" dataDxfId="14"/>
    <tableColumn id="11" xr3:uid="{34ED125F-35FA-4B57-BD5C-80AAE5A30726}" uniqueName="11" name="Week 10" queryTableFieldId="11" dataDxfId="13"/>
    <tableColumn id="12" xr3:uid="{DDA936AE-781B-48B6-8BDD-8BAEABFDE95C}" uniqueName="12" name="Week 11" queryTableFieldId="12" dataDxfId="12"/>
    <tableColumn id="13" xr3:uid="{A9D93F5F-47AA-443A-9617-6F566F44E7E6}" uniqueName="13" name="Week 12" queryTableFieldId="13" dataDxfId="11"/>
    <tableColumn id="14" xr3:uid="{8CAFE010-177E-445C-856A-B46CC3BEB9F8}" uniqueName="14" name="Week 13" queryTableFieldId="14" dataDxfId="10"/>
    <tableColumn id="15" xr3:uid="{EA53C66C-0152-4915-9850-EE137026C3A1}" uniqueName="15" name="Week 14" queryTableFieldId="15" dataDxfId="9"/>
    <tableColumn id="16" xr3:uid="{AE010D0C-A469-4AF4-87C3-EBD254AC23F5}" uniqueName="16" name="Week 15" queryTableFieldId="16" dataDxfId="8"/>
    <tableColumn id="17" xr3:uid="{E89891F0-2CCD-4E3A-A4D6-AF1EDCF30651}" uniqueName="17" name="Week 16" queryTableFieldId="17" dataDxfId="7"/>
    <tableColumn id="18" xr3:uid="{768FB28F-594C-42F2-8B12-416BE97E508E}" uniqueName="18" name="Min" queryTableFieldId="18" dataDxfId="6"/>
    <tableColumn id="19" xr3:uid="{FCE6B684-1F3B-413C-B774-F23B294120F2}" uniqueName="19" name="Max" queryTableFieldId="19" dataDxfId="5"/>
    <tableColumn id="20" xr3:uid="{EBA53F3C-9004-4BAB-A8AF-EA450FF72D03}" uniqueName="20" name="Average" queryTableFieldId="20" dataDxfId="4"/>
    <tableColumn id="21" xr3:uid="{F96B8A63-8CC4-4853-9878-FBE995A1B697}" uniqueName="21" name="Std Dev" queryTableFieldId="21" dataDxfId="3"/>
    <tableColumn id="22" xr3:uid="{C0329CAB-6AA9-4AA9-800E-B5EB3A45DC07}" uniqueName="22" name="Total" queryTableFieldId="22" dataDxfId="2"/>
    <tableColumn id="23" xr3:uid="{D9C18B63-AD8E-43D3-AAA9-901061678AFD}" uniqueName="23" name="% of Points" queryTableFieldId="23" dataDxf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D543CA8-9B55-42B5-BC39-774DF83B5AA7}" name="Stats__11" displayName="Stats__11" ref="A1:W31" tableType="queryTable" totalsRowShown="0">
  <autoFilter ref="A1:W31" xr:uid="{F7BDC8C8-730B-4642-BAEC-6948791DA332}"/>
  <tableColumns count="23">
    <tableColumn id="24" xr3:uid="{FB5EBB36-70A3-429B-BB9C-965B5E1527C0}" uniqueName="24" name="Points" queryTableFieldId="1" dataDxfId="0"/>
    <tableColumn id="2" xr3:uid="{9D4ECC16-B04F-469C-ADBB-F4D037495320}" uniqueName="2" name="Week 1" queryTableFieldId="2"/>
    <tableColumn id="3" xr3:uid="{38FB606B-8165-4AFA-AA5F-4B90C1781F28}" uniqueName="3" name="Week 2" queryTableFieldId="3"/>
    <tableColumn id="4" xr3:uid="{9DE7D866-7D98-47EE-9040-EEC4EDBD3D8C}" uniqueName="4" name="Week 3" queryTableFieldId="4"/>
    <tableColumn id="5" xr3:uid="{12569F1B-504E-413E-A83A-CC8D41420606}" uniqueName="5" name="Week 4" queryTableFieldId="5"/>
    <tableColumn id="6" xr3:uid="{56367019-BB2C-47DD-A60A-D31C98F6404B}" uniqueName="6" name="Week 5" queryTableFieldId="6"/>
    <tableColumn id="7" xr3:uid="{E1F93AE4-CD96-45CB-A338-AA5BF7509F79}" uniqueName="7" name="Week 6" queryTableFieldId="7"/>
    <tableColumn id="8" xr3:uid="{04039FBF-5285-4E9F-8E12-2814EB29AFE9}" uniqueName="8" name="Week 7" queryTableFieldId="8"/>
    <tableColumn id="9" xr3:uid="{14367ED1-BC47-467C-8A4A-930E049C96DC}" uniqueName="9" name="Week 8" queryTableFieldId="9"/>
    <tableColumn id="10" xr3:uid="{F4C09722-11FF-4402-B7AF-5F23C8EF7503}" uniqueName="10" name="Week 9" queryTableFieldId="10"/>
    <tableColumn id="11" xr3:uid="{AD7131F5-BA5F-4265-8F59-2FC45CEF20AA}" uniqueName="11" name="Week 10" queryTableFieldId="11"/>
    <tableColumn id="12" xr3:uid="{2EF918CE-B3C8-4B62-93B3-2518B371DA6A}" uniqueName="12" name="Week 11" queryTableFieldId="12"/>
    <tableColumn id="13" xr3:uid="{9D9A2BB4-C170-441B-B877-D9B467C80D70}" uniqueName="13" name="Week 12" queryTableFieldId="13"/>
    <tableColumn id="14" xr3:uid="{2E910246-6B20-479D-BEE4-55CA64FFE58E}" uniqueName="14" name="Week 13" queryTableFieldId="14"/>
    <tableColumn id="15" xr3:uid="{A314E0B8-5802-45DA-8652-A45D8A46F5F0}" uniqueName="15" name="Week 14" queryTableFieldId="15"/>
    <tableColumn id="16" xr3:uid="{CE46A727-FAE7-4403-B2F9-E7688AF2B834}" uniqueName="16" name="Week 15" queryTableFieldId="16"/>
    <tableColumn id="17" xr3:uid="{396A039A-0347-468D-8A77-B94751962F12}" uniqueName="17" name="Week 16" queryTableFieldId="17"/>
    <tableColumn id="18" xr3:uid="{111A5CB3-5B05-4817-B4CE-B8E49C11A4B8}" uniqueName="18" name="Min" queryTableFieldId="18"/>
    <tableColumn id="19" xr3:uid="{42EFB6E2-A05C-47E3-B64C-C072666BE9A6}" uniqueName="19" name="Max" queryTableFieldId="19"/>
    <tableColumn id="20" xr3:uid="{4EC21FD1-A9A7-4368-8167-CDA2279CC7E8}" uniqueName="20" name="Average" queryTableFieldId="20"/>
    <tableColumn id="21" xr3:uid="{5C7E3DA0-CD03-4668-B4A4-452787B4D324}" uniqueName="21" name="Std Dev" queryTableFieldId="21"/>
    <tableColumn id="22" xr3:uid="{ED85AF5B-CF59-4EF3-A78A-FE03A104B3DC}" uniqueName="22" name="Total" queryTableFieldId="22"/>
    <tableColumn id="23" xr3:uid="{7BF4AE20-FE86-4867-BE22-75D409622462}" uniqueName="23" name="% of Points" queryTableFieldId="2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65424-8073-4B42-8EBE-6F1AAC31D352}">
  <dimension ref="A1:M21"/>
  <sheetViews>
    <sheetView tabSelected="1" zoomScale="54" workbookViewId="0">
      <selection activeCell="C10" sqref="C10"/>
    </sheetView>
  </sheetViews>
  <sheetFormatPr defaultRowHeight="14.75" x14ac:dyDescent="0.75"/>
  <cols>
    <col min="1" max="1" width="27.90625" bestFit="1" customWidth="1"/>
    <col min="2" max="13" width="17.90625" customWidth="1"/>
    <col min="14" max="14" width="24.2265625" bestFit="1" customWidth="1"/>
    <col min="15" max="15" width="20.31640625" bestFit="1" customWidth="1"/>
    <col min="16" max="16" width="22.90625" bestFit="1" customWidth="1"/>
    <col min="17" max="17" width="19.76953125" bestFit="1" customWidth="1"/>
    <col min="18" max="18" width="22.36328125" bestFit="1" customWidth="1"/>
  </cols>
  <sheetData>
    <row r="1" spans="1:13" ht="16.25" thickTop="1" thickBot="1" x14ac:dyDescent="0.9"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ht="16.25" thickTop="1" thickBot="1" x14ac:dyDescent="0.9">
      <c r="A2" s="12" t="s">
        <v>36</v>
      </c>
      <c r="B2" s="1">
        <f ca="1">SUMPRODUCT(
(LEFT(INDIRECT("'"&amp;B$1&amp;"'!A1:W1"),4)="Week")+0,
(RIGHT(INDIRECT("'"&amp;B$1&amp;"'!A1:W1"),2)&lt;="13")+0,
INDIRECT("'"&amp;B$1&amp;"'!A"&amp;MATCH($A2,INDIRECT("'"&amp;B$1&amp;"'!A1:A30"),0)&amp;":W"&amp;MATCH($A2,INDIRECT("'"&amp;B$1&amp;"'!A1:A30"),0))
)</f>
        <v>1087.2</v>
      </c>
      <c r="C2" s="1">
        <f ca="1">SUMPRODUCT(
(LEFT(INDIRECT("'"&amp;C$1&amp;"'!A1:W1"),4)="Week")+0,
(RIGHT(INDIRECT("'"&amp;C$1&amp;"'!A1:W1"),2)&lt;="13")+0,
INDIRECT("'"&amp;C$1&amp;"'!A"&amp;MATCH($A2,INDIRECT("'"&amp;C$1&amp;"'!A1:A30"),0)&amp;":W"&amp;MATCH($A2,INDIRECT("'"&amp;C$1&amp;"'!A1:A30"),0))
)</f>
        <v>1214.7</v>
      </c>
      <c r="D2" s="1">
        <f t="shared" ref="D2:M3" ca="1" si="0">SUMPRODUCT(
(LEFT(INDIRECT("'"&amp;D$1&amp;"'!A1:W1"),4)="Week")+0,
(RIGHT(INDIRECT("'"&amp;D$1&amp;"'!A1:W1"),2)&lt;="13")+0,
INDIRECT("'"&amp;D$1&amp;"'!A"&amp;MATCH($A2,INDIRECT("'"&amp;D$1&amp;"'!A1:A30"),0)&amp;":W"&amp;MATCH($A2,INDIRECT("'"&amp;D$1&amp;"'!A1:A30"),0))
)</f>
        <v>1173.6999999999998</v>
      </c>
      <c r="E2" s="1">
        <f t="shared" ca="1" si="0"/>
        <v>1149.4000000000001</v>
      </c>
      <c r="F2" s="1">
        <f t="shared" ca="1" si="0"/>
        <v>1293.0999999999999</v>
      </c>
      <c r="G2" s="1">
        <f t="shared" ca="1" si="0"/>
        <v>1312.2000000000003</v>
      </c>
      <c r="H2" s="1">
        <f t="shared" ca="1" si="0"/>
        <v>1220.2</v>
      </c>
      <c r="I2" s="1">
        <f t="shared" ca="1" si="0"/>
        <v>1175.9000000000001</v>
      </c>
      <c r="J2" s="1">
        <f t="shared" ca="1" si="0"/>
        <v>1156.0999999999999</v>
      </c>
      <c r="K2" s="1">
        <f t="shared" ca="1" si="0"/>
        <v>1239.7999999999997</v>
      </c>
      <c r="L2" s="1">
        <f t="shared" ca="1" si="0"/>
        <v>1315.9</v>
      </c>
      <c r="M2" s="1">
        <f t="shared" ca="1" si="0"/>
        <v>1153.6999999999998</v>
      </c>
    </row>
    <row r="3" spans="1:13" ht="16.25" thickTop="1" thickBot="1" x14ac:dyDescent="0.9">
      <c r="A3" s="12" t="s">
        <v>37</v>
      </c>
      <c r="B3" s="1">
        <f ca="1">SUMPRODUCT(
(LEFT(INDIRECT("'"&amp;B$1&amp;"'!A1:W1"),4)="Week")+0,
(RIGHT(INDIRECT("'"&amp;B$1&amp;"'!A1:W1"),2)&lt;="13")+0,
INDIRECT("'"&amp;B$1&amp;"'!A"&amp;MATCH($A3,INDIRECT("'"&amp;B$1&amp;"'!A1:A30"),0)&amp;":W"&amp;MATCH($A3,INDIRECT("'"&amp;B$1&amp;"'!A1:A30"),0))
)</f>
        <v>443.09999999999991</v>
      </c>
      <c r="C3" s="1">
        <f ca="1">SUMPRODUCT(
(LEFT(INDIRECT("'"&amp;C$1&amp;"'!A1:W1"),4)="Week")+0,
(RIGHT(INDIRECT("'"&amp;C$1&amp;"'!A1:W1"),2)&lt;="13")+0,
INDIRECT("'"&amp;C$1&amp;"'!A"&amp;MATCH($A3,INDIRECT("'"&amp;C$1&amp;"'!A1:A30"),0)&amp;":W"&amp;MATCH($A3,INDIRECT("'"&amp;C$1&amp;"'!A1:A30"),0))
)</f>
        <v>510.69999999999993</v>
      </c>
      <c r="D3" s="1">
        <f t="shared" ca="1" si="0"/>
        <v>477.2</v>
      </c>
      <c r="E3" s="1">
        <f t="shared" ca="1" si="0"/>
        <v>556.79999999999995</v>
      </c>
      <c r="F3" s="1">
        <f t="shared" ca="1" si="0"/>
        <v>569.5</v>
      </c>
      <c r="G3" s="1">
        <f t="shared" ca="1" si="0"/>
        <v>579.70000000000005</v>
      </c>
      <c r="H3" s="1">
        <f t="shared" ca="1" si="0"/>
        <v>388.9</v>
      </c>
      <c r="I3" s="1">
        <f t="shared" ca="1" si="0"/>
        <v>702.09999999999991</v>
      </c>
      <c r="J3" s="1">
        <f t="shared" ca="1" si="0"/>
        <v>448.3</v>
      </c>
      <c r="K3" s="1">
        <f t="shared" ca="1" si="0"/>
        <v>554.29999999999995</v>
      </c>
      <c r="L3" s="1">
        <f t="shared" ca="1" si="0"/>
        <v>462.50000000000006</v>
      </c>
      <c r="M3" s="1">
        <f t="shared" ca="1" si="0"/>
        <v>474.6</v>
      </c>
    </row>
    <row r="4" spans="1:13" ht="16.25" thickTop="1" thickBot="1" x14ac:dyDescent="0.9">
      <c r="A4" s="12" t="s">
        <v>38</v>
      </c>
      <c r="B4" s="1">
        <f t="shared" ref="B4:M14" ca="1" si="1">SUMPRODUCT(
(LEFT(INDIRECT("'"&amp;B$1&amp;"'!A1:W1"),4)="Week")+0,
(RIGHT(INDIRECT("'"&amp;B$1&amp;"'!A1:W1"),2)&lt;="13")+0,
INDIRECT("'"&amp;B$1&amp;"'!A"&amp;MATCH($A4,INDIRECT("'"&amp;B$1&amp;"'!A1:A30"),0)&amp;":W"&amp;MATCH($A4,INDIRECT("'"&amp;B$1&amp;"'!A1:A30"),0))
)</f>
        <v>1530.2999999999997</v>
      </c>
      <c r="C4" s="1">
        <f t="shared" ca="1" si="1"/>
        <v>1725.4</v>
      </c>
      <c r="D4" s="1">
        <f t="shared" ca="1" si="1"/>
        <v>1650.8999999999999</v>
      </c>
      <c r="E4" s="1">
        <f t="shared" ca="1" si="1"/>
        <v>1706.1999999999998</v>
      </c>
      <c r="F4" s="1">
        <f t="shared" ca="1" si="1"/>
        <v>1862.6000000000001</v>
      </c>
      <c r="G4" s="1">
        <f t="shared" ca="1" si="1"/>
        <v>1891.8999999999996</v>
      </c>
      <c r="H4" s="1">
        <f t="shared" ca="1" si="1"/>
        <v>1609.1</v>
      </c>
      <c r="I4" s="1">
        <f t="shared" ca="1" si="1"/>
        <v>1878</v>
      </c>
      <c r="J4" s="1">
        <f t="shared" ca="1" si="1"/>
        <v>1604.4</v>
      </c>
      <c r="K4" s="1">
        <f t="shared" ca="1" si="1"/>
        <v>1794.1000000000001</v>
      </c>
      <c r="L4" s="1">
        <f t="shared" ca="1" si="1"/>
        <v>1778.3999999999999</v>
      </c>
      <c r="M4" s="1">
        <f t="shared" ca="1" si="1"/>
        <v>1628.3000000000002</v>
      </c>
    </row>
    <row r="5" spans="1:13" ht="16.25" thickTop="1" thickBot="1" x14ac:dyDescent="0.9">
      <c r="A5" s="12" t="s">
        <v>40</v>
      </c>
      <c r="B5" s="1">
        <f t="shared" ca="1" si="1"/>
        <v>22</v>
      </c>
      <c r="C5" s="1">
        <f t="shared" ca="1" si="1"/>
        <v>28</v>
      </c>
      <c r="D5" s="1">
        <f t="shared" ca="1" si="1"/>
        <v>30</v>
      </c>
      <c r="E5" s="1">
        <f t="shared" ca="1" si="1"/>
        <v>40</v>
      </c>
      <c r="F5" s="1">
        <f t="shared" ca="1" si="1"/>
        <v>30</v>
      </c>
      <c r="G5" s="1">
        <f t="shared" ca="1" si="1"/>
        <v>35</v>
      </c>
      <c r="H5" s="1">
        <f t="shared" ca="1" si="1"/>
        <v>38</v>
      </c>
      <c r="I5" s="1">
        <f t="shared" ca="1" si="1"/>
        <v>23</v>
      </c>
      <c r="J5" s="1">
        <f t="shared" ca="1" si="1"/>
        <v>35</v>
      </c>
      <c r="K5" s="1">
        <f t="shared" ca="1" si="1"/>
        <v>35</v>
      </c>
      <c r="L5" s="1">
        <f t="shared" ca="1" si="1"/>
        <v>27</v>
      </c>
      <c r="M5" s="1">
        <f t="shared" ca="1" si="1"/>
        <v>26</v>
      </c>
    </row>
    <row r="6" spans="1:13" ht="16.25" thickTop="1" thickBot="1" x14ac:dyDescent="0.9">
      <c r="A6" s="12" t="s">
        <v>41</v>
      </c>
      <c r="B6" s="1">
        <f t="shared" ca="1" si="1"/>
        <v>10</v>
      </c>
      <c r="C6" s="1">
        <f t="shared" ca="1" si="1"/>
        <v>21</v>
      </c>
      <c r="D6" s="1">
        <f t="shared" ca="1" si="1"/>
        <v>19</v>
      </c>
      <c r="E6" s="1">
        <f t="shared" ca="1" si="1"/>
        <v>33</v>
      </c>
      <c r="F6" s="1">
        <f t="shared" ca="1" si="1"/>
        <v>11</v>
      </c>
      <c r="G6" s="1">
        <f t="shared" ca="1" si="1"/>
        <v>14</v>
      </c>
      <c r="H6" s="1">
        <f t="shared" ca="1" si="1"/>
        <v>47</v>
      </c>
      <c r="I6" s="1">
        <f t="shared" ca="1" si="1"/>
        <v>2</v>
      </c>
      <c r="J6" s="1">
        <f t="shared" ca="1" si="1"/>
        <v>18</v>
      </c>
      <c r="K6" s="1">
        <f t="shared" ca="1" si="1"/>
        <v>27</v>
      </c>
      <c r="L6" s="1">
        <f t="shared" ca="1" si="1"/>
        <v>22</v>
      </c>
      <c r="M6" s="1">
        <f t="shared" ca="1" si="1"/>
        <v>12</v>
      </c>
    </row>
    <row r="7" spans="1:13" ht="16.25" thickTop="1" thickBot="1" x14ac:dyDescent="0.9">
      <c r="A7" s="12" t="s">
        <v>42</v>
      </c>
      <c r="B7" s="1">
        <f t="shared" ca="1" si="1"/>
        <v>29</v>
      </c>
      <c r="C7" s="1">
        <f t="shared" ca="1" si="1"/>
        <v>40</v>
      </c>
      <c r="D7" s="1">
        <f t="shared" ca="1" si="1"/>
        <v>37</v>
      </c>
      <c r="E7" s="1">
        <f t="shared" ca="1" si="1"/>
        <v>36</v>
      </c>
      <c r="F7" s="1">
        <f t="shared" ca="1" si="1"/>
        <v>43</v>
      </c>
      <c r="G7" s="1">
        <f t="shared" ca="1" si="1"/>
        <v>32</v>
      </c>
      <c r="H7" s="1">
        <f t="shared" ca="1" si="1"/>
        <v>25</v>
      </c>
      <c r="I7" s="1">
        <f t="shared" ca="1" si="1"/>
        <v>44</v>
      </c>
      <c r="J7" s="1">
        <f t="shared" ca="1" si="1"/>
        <v>31</v>
      </c>
      <c r="K7" s="1">
        <f t="shared" ca="1" si="1"/>
        <v>34</v>
      </c>
      <c r="L7" s="1">
        <f t="shared" ca="1" si="1"/>
        <v>29</v>
      </c>
      <c r="M7" s="1">
        <f t="shared" ca="1" si="1"/>
        <v>30</v>
      </c>
    </row>
    <row r="8" spans="1:13" ht="16.25" thickTop="1" thickBot="1" x14ac:dyDescent="0.9">
      <c r="A8" s="18" t="s">
        <v>43</v>
      </c>
      <c r="B8" s="1">
        <f t="shared" ca="1" si="1"/>
        <v>1192.5000000000002</v>
      </c>
      <c r="C8" s="1">
        <f t="shared" ca="1" si="1"/>
        <v>1386.0000000000002</v>
      </c>
      <c r="D8" s="1">
        <f t="shared" ca="1" si="1"/>
        <v>1339.8999999999999</v>
      </c>
      <c r="E8" s="1">
        <f t="shared" ca="1" si="1"/>
        <v>1343</v>
      </c>
      <c r="F8" s="1">
        <f t="shared" ca="1" si="1"/>
        <v>1602.2</v>
      </c>
      <c r="G8" s="1">
        <f t="shared" ca="1" si="1"/>
        <v>1518</v>
      </c>
      <c r="H8" s="1">
        <f t="shared" ca="1" si="1"/>
        <v>1371.7999999999997</v>
      </c>
      <c r="I8" s="1">
        <f t="shared" ca="1" si="1"/>
        <v>1426.6</v>
      </c>
      <c r="J8" s="1">
        <f t="shared" ca="1" si="1"/>
        <v>1317.7</v>
      </c>
      <c r="K8" s="1">
        <f t="shared" ca="1" si="1"/>
        <v>1432.5</v>
      </c>
      <c r="L8" s="1">
        <f t="shared" ca="1" si="1"/>
        <v>1496.1000000000001</v>
      </c>
      <c r="M8" s="1">
        <f t="shared" ca="1" si="1"/>
        <v>1341.6000000000001</v>
      </c>
    </row>
    <row r="9" spans="1:13" ht="16.25" thickTop="1" thickBot="1" x14ac:dyDescent="0.9">
      <c r="A9" s="18" t="s">
        <v>72</v>
      </c>
      <c r="B9" s="1">
        <f ca="1">_xlfn.RANK.EQ(B8,$B8:$M8,0)</f>
        <v>12</v>
      </c>
      <c r="C9" s="1">
        <f t="shared" ref="C9:M9" ca="1" si="2">_xlfn.RANK.EQ(C8,$B8:$M8,0)</f>
        <v>6</v>
      </c>
      <c r="D9" s="1">
        <f t="shared" ca="1" si="2"/>
        <v>10</v>
      </c>
      <c r="E9" s="1">
        <f t="shared" ca="1" si="2"/>
        <v>8</v>
      </c>
      <c r="F9" s="1">
        <f t="shared" ca="1" si="2"/>
        <v>1</v>
      </c>
      <c r="G9" s="1">
        <f t="shared" ca="1" si="2"/>
        <v>2</v>
      </c>
      <c r="H9" s="1">
        <f t="shared" ca="1" si="2"/>
        <v>7</v>
      </c>
      <c r="I9" s="1">
        <f t="shared" ca="1" si="2"/>
        <v>5</v>
      </c>
      <c r="J9" s="1">
        <f t="shared" ca="1" si="2"/>
        <v>11</v>
      </c>
      <c r="K9" s="1">
        <f t="shared" ca="1" si="2"/>
        <v>4</v>
      </c>
      <c r="L9" s="1">
        <f t="shared" ca="1" si="2"/>
        <v>3</v>
      </c>
      <c r="M9" s="1">
        <f t="shared" ca="1" si="2"/>
        <v>9</v>
      </c>
    </row>
    <row r="10" spans="1:13" ht="16.25" thickTop="1" thickBot="1" x14ac:dyDescent="0.9">
      <c r="A10" s="18" t="s">
        <v>44</v>
      </c>
      <c r="B10" s="6">
        <f ca="1">B2/B8</f>
        <v>0.91169811320754701</v>
      </c>
      <c r="C10" s="6">
        <f t="shared" ref="C10:M10" ca="1" si="3">C2/C8</f>
        <v>0.8764069264069263</v>
      </c>
      <c r="D10" s="6">
        <f t="shared" ca="1" si="3"/>
        <v>0.87596089260392562</v>
      </c>
      <c r="E10" s="6">
        <f t="shared" ca="1" si="3"/>
        <v>0.85584512285927039</v>
      </c>
      <c r="F10" s="6">
        <f t="shared" ca="1" si="3"/>
        <v>0.80707776806890519</v>
      </c>
      <c r="G10" s="6">
        <f t="shared" ca="1" si="3"/>
        <v>0.86442687747035596</v>
      </c>
      <c r="H10" s="6">
        <f t="shared" ca="1" si="3"/>
        <v>0.88948826359527644</v>
      </c>
      <c r="I10" s="6">
        <f t="shared" ca="1" si="3"/>
        <v>0.82426748913500647</v>
      </c>
      <c r="J10" s="6">
        <f t="shared" ca="1" si="3"/>
        <v>0.87736207027396207</v>
      </c>
      <c r="K10" s="6">
        <f t="shared" ca="1" si="3"/>
        <v>0.86547993019197189</v>
      </c>
      <c r="L10" s="6">
        <f t="shared" ca="1" si="3"/>
        <v>0.87955350578169911</v>
      </c>
      <c r="M10" s="6">
        <f t="shared" ca="1" si="3"/>
        <v>0.85994335122242072</v>
      </c>
    </row>
    <row r="11" spans="1:13" ht="16.25" thickTop="1" thickBot="1" x14ac:dyDescent="0.9">
      <c r="A11" s="18" t="s">
        <v>73</v>
      </c>
      <c r="B11" s="1">
        <f ca="1">_xlfn.RANK.EQ(B10,$B10:$M10,0)</f>
        <v>1</v>
      </c>
      <c r="C11" s="1">
        <f t="shared" ref="C11" ca="1" si="4">_xlfn.RANK.EQ(C10,$B10:$M10,0)</f>
        <v>5</v>
      </c>
      <c r="D11" s="1">
        <f t="shared" ref="D11" ca="1" si="5">_xlfn.RANK.EQ(D10,$B10:$M10,0)</f>
        <v>6</v>
      </c>
      <c r="E11" s="1">
        <f t="shared" ref="E11" ca="1" si="6">_xlfn.RANK.EQ(E10,$B10:$M10,0)</f>
        <v>10</v>
      </c>
      <c r="F11" s="1">
        <f t="shared" ref="F11" ca="1" si="7">_xlfn.RANK.EQ(F10,$B10:$M10,0)</f>
        <v>12</v>
      </c>
      <c r="G11" s="1">
        <f t="shared" ref="G11" ca="1" si="8">_xlfn.RANK.EQ(G10,$B10:$M10,0)</f>
        <v>8</v>
      </c>
      <c r="H11" s="1">
        <f t="shared" ref="H11" ca="1" si="9">_xlfn.RANK.EQ(H10,$B10:$M10,0)</f>
        <v>2</v>
      </c>
      <c r="I11" s="1">
        <f t="shared" ref="I11" ca="1" si="10">_xlfn.RANK.EQ(I10,$B10:$M10,0)</f>
        <v>11</v>
      </c>
      <c r="J11" s="1">
        <f t="shared" ref="J11" ca="1" si="11">_xlfn.RANK.EQ(J10,$B10:$M10,0)</f>
        <v>4</v>
      </c>
      <c r="K11" s="1">
        <f t="shared" ref="K11" ca="1" si="12">_xlfn.RANK.EQ(K10,$B10:$M10,0)</f>
        <v>7</v>
      </c>
      <c r="L11" s="1">
        <f t="shared" ref="L11" ca="1" si="13">_xlfn.RANK.EQ(L10,$B10:$M10,0)</f>
        <v>3</v>
      </c>
      <c r="M11" s="1">
        <f t="shared" ref="M11" ca="1" si="14">_xlfn.RANK.EQ(M10,$B10:$M10,0)</f>
        <v>9</v>
      </c>
    </row>
    <row r="12" spans="1:13" ht="16.25" thickTop="1" thickBot="1" x14ac:dyDescent="0.9">
      <c r="A12" s="12" t="s">
        <v>46</v>
      </c>
      <c r="B12" s="1">
        <f t="shared" ca="1" si="1"/>
        <v>54</v>
      </c>
      <c r="C12" s="1">
        <f t="shared" ca="1" si="1"/>
        <v>59</v>
      </c>
      <c r="D12" s="1">
        <f t="shared" ca="1" si="1"/>
        <v>49</v>
      </c>
      <c r="E12" s="1">
        <f t="shared" ca="1" si="1"/>
        <v>50</v>
      </c>
      <c r="F12" s="1">
        <f t="shared" ca="1" si="1"/>
        <v>67</v>
      </c>
      <c r="G12" s="1">
        <f t="shared" ca="1" si="1"/>
        <v>75</v>
      </c>
      <c r="H12" s="1">
        <f t="shared" ca="1" si="1"/>
        <v>55</v>
      </c>
      <c r="I12" s="1">
        <f t="shared" ca="1" si="1"/>
        <v>55</v>
      </c>
      <c r="J12" s="1">
        <f t="shared" ca="1" si="1"/>
        <v>59</v>
      </c>
      <c r="K12" s="1">
        <f t="shared" ca="1" si="1"/>
        <v>66</v>
      </c>
      <c r="L12" s="1">
        <f t="shared" ca="1" si="1"/>
        <v>53</v>
      </c>
      <c r="M12" s="1">
        <f t="shared" ca="1" si="1"/>
        <v>56</v>
      </c>
    </row>
    <row r="13" spans="1:13" ht="16.25" thickTop="1" thickBot="1" x14ac:dyDescent="0.9">
      <c r="A13" s="12" t="s">
        <v>47</v>
      </c>
      <c r="B13" s="1">
        <f t="shared" ca="1" si="1"/>
        <v>25</v>
      </c>
      <c r="C13" s="1">
        <f t="shared" ca="1" si="1"/>
        <v>20</v>
      </c>
      <c r="D13" s="1">
        <f t="shared" ca="1" si="1"/>
        <v>21</v>
      </c>
      <c r="E13" s="1">
        <f t="shared" ca="1" si="1"/>
        <v>25</v>
      </c>
      <c r="F13" s="1">
        <f t="shared" ca="1" si="1"/>
        <v>27</v>
      </c>
      <c r="G13" s="1">
        <f t="shared" ca="1" si="1"/>
        <v>34</v>
      </c>
      <c r="H13" s="1">
        <f t="shared" ca="1" si="1"/>
        <v>14</v>
      </c>
      <c r="I13" s="1">
        <f t="shared" ca="1" si="1"/>
        <v>38</v>
      </c>
      <c r="J13" s="1">
        <f t="shared" ca="1" si="1"/>
        <v>19</v>
      </c>
      <c r="K13" s="1">
        <f t="shared" ca="1" si="1"/>
        <v>23</v>
      </c>
      <c r="L13" s="1">
        <f t="shared" ca="1" si="1"/>
        <v>21</v>
      </c>
      <c r="M13" s="1">
        <f t="shared" ca="1" si="1"/>
        <v>31</v>
      </c>
    </row>
    <row r="14" spans="1:13" ht="16.25" thickTop="1" thickBot="1" x14ac:dyDescent="0.9">
      <c r="A14" s="12" t="s">
        <v>48</v>
      </c>
      <c r="B14" s="1">
        <f t="shared" ca="1" si="1"/>
        <v>79</v>
      </c>
      <c r="C14" s="1">
        <f t="shared" ca="1" si="1"/>
        <v>79</v>
      </c>
      <c r="D14" s="1">
        <f t="shared" ca="1" si="1"/>
        <v>70</v>
      </c>
      <c r="E14" s="1">
        <f t="shared" ca="1" si="1"/>
        <v>75</v>
      </c>
      <c r="F14" s="1">
        <f t="shared" ca="1" si="1"/>
        <v>94</v>
      </c>
      <c r="G14" s="1">
        <f t="shared" ca="1" si="1"/>
        <v>109</v>
      </c>
      <c r="H14" s="1">
        <f t="shared" ca="1" si="1"/>
        <v>69</v>
      </c>
      <c r="I14" s="1">
        <f t="shared" ca="1" si="1"/>
        <v>93</v>
      </c>
      <c r="J14" s="1">
        <f t="shared" ca="1" si="1"/>
        <v>78</v>
      </c>
      <c r="K14" s="1">
        <f t="shared" ca="1" si="1"/>
        <v>89</v>
      </c>
      <c r="L14" s="1">
        <f t="shared" ca="1" si="1"/>
        <v>74</v>
      </c>
      <c r="M14" s="1">
        <f t="shared" ca="1" si="1"/>
        <v>87</v>
      </c>
    </row>
    <row r="15" spans="1:13" ht="16.25" thickTop="1" thickBot="1" x14ac:dyDescent="0.9">
      <c r="A15" s="12" t="s">
        <v>49</v>
      </c>
      <c r="B15" s="6">
        <f ca="1">B12*6/B2</f>
        <v>0.29801324503311255</v>
      </c>
      <c r="C15" s="6">
        <f t="shared" ref="C15:M15" ca="1" si="15">C12*6/C2</f>
        <v>0.29142998271178067</v>
      </c>
      <c r="D15" s="6">
        <f t="shared" ca="1" si="15"/>
        <v>0.25048990372326835</v>
      </c>
      <c r="E15" s="6">
        <f t="shared" ca="1" si="15"/>
        <v>0.26100574212632677</v>
      </c>
      <c r="F15" s="6">
        <f t="shared" ca="1" si="15"/>
        <v>0.31088082901554404</v>
      </c>
      <c r="G15" s="6">
        <f t="shared" ca="1" si="15"/>
        <v>0.34293552812071326</v>
      </c>
      <c r="H15" s="6">
        <f t="shared" ca="1" si="15"/>
        <v>0.27044746762825767</v>
      </c>
      <c r="I15" s="6">
        <f t="shared" ca="1" si="15"/>
        <v>0.2806361085126286</v>
      </c>
      <c r="J15" s="6">
        <f t="shared" ca="1" si="15"/>
        <v>0.30620188565003031</v>
      </c>
      <c r="K15" s="6">
        <f t="shared" ca="1" si="15"/>
        <v>0.31940635586384908</v>
      </c>
      <c r="L15" s="6">
        <f t="shared" ca="1" si="15"/>
        <v>0.24165970058515082</v>
      </c>
      <c r="M15" s="6">
        <f t="shared" ca="1" si="15"/>
        <v>0.29123689000606751</v>
      </c>
    </row>
    <row r="16" spans="1:13" ht="16.25" thickTop="1" thickBot="1" x14ac:dyDescent="0.9">
      <c r="A16" s="12" t="s">
        <v>50</v>
      </c>
      <c r="B16" s="6">
        <f ca="1">1-B15</f>
        <v>0.70198675496688745</v>
      </c>
      <c r="C16" s="6">
        <f t="shared" ref="C16:M16" ca="1" si="16">1-C15</f>
        <v>0.70857001728821933</v>
      </c>
      <c r="D16" s="6">
        <f t="shared" ca="1" si="16"/>
        <v>0.7495100962767316</v>
      </c>
      <c r="E16" s="6">
        <f t="shared" ca="1" si="16"/>
        <v>0.73899425787367323</v>
      </c>
      <c r="F16" s="6">
        <f t="shared" ca="1" si="16"/>
        <v>0.68911917098445596</v>
      </c>
      <c r="G16" s="6">
        <f t="shared" ca="1" si="16"/>
        <v>0.65706447187928674</v>
      </c>
      <c r="H16" s="6">
        <f t="shared" ca="1" si="16"/>
        <v>0.72955253237174233</v>
      </c>
      <c r="I16" s="6">
        <f t="shared" ca="1" si="16"/>
        <v>0.71936389148737145</v>
      </c>
      <c r="J16" s="6">
        <f t="shared" ca="1" si="16"/>
        <v>0.69379811434996963</v>
      </c>
      <c r="K16" s="6">
        <f t="shared" ca="1" si="16"/>
        <v>0.68059364413615087</v>
      </c>
      <c r="L16" s="6">
        <f t="shared" ca="1" si="16"/>
        <v>0.75834029941484915</v>
      </c>
      <c r="M16" s="6">
        <f t="shared" ca="1" si="16"/>
        <v>0.70876310999393244</v>
      </c>
    </row>
    <row r="17" spans="1:13" ht="16.25" thickTop="1" thickBot="1" x14ac:dyDescent="0.9">
      <c r="A17" s="12" t="s">
        <v>51</v>
      </c>
      <c r="B17" s="6">
        <f ca="1">B13*6/B3</f>
        <v>0.33852403520649971</v>
      </c>
      <c r="C17" s="6">
        <f t="shared" ref="C17:M17" ca="1" si="17">C13*6/C3</f>
        <v>0.23497160759741534</v>
      </c>
      <c r="D17" s="6">
        <f t="shared" ca="1" si="17"/>
        <v>0.26404023470243088</v>
      </c>
      <c r="E17" s="6">
        <f t="shared" ca="1" si="17"/>
        <v>0.26939655172413796</v>
      </c>
      <c r="F17" s="6">
        <f t="shared" ca="1" si="17"/>
        <v>0.28446005267778751</v>
      </c>
      <c r="G17" s="6">
        <f t="shared" ca="1" si="17"/>
        <v>0.35190615835777123</v>
      </c>
      <c r="H17" s="6">
        <f t="shared" ca="1" si="17"/>
        <v>0.21599382874775008</v>
      </c>
      <c r="I17" s="6">
        <f t="shared" ca="1" si="17"/>
        <v>0.32474006551773255</v>
      </c>
      <c r="J17" s="6">
        <f t="shared" ca="1" si="17"/>
        <v>0.25429399955387016</v>
      </c>
      <c r="K17" s="6">
        <f t="shared" ca="1" si="17"/>
        <v>0.24896265560165978</v>
      </c>
      <c r="L17" s="6">
        <f t="shared" ca="1" si="17"/>
        <v>0.27243243243243243</v>
      </c>
      <c r="M17" s="6">
        <f t="shared" ca="1" si="17"/>
        <v>0.39190897597977242</v>
      </c>
    </row>
    <row r="18" spans="1:13" ht="16.25" thickTop="1" thickBot="1" x14ac:dyDescent="0.9">
      <c r="A18" s="12" t="s">
        <v>52</v>
      </c>
      <c r="B18" s="6">
        <f ca="1">1-B17</f>
        <v>0.66147596479350024</v>
      </c>
      <c r="C18" s="6">
        <f t="shared" ref="C18:M18" ca="1" si="18">1-C17</f>
        <v>0.76502839240258469</v>
      </c>
      <c r="D18" s="6">
        <f t="shared" ca="1" si="18"/>
        <v>0.73595976529756912</v>
      </c>
      <c r="E18" s="6">
        <f t="shared" ca="1" si="18"/>
        <v>0.7306034482758621</v>
      </c>
      <c r="F18" s="6">
        <f t="shared" ca="1" si="18"/>
        <v>0.71553994732221249</v>
      </c>
      <c r="G18" s="6">
        <f t="shared" ca="1" si="18"/>
        <v>0.64809384164222883</v>
      </c>
      <c r="H18" s="6">
        <f t="shared" ca="1" si="18"/>
        <v>0.78400617125224992</v>
      </c>
      <c r="I18" s="6">
        <f t="shared" ca="1" si="18"/>
        <v>0.6752599344822674</v>
      </c>
      <c r="J18" s="6">
        <f t="shared" ca="1" si="18"/>
        <v>0.74570600044612978</v>
      </c>
      <c r="K18" s="6">
        <f t="shared" ca="1" si="18"/>
        <v>0.75103734439834025</v>
      </c>
      <c r="L18" s="6">
        <f t="shared" ca="1" si="18"/>
        <v>0.72756756756756757</v>
      </c>
      <c r="M18" s="6">
        <f t="shared" ca="1" si="18"/>
        <v>0.60809102402022752</v>
      </c>
    </row>
    <row r="19" spans="1:13" ht="16.25" thickTop="1" thickBot="1" x14ac:dyDescent="0.9">
      <c r="A19" s="12" t="s">
        <v>53</v>
      </c>
      <c r="B19" s="6">
        <f ca="1">B14*6/B4</f>
        <v>0.30974318761027253</v>
      </c>
      <c r="C19" s="6">
        <f t="shared" ref="C19:M19" ca="1" si="19">C14*6/C4</f>
        <v>0.27471890576098296</v>
      </c>
      <c r="D19" s="6">
        <f t="shared" ca="1" si="19"/>
        <v>0.25440668726149374</v>
      </c>
      <c r="E19" s="6">
        <f t="shared" ca="1" si="19"/>
        <v>0.26374399249794866</v>
      </c>
      <c r="F19" s="6">
        <f t="shared" ca="1" si="19"/>
        <v>0.30280253409212926</v>
      </c>
      <c r="G19" s="6">
        <f t="shared" ca="1" si="19"/>
        <v>0.34568423278185956</v>
      </c>
      <c r="H19" s="6">
        <f t="shared" ca="1" si="19"/>
        <v>0.2572866819961469</v>
      </c>
      <c r="I19" s="6">
        <f t="shared" ca="1" si="19"/>
        <v>0.29712460063897761</v>
      </c>
      <c r="J19" s="6">
        <f t="shared" ca="1" si="19"/>
        <v>0.29169783096484664</v>
      </c>
      <c r="K19" s="6">
        <f t="shared" ca="1" si="19"/>
        <v>0.29764227189119891</v>
      </c>
      <c r="L19" s="6">
        <f t="shared" ca="1" si="19"/>
        <v>0.24966261808367074</v>
      </c>
      <c r="M19" s="6">
        <f t="shared" ca="1" si="19"/>
        <v>0.32057974574709819</v>
      </c>
    </row>
    <row r="20" spans="1:13" ht="16.25" thickTop="1" thickBot="1" x14ac:dyDescent="0.9">
      <c r="A20" s="12" t="s">
        <v>54</v>
      </c>
      <c r="B20" s="6">
        <f ca="1">1-B19</f>
        <v>0.69025681238972747</v>
      </c>
      <c r="C20" s="6">
        <f t="shared" ref="C20:M20" ca="1" si="20">1-C19</f>
        <v>0.7252810942390171</v>
      </c>
      <c r="D20" s="6">
        <f t="shared" ca="1" si="20"/>
        <v>0.74559331273850626</v>
      </c>
      <c r="E20" s="6">
        <f t="shared" ca="1" si="20"/>
        <v>0.73625600750205134</v>
      </c>
      <c r="F20" s="6">
        <f t="shared" ca="1" si="20"/>
        <v>0.69719746590787079</v>
      </c>
      <c r="G20" s="6">
        <f t="shared" ca="1" si="20"/>
        <v>0.65431576721814044</v>
      </c>
      <c r="H20" s="6">
        <f t="shared" ca="1" si="20"/>
        <v>0.7427133180038531</v>
      </c>
      <c r="I20" s="6">
        <f t="shared" ca="1" si="20"/>
        <v>0.70287539936102239</v>
      </c>
      <c r="J20" s="6">
        <f t="shared" ca="1" si="20"/>
        <v>0.70830216903515342</v>
      </c>
      <c r="K20" s="6">
        <f t="shared" ca="1" si="20"/>
        <v>0.70235772810880115</v>
      </c>
      <c r="L20" s="6">
        <f t="shared" ca="1" si="20"/>
        <v>0.75033738191632926</v>
      </c>
      <c r="M20" s="6">
        <f t="shared" ca="1" si="20"/>
        <v>0.67942025425290176</v>
      </c>
    </row>
    <row r="21" spans="1:13" ht="15.5" thickTop="1" x14ac:dyDescent="0.75"/>
  </sheetData>
  <conditionalFormatting sqref="B2:M2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:M3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M4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5:M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6:M6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M7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:M8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M10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5:M1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6:M16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7:M17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:M18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9:M19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0:M20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2:M12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3:M1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4:M14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9:M9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11:M1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98CDE-7DB4-4CAE-BA65-4FA0F568A701}">
  <dimension ref="A1:AM15"/>
  <sheetViews>
    <sheetView zoomScale="60"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AH3" sqref="AH3"/>
    </sheetView>
  </sheetViews>
  <sheetFormatPr defaultRowHeight="14.75" x14ac:dyDescent="0.75"/>
  <cols>
    <col min="1" max="1" width="16.7265625" bestFit="1" customWidth="1"/>
    <col min="2" max="5" width="8.2265625" style="4" customWidth="1"/>
    <col min="6" max="33" width="8.2265625" customWidth="1"/>
    <col min="39" max="39" width="12.31640625" customWidth="1"/>
  </cols>
  <sheetData>
    <row r="1" spans="1:39" ht="16.25" thickTop="1" thickBot="1" x14ac:dyDescent="0.9">
      <c r="B1" s="13" t="s">
        <v>0</v>
      </c>
      <c r="C1" s="14"/>
      <c r="D1" s="14"/>
      <c r="E1" s="15"/>
      <c r="F1" s="13" t="s">
        <v>55</v>
      </c>
      <c r="G1" s="14"/>
      <c r="H1" s="14"/>
      <c r="I1" s="15"/>
      <c r="J1" s="13" t="s">
        <v>56</v>
      </c>
      <c r="K1" s="14"/>
      <c r="L1" s="14"/>
      <c r="M1" s="15"/>
      <c r="N1" s="13" t="s">
        <v>57</v>
      </c>
      <c r="O1" s="14"/>
      <c r="P1" s="14"/>
      <c r="Q1" s="15"/>
      <c r="R1" s="13" t="s">
        <v>58</v>
      </c>
      <c r="S1" s="14"/>
      <c r="T1" s="14"/>
      <c r="U1" s="15"/>
      <c r="V1" s="13" t="s">
        <v>59</v>
      </c>
      <c r="W1" s="14"/>
      <c r="X1" s="14"/>
      <c r="Y1" s="15"/>
      <c r="Z1" s="13" t="s">
        <v>60</v>
      </c>
      <c r="AA1" s="14"/>
      <c r="AB1" s="14"/>
      <c r="AC1" s="15"/>
      <c r="AD1" s="13" t="s">
        <v>67</v>
      </c>
      <c r="AE1" s="14"/>
      <c r="AF1" s="14"/>
      <c r="AG1" s="15"/>
    </row>
    <row r="2" spans="1:39" ht="31" customHeight="1" thickTop="1" thickBot="1" x14ac:dyDescent="0.9">
      <c r="B2" s="1" t="s">
        <v>65</v>
      </c>
      <c r="C2" s="11" t="s">
        <v>66</v>
      </c>
      <c r="D2" s="1" t="s">
        <v>63</v>
      </c>
      <c r="E2" s="11" t="s">
        <v>35</v>
      </c>
      <c r="F2" s="1" t="s">
        <v>65</v>
      </c>
      <c r="G2" s="11" t="s">
        <v>66</v>
      </c>
      <c r="H2" s="1" t="s">
        <v>63</v>
      </c>
      <c r="I2" s="11" t="s">
        <v>35</v>
      </c>
      <c r="J2" s="1" t="s">
        <v>65</v>
      </c>
      <c r="K2" s="11" t="s">
        <v>66</v>
      </c>
      <c r="L2" s="1" t="s">
        <v>63</v>
      </c>
      <c r="M2" s="11" t="s">
        <v>35</v>
      </c>
      <c r="N2" s="1" t="s">
        <v>65</v>
      </c>
      <c r="O2" s="11" t="s">
        <v>66</v>
      </c>
      <c r="P2" s="1" t="s">
        <v>63</v>
      </c>
      <c r="Q2" s="11" t="s">
        <v>35</v>
      </c>
      <c r="R2" s="1" t="s">
        <v>65</v>
      </c>
      <c r="S2" s="11" t="s">
        <v>66</v>
      </c>
      <c r="T2" s="1" t="s">
        <v>63</v>
      </c>
      <c r="U2" s="11" t="s">
        <v>35</v>
      </c>
      <c r="V2" s="1" t="s">
        <v>65</v>
      </c>
      <c r="W2" s="11" t="s">
        <v>66</v>
      </c>
      <c r="X2" s="1" t="s">
        <v>63</v>
      </c>
      <c r="Y2" s="11" t="s">
        <v>35</v>
      </c>
      <c r="Z2" s="1" t="s">
        <v>65</v>
      </c>
      <c r="AA2" s="11" t="s">
        <v>66</v>
      </c>
      <c r="AB2" s="1" t="s">
        <v>63</v>
      </c>
      <c r="AC2" s="11" t="s">
        <v>35</v>
      </c>
      <c r="AD2" s="1" t="s">
        <v>65</v>
      </c>
      <c r="AE2" s="11" t="s">
        <v>66</v>
      </c>
      <c r="AF2" s="1" t="s">
        <v>63</v>
      </c>
      <c r="AG2" s="11" t="s">
        <v>35</v>
      </c>
      <c r="AH2" s="1" t="s">
        <v>65</v>
      </c>
      <c r="AI2" s="11" t="s">
        <v>66</v>
      </c>
      <c r="AJ2" s="11" t="s">
        <v>68</v>
      </c>
      <c r="AK2" s="11" t="s">
        <v>69</v>
      </c>
      <c r="AL2" s="11" t="s">
        <v>71</v>
      </c>
      <c r="AM2" s="11" t="s">
        <v>70</v>
      </c>
    </row>
    <row r="3" spans="1:39" ht="16.25" thickTop="1" thickBot="1" x14ac:dyDescent="0.9">
      <c r="A3" s="10" t="s">
        <v>1</v>
      </c>
      <c r="B3" s="7">
        <f ca="1">INDEX(INDIRECT(B$1&amp;"_Table"),MATCH($A3,'All Positional Stats'!$A:$A,0), MATCH("Regular Season",'All Positional Stats'!$1:$1,0))/13</f>
        <v>18.592307692307692</v>
      </c>
      <c r="C3" s="7">
        <f t="shared" ref="C3:C14" ca="1" si="0">B3-MAX(B$3:B$14)</f>
        <v>-7.1769230769230781</v>
      </c>
      <c r="D3" s="1">
        <f t="shared" ref="D3:D14" ca="1" si="1">_xlfn.RANK.EQ(B3,B$3:B$14,0)</f>
        <v>9</v>
      </c>
      <c r="E3" s="6">
        <f ca="1">INDEX(INDIRECT(B$1&amp;"_Table"),MATCH($A3,'All Positional Stats'!$A:$A,0), MATCH(E$2,'All Positional Stats'!$1:$1,0))</f>
        <v>0.215234460996551</v>
      </c>
      <c r="F3" s="7">
        <f ca="1">INDEX(INDIRECT(F$1&amp;"_Table"),MATCH($A3,'All Positional Stats'!$A:$A,0), MATCH("Regular Season",'All Positional Stats'!$1:$1,0))/13</f>
        <v>10.753846153846155</v>
      </c>
      <c r="G3" s="7">
        <f t="shared" ref="G3:G14" ca="1" si="2">F3-MAX(F$3:F$14)</f>
        <v>-7.9769230769230788</v>
      </c>
      <c r="H3" s="1">
        <f t="shared" ref="H3:H14" ca="1" si="3">_xlfn.RANK.EQ(F3,F$3:F$14,0)</f>
        <v>7</v>
      </c>
      <c r="I3" s="6">
        <f ca="1">INDEX(INDIRECT(F$1&amp;"_Table"),MATCH($A3,'All Positional Stats'!$A:$A,0), MATCH(I$2,'All Positional Stats'!$1:$1,0))</f>
        <v>0.12306450429294784</v>
      </c>
      <c r="J3" s="7">
        <f ca="1">INDEX(INDIRECT(J$1&amp;"_Table"),MATCH($A3,'All Positional Stats'!$A:$A,0), MATCH("Regular Season",'All Positional Stats'!$1:$1,0))/13</f>
        <v>7.2153846153846173</v>
      </c>
      <c r="K3" s="7">
        <f t="shared" ref="K3:K14" ca="1" si="4">J3-MAX(J$3:J$14)</f>
        <v>-8.3384615384615373</v>
      </c>
      <c r="L3" s="1">
        <f t="shared" ref="L3:L14" ca="1" si="5">_xlfn.RANK.EQ(J3,J$3:J$14,0)</f>
        <v>12</v>
      </c>
      <c r="M3" s="6">
        <f ca="1">INDEX(INDIRECT(J$1&amp;"_Table"),MATCH($A3,'All Positional Stats'!$A:$A,0), MATCH(M$2,'All Positional Stats'!$1:$1,0))</f>
        <v>9.4738387025757723E-2</v>
      </c>
      <c r="N3" s="7">
        <f ca="1">INDEX(INDIRECT(N$1&amp;"_Table"),MATCH($A3,'All Positional Stats'!$A:$A,0), MATCH("Regular Season",'All Positional Stats'!$1:$1,0))/13</f>
        <v>12.169230769230769</v>
      </c>
      <c r="O3" s="7">
        <f t="shared" ref="O3:O14" ca="1" si="6">N3-MAX(N$3:N$14)</f>
        <v>-6.138461538461538</v>
      </c>
      <c r="P3" s="1">
        <f t="shared" ref="P3:P14" ca="1" si="7">_xlfn.RANK.EQ(N3,N$3:N$14,0)</f>
        <v>5</v>
      </c>
      <c r="Q3" s="6">
        <f ca="1">INDEX(INDIRECT(N$1&amp;"_Table"),MATCH($A3,'All Positional Stats'!$A:$A,0), MATCH(Q$2,'All Positional Stats'!$1:$1,0))</f>
        <v>0.14625376091582887</v>
      </c>
      <c r="R3" s="7">
        <f ca="1">INDEX(INDIRECT(R$1&amp;"_Table"),MATCH($A3,'All Positional Stats'!$A:$A,0), MATCH("Regular Season",'All Positional Stats'!$1:$1,0))/13</f>
        <v>15.369230769230768</v>
      </c>
      <c r="S3" s="7">
        <f t="shared" ref="S3:S14" ca="1" si="8">R3-MAX(R$3:R$14)</f>
        <v>0</v>
      </c>
      <c r="T3" s="1">
        <f t="shared" ref="T3:T14" ca="1" si="9">_xlfn.RANK.EQ(R3,R$3:R$14,0)</f>
        <v>1</v>
      </c>
      <c r="U3" s="6">
        <f ca="1">INDEX(INDIRECT(R$1&amp;"_Table"),MATCH($A3,'All Positional Stats'!$A:$A,0), MATCH(U$2,'All Positional Stats'!$1:$1,0))</f>
        <v>0.19131136713876865</v>
      </c>
      <c r="V3" s="7">
        <f ca="1">INDEX(INDIRECT(V$1&amp;"_Table"),MATCH($A3,'All Positional Stats'!$A:$A,0), MATCH("Regular Season",'All Positional Stats'!$1:$1,0))/13</f>
        <v>4.384615384615385</v>
      </c>
      <c r="W3" s="7">
        <f t="shared" ref="W3:W14" ca="1" si="10">V3-MAX(V$3:V$14)</f>
        <v>-8.1</v>
      </c>
      <c r="X3" s="1">
        <f t="shared" ref="X3:X14" ca="1" si="11">_xlfn.RANK.EQ(V3,V$3:V$14,0)</f>
        <v>12</v>
      </c>
      <c r="Y3" s="6">
        <f ca="1">INDEX(INDIRECT(V$1&amp;"_Table"),MATCH($A3,'All Positional Stats'!$A:$A,0), MATCH(Y$2,'All Positional Stats'!$1:$1,0))</f>
        <v>6.2963234754531458E-2</v>
      </c>
      <c r="Z3" s="7">
        <f ca="1">INDEX(INDIRECT(Z$1&amp;"_Table"),MATCH($A3,'All Positional Stats'!$A:$A,0), MATCH("Regular Season",'All Positional Stats'!$1:$1,0))/13</f>
        <v>7.9153846153846157</v>
      </c>
      <c r="AA3" s="7">
        <f t="shared" ref="AA3:AA14" ca="1" si="12">Z3-MAX(Z$3:Z$14)</f>
        <v>-6.7461538461538453</v>
      </c>
      <c r="AB3" s="1">
        <f t="shared" ref="AB3:AB14" ca="1" si="13">_xlfn.RANK.EQ(Z3,Z$3:Z$14,0)</f>
        <v>11</v>
      </c>
      <c r="AC3" s="6">
        <f ca="1">INDEX(INDIRECT(Z$1&amp;"_Table"),MATCH($A3,'All Positional Stats'!$A:$A,0), MATCH(AC$2,'All Positional Stats'!$1:$1,0))</f>
        <v>8.4978351801570429E-2</v>
      </c>
      <c r="AD3" s="7">
        <f ca="1">INDEX(INDIRECT(AD$1&amp;"_Table"),MATCH($A3,'All Positional Stats'!$A:$A,0), MATCH("Regular Season",'All Positional Stats'!$1:$1,0))/13</f>
        <v>7.2307692307692308</v>
      </c>
      <c r="AE3" s="7">
        <f t="shared" ref="AE3:AE14" ca="1" si="14">AD3-MAX(AD$3:AD$14)</f>
        <v>-7.3846153846153841</v>
      </c>
      <c r="AF3" s="1">
        <f t="shared" ref="AF3:AF14" ca="1" si="15">_xlfn.RANK.EQ(AD3,AD$3:AD$14,0)</f>
        <v>7</v>
      </c>
      <c r="AG3" s="6">
        <f ca="1">INDEX(INDIRECT(AD$1&amp;"_Table"),MATCH($A3,'All Positional Stats'!$A:$A,0), MATCH(AG$2,'All Positional Stats'!$1:$1,0))</f>
        <v>8.1455933074044182E-2</v>
      </c>
      <c r="AH3" s="7">
        <f t="shared" ref="AH3:AH14" ca="1" si="16">SUMIF($B$2:$AG$2,"PPG",B3:AG3)</f>
        <v>83.630769230769218</v>
      </c>
      <c r="AI3" s="7">
        <f t="shared" ref="AI3:AI14" ca="1" si="17">AH3-MAX(AH$3:AH$14)</f>
        <v>-17.592307692307699</v>
      </c>
      <c r="AJ3" s="1">
        <f t="shared" ref="AJ3:AJ14" ca="1" si="18">_xlfn.RANK.EQ(AH3,AH$3:AH$14,0)</f>
        <v>12</v>
      </c>
      <c r="AK3" s="7">
        <f t="shared" ref="AK3:AK14" ca="1" si="19">AVERAGEIF($B$2:$AG$2,"Rank",B3:AG3)</f>
        <v>8</v>
      </c>
      <c r="AL3" s="1">
        <f t="shared" ref="AL3:AL14" ca="1" si="20">_xlfn.RANK.EQ(AK3,AK$3:AK$14,1)</f>
        <v>12</v>
      </c>
      <c r="AM3" s="1">
        <f t="shared" ref="AM3:AM14" ca="1" si="21">COUNTIFS($B$2:$AG$2,"Rank",B3:AG3,"&lt;=6")</f>
        <v>2</v>
      </c>
    </row>
    <row r="4" spans="1:39" ht="16.25" thickTop="1" thickBot="1" x14ac:dyDescent="0.9">
      <c r="A4" s="10" t="s">
        <v>2</v>
      </c>
      <c r="B4" s="7">
        <f ca="1">INDEX(INDIRECT(B$1&amp;"_Table"),MATCH($A4,'All Positional Stats'!$A:$A,0), MATCH("Regular Season",'All Positional Stats'!$1:$1,0))/13</f>
        <v>20.03846153846154</v>
      </c>
      <c r="C4" s="7">
        <f t="shared" ca="1" si="0"/>
        <v>-5.7307692307692299</v>
      </c>
      <c r="D4" s="1">
        <f t="shared" ca="1" si="1"/>
        <v>6</v>
      </c>
      <c r="E4" s="6">
        <f ca="1">INDEX(INDIRECT(B$1&amp;"_Table"),MATCH($A4,'All Positional Stats'!$A:$A,0), MATCH(E$2,'All Positional Stats'!$1:$1,0))</f>
        <v>0.21697862737289261</v>
      </c>
      <c r="F4" s="7">
        <f ca="1">INDEX(INDIRECT(F$1&amp;"_Table"),MATCH($A4,'All Positional Stats'!$A:$A,0), MATCH("Regular Season",'All Positional Stats'!$1:$1,0))/13</f>
        <v>10.376923076923077</v>
      </c>
      <c r="G4" s="7">
        <f t="shared" ca="1" si="2"/>
        <v>-8.3538461538461561</v>
      </c>
      <c r="H4" s="1">
        <f t="shared" ca="1" si="3"/>
        <v>8</v>
      </c>
      <c r="I4" s="6">
        <f ca="1">INDEX(INDIRECT(F$1&amp;"_Table"),MATCH($A4,'All Positional Stats'!$A:$A,0), MATCH(I$2,'All Positional Stats'!$1:$1,0))</f>
        <v>0.12451878401699192</v>
      </c>
      <c r="J4" s="7">
        <f ca="1">INDEX(INDIRECT(J$1&amp;"_Table"),MATCH($A4,'All Positional Stats'!$A:$A,0), MATCH("Regular Season",'All Positional Stats'!$1:$1,0))/13</f>
        <v>8.1538461538461533</v>
      </c>
      <c r="K4" s="7">
        <f t="shared" ca="1" si="4"/>
        <v>-7.4</v>
      </c>
      <c r="L4" s="1">
        <f t="shared" ca="1" si="5"/>
        <v>9</v>
      </c>
      <c r="M4" s="6">
        <f ca="1">INDEX(INDIRECT(J$1&amp;"_Table"),MATCH($A4,'All Positional Stats'!$A:$A,0), MATCH(M$2,'All Positional Stats'!$1:$1,0))</f>
        <v>0.10281428381786806</v>
      </c>
      <c r="N4" s="7">
        <f ca="1">INDEX(INDIRECT(N$1&amp;"_Table"),MATCH($A4,'All Positional Stats'!$A:$A,0), MATCH("Regular Season",'All Positional Stats'!$1:$1,0))/13</f>
        <v>13.753846153846153</v>
      </c>
      <c r="O4" s="7">
        <f t="shared" ca="1" si="6"/>
        <v>-4.5538461538461537</v>
      </c>
      <c r="P4" s="1">
        <f t="shared" ca="1" si="7"/>
        <v>3</v>
      </c>
      <c r="Q4" s="6">
        <f ca="1">INDEX(INDIRECT(N$1&amp;"_Table"),MATCH($A4,'All Positional Stats'!$A:$A,0), MATCH(Q$2,'All Positional Stats'!$1:$1,0))</f>
        <v>0.13328023363865657</v>
      </c>
      <c r="R4" s="7">
        <f ca="1">INDEX(INDIRECT(R$1&amp;"_Table"),MATCH($A4,'All Positional Stats'!$A:$A,0), MATCH("Regular Season",'All Positional Stats'!$1:$1,0))/13</f>
        <v>9.207692307692307</v>
      </c>
      <c r="S4" s="7">
        <f t="shared" ca="1" si="8"/>
        <v>-6.161538461538461</v>
      </c>
      <c r="T4" s="1">
        <f t="shared" ca="1" si="9"/>
        <v>8</v>
      </c>
      <c r="U4" s="6">
        <f ca="1">INDEX(INDIRECT(R$1&amp;"_Table"),MATCH($A4,'All Positional Stats'!$A:$A,0), MATCH(U$2,'All Positional Stats'!$1:$1,0))</f>
        <v>9.9960175228992434E-2</v>
      </c>
      <c r="V4" s="7">
        <f ca="1">INDEX(INDIRECT(V$1&amp;"_Table"),MATCH($A4,'All Positional Stats'!$A:$A,0), MATCH("Regular Season",'All Positional Stats'!$1:$1,0))/13</f>
        <v>7.0076923076923077</v>
      </c>
      <c r="W4" s="7">
        <f t="shared" ca="1" si="10"/>
        <v>-5.476923076923077</v>
      </c>
      <c r="X4" s="1">
        <f t="shared" ca="1" si="11"/>
        <v>9</v>
      </c>
      <c r="Y4" s="6">
        <f ca="1">INDEX(INDIRECT(V$1&amp;"_Table"),MATCH($A4,'All Positional Stats'!$A:$A,0), MATCH(Y$2,'All Positional Stats'!$1:$1,0))</f>
        <v>7.4804194875879457E-2</v>
      </c>
      <c r="Z4" s="7">
        <f ca="1">INDEX(INDIRECT(Z$1&amp;"_Table"),MATCH($A4,'All Positional Stats'!$A:$A,0), MATCH("Regular Season",'All Positional Stats'!$1:$1,0))/13</f>
        <v>12.284615384615385</v>
      </c>
      <c r="AA4" s="7">
        <f t="shared" ca="1" si="12"/>
        <v>-2.3769230769230756</v>
      </c>
      <c r="AB4" s="1">
        <f t="shared" ca="1" si="13"/>
        <v>3</v>
      </c>
      <c r="AC4" s="6">
        <f ca="1">INDEX(INDIRECT(Z$1&amp;"_Table"),MATCH($A4,'All Positional Stats'!$A:$A,0), MATCH(AC$2,'All Positional Stats'!$1:$1,0))</f>
        <v>0.1241869109252622</v>
      </c>
      <c r="AD4" s="7">
        <f ca="1">INDEX(INDIRECT(AD$1&amp;"_Table"),MATCH($A4,'All Positional Stats'!$A:$A,0), MATCH("Regular Season",'All Positional Stats'!$1:$1,0))/13</f>
        <v>12.615384615384615</v>
      </c>
      <c r="AE4" s="7">
        <f t="shared" ca="1" si="14"/>
        <v>-2</v>
      </c>
      <c r="AF4" s="1">
        <f t="shared" ca="1" si="15"/>
        <v>2</v>
      </c>
      <c r="AG4" s="6">
        <f ca="1">INDEX(INDIRECT(AD$1&amp;"_Table"),MATCH($A4,'All Positional Stats'!$A:$A,0), MATCH(AG$2,'All Positional Stats'!$1:$1,0))</f>
        <v>0.1234567901234568</v>
      </c>
      <c r="AH4" s="7">
        <f t="shared" ca="1" si="16"/>
        <v>93.438461538461524</v>
      </c>
      <c r="AI4" s="7">
        <f t="shared" ca="1" si="17"/>
        <v>-7.7846153846153925</v>
      </c>
      <c r="AJ4" s="1">
        <f t="shared" ca="1" si="18"/>
        <v>6</v>
      </c>
      <c r="AK4" s="7">
        <f t="shared" ca="1" si="19"/>
        <v>6</v>
      </c>
      <c r="AL4" s="1">
        <f t="shared" ca="1" si="20"/>
        <v>4</v>
      </c>
      <c r="AM4" s="1">
        <f t="shared" ca="1" si="21"/>
        <v>4</v>
      </c>
    </row>
    <row r="5" spans="1:39" ht="16.25" thickTop="1" thickBot="1" x14ac:dyDescent="0.9">
      <c r="A5" s="10" t="s">
        <v>3</v>
      </c>
      <c r="B5" s="7">
        <f ca="1">INDEX(INDIRECT(B$1&amp;"_Table"),MATCH($A5,'All Positional Stats'!$A:$A,0), MATCH("Regular Season",'All Positional Stats'!$1:$1,0))/13</f>
        <v>19.823076923076922</v>
      </c>
      <c r="C5" s="7">
        <f t="shared" ca="1" si="0"/>
        <v>-5.9461538461538481</v>
      </c>
      <c r="D5" s="1">
        <f t="shared" ca="1" si="1"/>
        <v>8</v>
      </c>
      <c r="E5" s="6">
        <f ca="1">INDEX(INDIRECT(B$1&amp;"_Table"),MATCH($A5,'All Positional Stats'!$A:$A,0), MATCH(E$2,'All Positional Stats'!$1:$1,0))</f>
        <v>0.21937223451327431</v>
      </c>
      <c r="F5" s="7">
        <f ca="1">INDEX(INDIRECT(F$1&amp;"_Table"),MATCH($A5,'All Positional Stats'!$A:$A,0), MATCH("Regular Season",'All Positional Stats'!$1:$1,0))/13</f>
        <v>15.530769230769231</v>
      </c>
      <c r="G5" s="7">
        <f t="shared" ca="1" si="2"/>
        <v>-3.2000000000000028</v>
      </c>
      <c r="H5" s="1">
        <f t="shared" ca="1" si="3"/>
        <v>3</v>
      </c>
      <c r="I5" s="6">
        <f ca="1">INDEX(INDIRECT(F$1&amp;"_Table"),MATCH($A5,'All Positional Stats'!$A:$A,0), MATCH(I$2,'All Positional Stats'!$1:$1,0))</f>
        <v>0.15224004424778764</v>
      </c>
      <c r="J5" s="7">
        <f ca="1">INDEX(INDIRECT(J$1&amp;"_Table"),MATCH($A5,'All Positional Stats'!$A:$A,0), MATCH("Regular Season",'All Positional Stats'!$1:$1,0))/13</f>
        <v>13.653846153846153</v>
      </c>
      <c r="K5" s="7">
        <f t="shared" ca="1" si="4"/>
        <v>-1.9000000000000004</v>
      </c>
      <c r="L5" s="1">
        <f t="shared" ca="1" si="5"/>
        <v>2</v>
      </c>
      <c r="M5" s="6">
        <f ca="1">INDEX(INDIRECT(J$1&amp;"_Table"),MATCH($A5,'All Positional Stats'!$A:$A,0), MATCH(M$2,'All Positional Stats'!$1:$1,0))</f>
        <v>0.16067477876106195</v>
      </c>
      <c r="N5" s="7">
        <f ca="1">INDEX(INDIRECT(N$1&amp;"_Table"),MATCH($A5,'All Positional Stats'!$A:$A,0), MATCH("Regular Season",'All Positional Stats'!$1:$1,0))/13</f>
        <v>8.3230769230769237</v>
      </c>
      <c r="O5" s="7">
        <f t="shared" ca="1" si="6"/>
        <v>-9.9846153846153829</v>
      </c>
      <c r="P5" s="1">
        <f t="shared" ca="1" si="7"/>
        <v>12</v>
      </c>
      <c r="Q5" s="6">
        <f ca="1">INDEX(INDIRECT(N$1&amp;"_Table"),MATCH($A5,'All Positional Stats'!$A:$A,0), MATCH(Q$2,'All Positional Stats'!$1:$1,0))</f>
        <v>9.5409292035398247E-2</v>
      </c>
      <c r="R5" s="7">
        <f ca="1">INDEX(INDIRECT(R$1&amp;"_Table"),MATCH($A5,'All Positional Stats'!$A:$A,0), MATCH("Regular Season",'All Positional Stats'!$1:$1,0))/13</f>
        <v>7.184615384615384</v>
      </c>
      <c r="S5" s="7">
        <f t="shared" ca="1" si="8"/>
        <v>-8.184615384615384</v>
      </c>
      <c r="T5" s="1">
        <f t="shared" ca="1" si="9"/>
        <v>12</v>
      </c>
      <c r="U5" s="6">
        <f ca="1">INDEX(INDIRECT(R$1&amp;"_Table"),MATCH($A5,'All Positional Stats'!$A:$A,0), MATCH(U$2,'All Positional Stats'!$1:$1,0))</f>
        <v>7.6603982300884957E-2</v>
      </c>
      <c r="V5" s="7">
        <f ca="1">INDEX(INDIRECT(V$1&amp;"_Table"),MATCH($A5,'All Positional Stats'!$A:$A,0), MATCH("Regular Season",'All Positional Stats'!$1:$1,0))/13</f>
        <v>5.0538461538461537</v>
      </c>
      <c r="W5" s="7">
        <f t="shared" ca="1" si="10"/>
        <v>-7.430769230769231</v>
      </c>
      <c r="X5" s="1">
        <f t="shared" ca="1" si="11"/>
        <v>10</v>
      </c>
      <c r="Y5" s="6">
        <f ca="1">INDEX(INDIRECT(V$1&amp;"_Table"),MATCH($A5,'All Positional Stats'!$A:$A,0), MATCH(Y$2,'All Positional Stats'!$1:$1,0))</f>
        <v>6.0287610619469037E-2</v>
      </c>
      <c r="Z5" s="7">
        <f ca="1">INDEX(INDIRECT(Z$1&amp;"_Table"),MATCH($A5,'All Positional Stats'!$A:$A,0), MATCH("Regular Season",'All Positional Stats'!$1:$1,0))/13</f>
        <v>12.176923076923076</v>
      </c>
      <c r="AA5" s="7">
        <f t="shared" ca="1" si="12"/>
        <v>-2.4846153846153847</v>
      </c>
      <c r="AB5" s="1">
        <f t="shared" ca="1" si="13"/>
        <v>4</v>
      </c>
      <c r="AC5" s="6">
        <f ca="1">INDEX(INDIRECT(Z$1&amp;"_Table"),MATCH($A5,'All Positional Stats'!$A:$A,0), MATCH(AC$2,'All Positional Stats'!$1:$1,0))</f>
        <v>0.16350940265486724</v>
      </c>
      <c r="AD5" s="7">
        <f ca="1">INDEX(INDIRECT(AD$1&amp;"_Table"),MATCH($A5,'All Positional Stats'!$A:$A,0), MATCH("Regular Season",'All Positional Stats'!$1:$1,0))/13</f>
        <v>8.5384615384615383</v>
      </c>
      <c r="AE5" s="7">
        <f t="shared" ca="1" si="14"/>
        <v>-6.0769230769230766</v>
      </c>
      <c r="AF5" s="1">
        <f t="shared" ca="1" si="15"/>
        <v>6</v>
      </c>
      <c r="AG5" s="6">
        <f ca="1">INDEX(INDIRECT(AD$1&amp;"_Table"),MATCH($A5,'All Positional Stats'!$A:$A,0), MATCH(AG$2,'All Positional Stats'!$1:$1,0))</f>
        <v>7.1902654867256638E-2</v>
      </c>
      <c r="AH5" s="7">
        <f t="shared" ca="1" si="16"/>
        <v>90.284615384615378</v>
      </c>
      <c r="AI5" s="7">
        <f t="shared" ca="1" si="17"/>
        <v>-10.938461538461539</v>
      </c>
      <c r="AJ5" s="1">
        <f t="shared" ca="1" si="18"/>
        <v>8</v>
      </c>
      <c r="AK5" s="7">
        <f t="shared" ca="1" si="19"/>
        <v>7.125</v>
      </c>
      <c r="AL5" s="1">
        <f t="shared" ca="1" si="20"/>
        <v>8</v>
      </c>
      <c r="AM5" s="1">
        <f t="shared" ca="1" si="21"/>
        <v>4</v>
      </c>
    </row>
    <row r="6" spans="1:39" ht="16.25" thickTop="1" thickBot="1" x14ac:dyDescent="0.9">
      <c r="A6" s="10" t="s">
        <v>4</v>
      </c>
      <c r="B6" s="7">
        <f ca="1">INDEX(INDIRECT(B$1&amp;"_Table"),MATCH($A6,'All Positional Stats'!$A:$A,0), MATCH("Regular Season",'All Positional Stats'!$1:$1,0))/13</f>
        <v>18.515384615384615</v>
      </c>
      <c r="C6" s="7">
        <f t="shared" ca="1" si="0"/>
        <v>-7.2538461538461547</v>
      </c>
      <c r="D6" s="1">
        <f t="shared" ca="1" si="1"/>
        <v>10</v>
      </c>
      <c r="E6" s="6">
        <f ca="1">INDEX(INDIRECT(B$1&amp;"_Table"),MATCH($A6,'All Positional Stats'!$A:$A,0), MATCH(E$2,'All Positional Stats'!$1:$1,0))</f>
        <v>0.19724475344405815</v>
      </c>
      <c r="F6" s="7">
        <f ca="1">INDEX(INDIRECT(F$1&amp;"_Table"),MATCH($A6,'All Positional Stats'!$A:$A,0), MATCH("Regular Season",'All Positional Stats'!$1:$1,0))/13</f>
        <v>18.730769230769234</v>
      </c>
      <c r="G6" s="7">
        <f t="shared" ca="1" si="2"/>
        <v>0</v>
      </c>
      <c r="H6" s="1">
        <f t="shared" ca="1" si="3"/>
        <v>1</v>
      </c>
      <c r="I6" s="6">
        <f ca="1">INDEX(INDIRECT(F$1&amp;"_Table"),MATCH($A6,'All Positional Stats'!$A:$A,0), MATCH(I$2,'All Positional Stats'!$1:$1,0))</f>
        <v>0.2308484614394232</v>
      </c>
      <c r="J6" s="7">
        <f ca="1">INDEX(INDIRECT(J$1&amp;"_Table"),MATCH($A6,'All Positional Stats'!$A:$A,0), MATCH("Regular Season",'All Positional Stats'!$1:$1,0))/13</f>
        <v>8.1230769230769226</v>
      </c>
      <c r="K6" s="7">
        <f t="shared" ca="1" si="4"/>
        <v>-7.430769230769231</v>
      </c>
      <c r="L6" s="1">
        <f t="shared" ca="1" si="5"/>
        <v>10</v>
      </c>
      <c r="M6" s="6">
        <f ca="1">INDEX(INDIRECT(J$1&amp;"_Table"),MATCH($A6,'All Positional Stats'!$A:$A,0), MATCH(M$2,'All Positional Stats'!$1:$1,0))</f>
        <v>0.1024204969743788</v>
      </c>
      <c r="N6" s="7">
        <f ca="1">INDEX(INDIRECT(N$1&amp;"_Table"),MATCH($A6,'All Positional Stats'!$A:$A,0), MATCH("Regular Season",'All Positional Stats'!$1:$1,0))/13</f>
        <v>9.9000000000000021</v>
      </c>
      <c r="O6" s="7">
        <f t="shared" ca="1" si="6"/>
        <v>-8.4076923076923045</v>
      </c>
      <c r="P6" s="1">
        <f t="shared" ca="1" si="7"/>
        <v>10</v>
      </c>
      <c r="Q6" s="6">
        <f ca="1">INDEX(INDIRECT(N$1&amp;"_Table"),MATCH($A6,'All Positional Stats'!$A:$A,0), MATCH(Q$2,'All Positional Stats'!$1:$1,0))</f>
        <v>9.9008626239217218E-2</v>
      </c>
      <c r="R6" s="7">
        <f ca="1">INDEX(INDIRECT(R$1&amp;"_Table"),MATCH($A6,'All Positional Stats'!$A:$A,0), MATCH("Regular Season",'All Positional Stats'!$1:$1,0))/13</f>
        <v>8.8769230769230791</v>
      </c>
      <c r="S6" s="7">
        <f t="shared" ca="1" si="8"/>
        <v>-6.4923076923076888</v>
      </c>
      <c r="T6" s="1">
        <f t="shared" ca="1" si="9"/>
        <v>9</v>
      </c>
      <c r="U6" s="6">
        <f ca="1">INDEX(INDIRECT(R$1&amp;"_Table"),MATCH($A6,'All Positional Stats'!$A:$A,0), MATCH(U$2,'All Positional Stats'!$1:$1,0))</f>
        <v>9.2506759366550798E-2</v>
      </c>
      <c r="V6" s="7">
        <f ca="1">INDEX(INDIRECT(V$1&amp;"_Table"),MATCH($A6,'All Positional Stats'!$A:$A,0), MATCH("Regular Season",'All Positional Stats'!$1:$1,0))/13</f>
        <v>7.2000000000000011</v>
      </c>
      <c r="W6" s="7">
        <f t="shared" ca="1" si="10"/>
        <v>-5.2846153846153836</v>
      </c>
      <c r="X6" s="1">
        <f t="shared" ca="1" si="11"/>
        <v>7</v>
      </c>
      <c r="Y6" s="6">
        <f ca="1">INDEX(INDIRECT(V$1&amp;"_Table"),MATCH($A6,'All Positional Stats'!$A:$A,0), MATCH(Y$2,'All Positional Stats'!$1:$1,0))</f>
        <v>7.7764902793871507E-2</v>
      </c>
      <c r="Z6" s="7">
        <f ca="1">INDEX(INDIRECT(Z$1&amp;"_Table"),MATCH($A6,'All Positional Stats'!$A:$A,0), MATCH("Regular Season",'All Positional Stats'!$1:$1,0))/13</f>
        <v>10.069230769230767</v>
      </c>
      <c r="AA6" s="7">
        <f t="shared" ca="1" si="12"/>
        <v>-4.5923076923076938</v>
      </c>
      <c r="AB6" s="1">
        <f t="shared" ca="1" si="13"/>
        <v>7</v>
      </c>
      <c r="AC6" s="6">
        <f ca="1">INDEX(INDIRECT(Z$1&amp;"_Table"),MATCH($A6,'All Positional Stats'!$A:$A,0), MATCH(AC$2,'All Positional Stats'!$1:$1,0))</f>
        <v>0.11909360113299856</v>
      </c>
      <c r="AD6" s="7">
        <f ca="1">INDEX(INDIRECT(AD$1&amp;"_Table"),MATCH($A6,'All Positional Stats'!$A:$A,0), MATCH("Regular Season",'All Positional Stats'!$1:$1,0))/13</f>
        <v>7</v>
      </c>
      <c r="AE6" s="7">
        <f t="shared" ca="1" si="14"/>
        <v>-7.615384615384615</v>
      </c>
      <c r="AF6" s="1">
        <f t="shared" ca="1" si="15"/>
        <v>8</v>
      </c>
      <c r="AG6" s="6">
        <f ca="1">INDEX(INDIRECT(AD$1&amp;"_Table"),MATCH($A6,'All Positional Stats'!$A:$A,0), MATCH(AG$2,'All Positional Stats'!$1:$1,0))</f>
        <v>8.1112398609501729E-2</v>
      </c>
      <c r="AH6" s="7">
        <f t="shared" ca="1" si="16"/>
        <v>88.415384615384625</v>
      </c>
      <c r="AI6" s="7">
        <f t="shared" ca="1" si="17"/>
        <v>-12.807692307692292</v>
      </c>
      <c r="AJ6" s="1">
        <f t="shared" ca="1" si="18"/>
        <v>11</v>
      </c>
      <c r="AK6" s="7">
        <f t="shared" ca="1" si="19"/>
        <v>7.75</v>
      </c>
      <c r="AL6" s="1">
        <f t="shared" ca="1" si="20"/>
        <v>11</v>
      </c>
      <c r="AM6" s="1">
        <f t="shared" ca="1" si="21"/>
        <v>1</v>
      </c>
    </row>
    <row r="7" spans="1:39" ht="16.25" thickTop="1" thickBot="1" x14ac:dyDescent="0.9">
      <c r="A7" s="10" t="s">
        <v>5</v>
      </c>
      <c r="B7" s="7">
        <f ca="1">INDEX(INDIRECT(B$1&amp;"_Table"),MATCH($A7,'All Positional Stats'!$A:$A,0), MATCH("Regular Season",'All Positional Stats'!$1:$1,0))/13</f>
        <v>23.73076923076923</v>
      </c>
      <c r="C7" s="7">
        <f t="shared" ca="1" si="0"/>
        <v>-2.0384615384615401</v>
      </c>
      <c r="D7" s="1">
        <f t="shared" ca="1" si="1"/>
        <v>3</v>
      </c>
      <c r="E7" s="6">
        <f ca="1">INDEX(INDIRECT(B$1&amp;"_Table"),MATCH($A7,'All Positional Stats'!$A:$A,0), MATCH(E$2,'All Positional Stats'!$1:$1,0))</f>
        <v>0.23315487072342647</v>
      </c>
      <c r="F7" s="7">
        <f ca="1">INDEX(INDIRECT(F$1&amp;"_Table"),MATCH($A7,'All Positional Stats'!$A:$A,0), MATCH("Regular Season",'All Positional Stats'!$1:$1,0))/13</f>
        <v>8.7538461538461547</v>
      </c>
      <c r="G7" s="7">
        <f t="shared" ca="1" si="2"/>
        <v>-9.9769230769230788</v>
      </c>
      <c r="H7" s="1">
        <f t="shared" ca="1" si="3"/>
        <v>12</v>
      </c>
      <c r="I7" s="6">
        <f ca="1">INDEX(INDIRECT(F$1&amp;"_Table"),MATCH($A7,'All Positional Stats'!$A:$A,0), MATCH(I$2,'All Positional Stats'!$1:$1,0))</f>
        <v>9.7871506920867074E-2</v>
      </c>
      <c r="J7" s="7">
        <f ca="1">INDEX(INDIRECT(J$1&amp;"_Table"),MATCH($A7,'All Positional Stats'!$A:$A,0), MATCH("Regular Season",'All Positional Stats'!$1:$1,0))/13</f>
        <v>12.484615384615385</v>
      </c>
      <c r="K7" s="7">
        <f t="shared" ca="1" si="4"/>
        <v>-3.069230769230769</v>
      </c>
      <c r="L7" s="1">
        <f t="shared" ca="1" si="5"/>
        <v>4</v>
      </c>
      <c r="M7" s="6">
        <f ca="1">INDEX(INDIRECT(J$1&amp;"_Table"),MATCH($A7,'All Positional Stats'!$A:$A,0), MATCH(M$2,'All Positional Stats'!$1:$1,0))</f>
        <v>0.13169234787150691</v>
      </c>
      <c r="N7" s="7">
        <f ca="1">INDEX(INDIRECT(N$1&amp;"_Table"),MATCH($A7,'All Positional Stats'!$A:$A,0), MATCH("Regular Season",'All Positional Stats'!$1:$1,0))/13</f>
        <v>13.738461538461538</v>
      </c>
      <c r="O7" s="7">
        <f t="shared" ca="1" si="6"/>
        <v>-4.569230769230769</v>
      </c>
      <c r="P7" s="1">
        <f t="shared" ca="1" si="7"/>
        <v>4</v>
      </c>
      <c r="Q7" s="6">
        <f ca="1">INDEX(INDIRECT(N$1&amp;"_Table"),MATCH($A7,'All Positional Stats'!$A:$A,0), MATCH(Q$2,'All Positional Stats'!$1:$1,0))</f>
        <v>0.14181248367720029</v>
      </c>
      <c r="R7" s="7">
        <f ca="1">INDEX(INDIRECT(R$1&amp;"_Table"),MATCH($A7,'All Positional Stats'!$A:$A,0), MATCH("Regular Season",'All Positional Stats'!$1:$1,0))/13</f>
        <v>8.3307692307692314</v>
      </c>
      <c r="S7" s="7">
        <f t="shared" ca="1" si="8"/>
        <v>-7.0384615384615365</v>
      </c>
      <c r="T7" s="1">
        <f t="shared" ca="1" si="9"/>
        <v>10</v>
      </c>
      <c r="U7" s="6">
        <f ca="1">INDEX(INDIRECT(R$1&amp;"_Table"),MATCH($A7,'All Positional Stats'!$A:$A,0), MATCH(U$2,'All Positional Stats'!$1:$1,0))</f>
        <v>8.6641420736484703E-2</v>
      </c>
      <c r="V7" s="7">
        <f ca="1">INDEX(INDIRECT(V$1&amp;"_Table"),MATCH($A7,'All Positional Stats'!$A:$A,0), MATCH("Regular Season",'All Positional Stats'!$1:$1,0))/13</f>
        <v>8.7769230769230759</v>
      </c>
      <c r="W7" s="7">
        <f t="shared" ca="1" si="10"/>
        <v>-3.7076923076923087</v>
      </c>
      <c r="X7" s="1">
        <f t="shared" ca="1" si="11"/>
        <v>4</v>
      </c>
      <c r="Y7" s="6">
        <f ca="1">INDEX(INDIRECT(V$1&amp;"_Table"),MATCH($A7,'All Positional Stats'!$A:$A,0), MATCH(Y$2,'All Positional Stats'!$1:$1,0))</f>
        <v>8.964481587881952E-2</v>
      </c>
      <c r="Z7" s="7">
        <f ca="1">INDEX(INDIRECT(Z$1&amp;"_Table"),MATCH($A7,'All Positional Stats'!$A:$A,0), MATCH("Regular Season",'All Positional Stats'!$1:$1,0))/13</f>
        <v>9.0384615384615383</v>
      </c>
      <c r="AA7" s="7">
        <f t="shared" ca="1" si="12"/>
        <v>-5.6230769230769226</v>
      </c>
      <c r="AB7" s="1">
        <f t="shared" ca="1" si="13"/>
        <v>9</v>
      </c>
      <c r="AC7" s="6">
        <f ca="1">INDEX(INDIRECT(Z$1&amp;"_Table"),MATCH($A7,'All Positional Stats'!$A:$A,0), MATCH(AC$2,'All Positional Stats'!$1:$1,0))</f>
        <v>8.2071036824236082E-2</v>
      </c>
      <c r="AD7" s="7">
        <f ca="1">INDEX(INDIRECT(AD$1&amp;"_Table"),MATCH($A7,'All Positional Stats'!$A:$A,0), MATCH("Regular Season",'All Positional Stats'!$1:$1,0))/13</f>
        <v>14.615384615384615</v>
      </c>
      <c r="AE7" s="7">
        <f t="shared" ca="1" si="14"/>
        <v>0</v>
      </c>
      <c r="AF7" s="1">
        <f t="shared" ca="1" si="15"/>
        <v>1</v>
      </c>
      <c r="AG7" s="6">
        <f ca="1">INDEX(INDIRECT(AD$1&amp;"_Table"),MATCH($A7,'All Positional Stats'!$A:$A,0), MATCH(AG$2,'All Positional Stats'!$1:$1,0))</f>
        <v>0.13711151736745886</v>
      </c>
      <c r="AH7" s="7">
        <f t="shared" ca="1" si="16"/>
        <v>99.469230769230748</v>
      </c>
      <c r="AI7" s="7">
        <f t="shared" ca="1" si="17"/>
        <v>-1.7538461538461689</v>
      </c>
      <c r="AJ7" s="1">
        <f t="shared" ca="1" si="18"/>
        <v>3</v>
      </c>
      <c r="AK7" s="7">
        <f t="shared" ca="1" si="19"/>
        <v>5.875</v>
      </c>
      <c r="AL7" s="1">
        <f t="shared" ca="1" si="20"/>
        <v>3</v>
      </c>
      <c r="AM7" s="1">
        <f t="shared" ca="1" si="21"/>
        <v>5</v>
      </c>
    </row>
    <row r="8" spans="1:39" ht="16.25" thickTop="1" thickBot="1" x14ac:dyDescent="0.9">
      <c r="A8" s="10" t="s">
        <v>6</v>
      </c>
      <c r="B8" s="7">
        <f ca="1">INDEX(INDIRECT(B$1&amp;"_Table"),MATCH($A8,'All Positional Stats'!$A:$A,0), MATCH("Regular Season",'All Positional Stats'!$1:$1,0))/13</f>
        <v>25.707692307692312</v>
      </c>
      <c r="C8" s="7">
        <f t="shared" ca="1" si="0"/>
        <v>-6.1538461538457767E-2</v>
      </c>
      <c r="D8" s="1">
        <f t="shared" ca="1" si="1"/>
        <v>2</v>
      </c>
      <c r="E8" s="6">
        <f ca="1">INDEX(INDIRECT(B$1&amp;"_Table"),MATCH($A8,'All Positional Stats'!$A:$A,0), MATCH(E$2,'All Positional Stats'!$1:$1,0))</f>
        <v>0.26274310410575819</v>
      </c>
      <c r="F8" s="7">
        <f ca="1">INDEX(INDIRECT(F$1&amp;"_Table"),MATCH($A8,'All Positional Stats'!$A:$A,0), MATCH("Regular Season",'All Positional Stats'!$1:$1,0))/13</f>
        <v>9.1846153846153857</v>
      </c>
      <c r="G8" s="7">
        <f t="shared" ca="1" si="2"/>
        <v>-9.5461538461538478</v>
      </c>
      <c r="H8" s="1">
        <f t="shared" ca="1" si="3"/>
        <v>11</v>
      </c>
      <c r="I8" s="6">
        <f ca="1">INDEX(INDIRECT(F$1&amp;"_Table"),MATCH($A8,'All Positional Stats'!$A:$A,0), MATCH(I$2,'All Positional Stats'!$1:$1,0))</f>
        <v>9.6097622982077011E-2</v>
      </c>
      <c r="J8" s="7">
        <f ca="1">INDEX(INDIRECT(J$1&amp;"_Table"),MATCH($A8,'All Positional Stats'!$A:$A,0), MATCH("Regular Season",'All Positional Stats'!$1:$1,0))/13</f>
        <v>11.107692307692306</v>
      </c>
      <c r="K8" s="7">
        <f t="shared" ca="1" si="4"/>
        <v>-4.4461538461538481</v>
      </c>
      <c r="L8" s="1">
        <f t="shared" ca="1" si="5"/>
        <v>5</v>
      </c>
      <c r="M8" s="6">
        <f ca="1">INDEX(INDIRECT(J$1&amp;"_Table"),MATCH($A8,'All Positional Stats'!$A:$A,0), MATCH(M$2,'All Positional Stats'!$1:$1,0))</f>
        <v>0.11414770560569464</v>
      </c>
      <c r="N8" s="7">
        <f ca="1">INDEX(INDIRECT(N$1&amp;"_Table"),MATCH($A8,'All Positional Stats'!$A:$A,0), MATCH("Regular Season",'All Positional Stats'!$1:$1,0))/13</f>
        <v>18.307692307692307</v>
      </c>
      <c r="O8" s="7">
        <f t="shared" ca="1" si="6"/>
        <v>0</v>
      </c>
      <c r="P8" s="1">
        <f t="shared" ca="1" si="7"/>
        <v>1</v>
      </c>
      <c r="Q8" s="6">
        <f ca="1">INDEX(INDIRECT(N$1&amp;"_Table"),MATCH($A8,'All Positional Stats'!$A:$A,0), MATCH(Q$2,'All Positional Stats'!$1:$1,0))</f>
        <v>0.17045887886106517</v>
      </c>
      <c r="R8" s="7">
        <f ca="1">INDEX(INDIRECT(R$1&amp;"_Table"),MATCH($A8,'All Positional Stats'!$A:$A,0), MATCH("Regular Season",'All Positional Stats'!$1:$1,0))/13</f>
        <v>13.423076923076922</v>
      </c>
      <c r="S8" s="7">
        <f t="shared" ca="1" si="8"/>
        <v>-1.9461538461538463</v>
      </c>
      <c r="T8" s="1">
        <f t="shared" ca="1" si="9"/>
        <v>3</v>
      </c>
      <c r="U8" s="6">
        <f ca="1">INDEX(INDIRECT(R$1&amp;"_Table"),MATCH($A8,'All Positional Stats'!$A:$A,0), MATCH(U$2,'All Positional Stats'!$1:$1,0))</f>
        <v>0.13086309902122786</v>
      </c>
      <c r="V8" s="7">
        <f ca="1">INDEX(INDIRECT(V$1&amp;"_Table"),MATCH($A8,'All Positional Stats'!$A:$A,0), MATCH("Regular Season",'All Positional Stats'!$1:$1,0))/13</f>
        <v>4.7000000000000011</v>
      </c>
      <c r="W8" s="7">
        <f t="shared" ca="1" si="10"/>
        <v>-7.7846153846153836</v>
      </c>
      <c r="X8" s="1">
        <f t="shared" ca="1" si="11"/>
        <v>11</v>
      </c>
      <c r="Y8" s="6">
        <f ca="1">INDEX(INDIRECT(V$1&amp;"_Table"),MATCH($A8,'All Positional Stats'!$A:$A,0), MATCH(Y$2,'All Positional Stats'!$1:$1,0))</f>
        <v>4.9383500699122909E-2</v>
      </c>
      <c r="Z8" s="7">
        <f ca="1">INDEX(INDIRECT(Z$1&amp;"_Table"),MATCH($A8,'All Positional Stats'!$A:$A,0), MATCH("Regular Season",'All Positional Stats'!$1:$1,0))/13</f>
        <v>11.738461538461538</v>
      </c>
      <c r="AA8" s="7">
        <f t="shared" ca="1" si="12"/>
        <v>-2.9230769230769234</v>
      </c>
      <c r="AB8" s="1">
        <f t="shared" ca="1" si="13"/>
        <v>5</v>
      </c>
      <c r="AC8" s="6">
        <f ca="1">INDEX(INDIRECT(Z$1&amp;"_Table"),MATCH($A8,'All Positional Stats'!$A:$A,0), MATCH(AC$2,'All Positional Stats'!$1:$1,0))</f>
        <v>0.11084276089996184</v>
      </c>
      <c r="AD8" s="7">
        <f ca="1">INDEX(INDIRECT(AD$1&amp;"_Table"),MATCH($A8,'All Positional Stats'!$A:$A,0), MATCH("Regular Season",'All Positional Stats'!$1:$1,0))/13</f>
        <v>6.7692307692307692</v>
      </c>
      <c r="AE8" s="7">
        <f t="shared" ca="1" si="14"/>
        <v>-7.8461538461538458</v>
      </c>
      <c r="AF8" s="1">
        <f t="shared" ca="1" si="15"/>
        <v>10</v>
      </c>
      <c r="AG8" s="6">
        <f ca="1">INDEX(INDIRECT(AD$1&amp;"_Table"),MATCH($A8,'All Positional Stats'!$A:$A,0), MATCH(AG$2,'All Positional Stats'!$1:$1,0))</f>
        <v>6.5463327825092149E-2</v>
      </c>
      <c r="AH8" s="7">
        <f t="shared" ca="1" si="16"/>
        <v>100.93846153846154</v>
      </c>
      <c r="AI8" s="7">
        <f t="shared" ca="1" si="17"/>
        <v>-0.28461538461537828</v>
      </c>
      <c r="AJ8" s="1">
        <f t="shared" ca="1" si="18"/>
        <v>2</v>
      </c>
      <c r="AK8" s="7">
        <f t="shared" ca="1" si="19"/>
        <v>6</v>
      </c>
      <c r="AL8" s="1">
        <f t="shared" ca="1" si="20"/>
        <v>4</v>
      </c>
      <c r="AM8" s="1">
        <f t="shared" ca="1" si="21"/>
        <v>5</v>
      </c>
    </row>
    <row r="9" spans="1:39" ht="16.25" thickTop="1" thickBot="1" x14ac:dyDescent="0.9">
      <c r="A9" s="10" t="s">
        <v>7</v>
      </c>
      <c r="B9" s="7">
        <f ca="1">INDEX(INDIRECT(B$1&amp;"_Table"),MATCH($A9,'All Positional Stats'!$A:$A,0), MATCH("Regular Season",'All Positional Stats'!$1:$1,0))/13</f>
        <v>19.992307692307691</v>
      </c>
      <c r="C9" s="7">
        <f t="shared" ca="1" si="0"/>
        <v>-5.7769230769230795</v>
      </c>
      <c r="D9" s="1">
        <f t="shared" ca="1" si="1"/>
        <v>7</v>
      </c>
      <c r="E9" s="6">
        <f ca="1">INDEX(INDIRECT(B$1&amp;"_Table"),MATCH($A9,'All Positional Stats'!$A:$A,0), MATCH(E$2,'All Positional Stats'!$1:$1,0))</f>
        <v>0.20758735440931775</v>
      </c>
      <c r="F9" s="7">
        <f ca="1">INDEX(INDIRECT(F$1&amp;"_Table"),MATCH($A9,'All Positional Stats'!$A:$A,0), MATCH("Regular Season",'All Positional Stats'!$1:$1,0))/13</f>
        <v>17.223076923076924</v>
      </c>
      <c r="G9" s="7">
        <f t="shared" ca="1" si="2"/>
        <v>-1.5076923076923094</v>
      </c>
      <c r="H9" s="1">
        <f t="shared" ca="1" si="3"/>
        <v>2</v>
      </c>
      <c r="I9" s="6">
        <f ca="1">INDEX(INDIRECT(F$1&amp;"_Table"),MATCH($A9,'All Positional Stats'!$A:$A,0), MATCH(I$2,'All Positional Stats'!$1:$1,0))</f>
        <v>0.17650582362728787</v>
      </c>
      <c r="J9" s="7">
        <f ca="1">INDEX(INDIRECT(J$1&amp;"_Table"),MATCH($A9,'All Positional Stats'!$A:$A,0), MATCH("Regular Season",'All Positional Stats'!$1:$1,0))/13</f>
        <v>8.8076923076923084</v>
      </c>
      <c r="K9" s="7">
        <f t="shared" ca="1" si="4"/>
        <v>-6.7461538461538453</v>
      </c>
      <c r="L9" s="1">
        <f t="shared" ca="1" si="5"/>
        <v>8</v>
      </c>
      <c r="M9" s="6">
        <f ca="1">INDEX(INDIRECT(J$1&amp;"_Table"),MATCH($A9,'All Positional Stats'!$A:$A,0), MATCH(M$2,'All Positional Stats'!$1:$1,0))</f>
        <v>9.5707154742096498E-2</v>
      </c>
      <c r="N9" s="7">
        <f ca="1">INDEX(INDIRECT(N$1&amp;"_Table"),MATCH($A9,'All Positional Stats'!$A:$A,0), MATCH("Regular Season",'All Positional Stats'!$1:$1,0))/13</f>
        <v>10.5</v>
      </c>
      <c r="O9" s="7">
        <f t="shared" ca="1" si="6"/>
        <v>-7.8076923076923066</v>
      </c>
      <c r="P9" s="1">
        <f t="shared" ca="1" si="7"/>
        <v>8</v>
      </c>
      <c r="Q9" s="6">
        <f ca="1">INDEX(INDIRECT(N$1&amp;"_Table"),MATCH($A9,'All Positional Stats'!$A:$A,0), MATCH(Q$2,'All Positional Stats'!$1:$1,0))</f>
        <v>0.10156405990016638</v>
      </c>
      <c r="R9" s="7">
        <f ca="1">INDEX(INDIRECT(R$1&amp;"_Table"),MATCH($A9,'All Positional Stats'!$A:$A,0), MATCH("Regular Season",'All Positional Stats'!$1:$1,0))/13</f>
        <v>13.423076923076925</v>
      </c>
      <c r="S9" s="7">
        <f t="shared" ca="1" si="8"/>
        <v>-1.9461538461538428</v>
      </c>
      <c r="T9" s="1">
        <f t="shared" ca="1" si="9"/>
        <v>2</v>
      </c>
      <c r="U9" s="6">
        <f ca="1">INDEX(INDIRECT(R$1&amp;"_Table"),MATCH($A9,'All Positional Stats'!$A:$A,0), MATCH(U$2,'All Positional Stats'!$1:$1,0))</f>
        <v>0.14116472545757075</v>
      </c>
      <c r="V9" s="7">
        <f ca="1">INDEX(INDIRECT(V$1&amp;"_Table"),MATCH($A9,'All Positional Stats'!$A:$A,0), MATCH("Regular Season",'All Positional Stats'!$1:$1,0))/13</f>
        <v>8.5538461538461537</v>
      </c>
      <c r="W9" s="7">
        <f t="shared" ca="1" si="10"/>
        <v>-3.930769230769231</v>
      </c>
      <c r="X9" s="1">
        <f t="shared" ca="1" si="11"/>
        <v>5</v>
      </c>
      <c r="Y9" s="6">
        <f ca="1">INDEX(INDIRECT(V$1&amp;"_Table"),MATCH($A9,'All Positional Stats'!$A:$A,0), MATCH(Y$2,'All Positional Stats'!$1:$1,0))</f>
        <v>9.6905158069883521E-2</v>
      </c>
      <c r="Z9" s="7">
        <f ca="1">INDEX(INDIRECT(Z$1&amp;"_Table"),MATCH($A9,'All Positional Stats'!$A:$A,0), MATCH("Regular Season",'All Positional Stats'!$1:$1,0))/13</f>
        <v>9.9769230769230788</v>
      </c>
      <c r="AA9" s="7">
        <f t="shared" ca="1" si="12"/>
        <v>-4.6846153846153822</v>
      </c>
      <c r="AB9" s="1">
        <f t="shared" ca="1" si="13"/>
        <v>8</v>
      </c>
      <c r="AC9" s="6">
        <f ca="1">INDEX(INDIRECT(Z$1&amp;"_Table"),MATCH($A9,'All Positional Stats'!$A:$A,0), MATCH(AC$2,'All Positional Stats'!$1:$1,0))</f>
        <v>0.11467554076539102</v>
      </c>
      <c r="AD9" s="7">
        <f ca="1">INDEX(INDIRECT(AD$1&amp;"_Table"),MATCH($A9,'All Positional Stats'!$A:$A,0), MATCH("Regular Season",'All Positional Stats'!$1:$1,0))/13</f>
        <v>5.384615384615385</v>
      </c>
      <c r="AE9" s="7">
        <f t="shared" ca="1" si="14"/>
        <v>-9.2307692307692299</v>
      </c>
      <c r="AF9" s="1">
        <f t="shared" ca="1" si="15"/>
        <v>12</v>
      </c>
      <c r="AG9" s="6">
        <f ca="1">INDEX(INDIRECT(AD$1&amp;"_Table"),MATCH($A9,'All Positional Stats'!$A:$A,0), MATCH(AG$2,'All Positional Stats'!$1:$1,0))</f>
        <v>6.5890183028286184E-2</v>
      </c>
      <c r="AH9" s="7">
        <f t="shared" ca="1" si="16"/>
        <v>93.861538461538458</v>
      </c>
      <c r="AI9" s="7">
        <f t="shared" ca="1" si="17"/>
        <v>-7.3615384615384585</v>
      </c>
      <c r="AJ9" s="1">
        <f t="shared" ca="1" si="18"/>
        <v>5</v>
      </c>
      <c r="AK9" s="7">
        <f t="shared" ca="1" si="19"/>
        <v>6.5</v>
      </c>
      <c r="AL9" s="1">
        <f t="shared" ca="1" si="20"/>
        <v>6</v>
      </c>
      <c r="AM9" s="1">
        <f t="shared" ca="1" si="21"/>
        <v>3</v>
      </c>
    </row>
    <row r="10" spans="1:39" ht="16.25" thickTop="1" thickBot="1" x14ac:dyDescent="0.9">
      <c r="A10" s="10" t="s">
        <v>8</v>
      </c>
      <c r="B10" s="7">
        <f ca="1">INDEX(INDIRECT(B$1&amp;"_Table"),MATCH($A10,'All Positional Stats'!$A:$A,0), MATCH("Regular Season",'All Positional Stats'!$1:$1,0))/13</f>
        <v>25.76923076923077</v>
      </c>
      <c r="C10" s="7">
        <f t="shared" ca="1" si="0"/>
        <v>0</v>
      </c>
      <c r="D10" s="1">
        <f t="shared" ca="1" si="1"/>
        <v>1</v>
      </c>
      <c r="E10" s="6">
        <f ca="1">INDEX(INDIRECT(B$1&amp;"_Table"),MATCH($A10,'All Positional Stats'!$A:$A,0), MATCH(E$2,'All Positional Stats'!$1:$1,0))</f>
        <v>0.26920193552784027</v>
      </c>
      <c r="F10" s="7">
        <f ca="1">INDEX(INDIRECT(F$1&amp;"_Table"),MATCH($A10,'All Positional Stats'!$A:$A,0), MATCH("Regular Season",'All Positional Stats'!$1:$1,0))/13</f>
        <v>10.123076923076923</v>
      </c>
      <c r="G10" s="7">
        <f t="shared" ca="1" si="2"/>
        <v>-8.6076923076923109</v>
      </c>
      <c r="H10" s="1">
        <f t="shared" ca="1" si="3"/>
        <v>9</v>
      </c>
      <c r="I10" s="6">
        <f ca="1">INDEX(INDIRECT(F$1&amp;"_Table"),MATCH($A10,'All Positional Stats'!$A:$A,0), MATCH(I$2,'All Positional Stats'!$1:$1,0))</f>
        <v>0.12212908062427584</v>
      </c>
      <c r="J10" s="7">
        <f ca="1">INDEX(INDIRECT(J$1&amp;"_Table"),MATCH($A10,'All Positional Stats'!$A:$A,0), MATCH("Regular Season",'All Positional Stats'!$1:$1,0))/13</f>
        <v>13.246153846153847</v>
      </c>
      <c r="K10" s="7">
        <f t="shared" ca="1" si="4"/>
        <v>-2.3076923076923066</v>
      </c>
      <c r="L10" s="1">
        <f t="shared" ca="1" si="5"/>
        <v>3</v>
      </c>
      <c r="M10" s="6">
        <f ca="1">INDEX(INDIRECT(J$1&amp;"_Table"),MATCH($A10,'All Positional Stats'!$A:$A,0), MATCH(M$2,'All Positional Stats'!$1:$1,0))</f>
        <v>0.14018946364070062</v>
      </c>
      <c r="N10" s="7">
        <f ca="1">INDEX(INDIRECT(N$1&amp;"_Table"),MATCH($A10,'All Positional Stats'!$A:$A,0), MATCH("Regular Season",'All Positional Stats'!$1:$1,0))/13</f>
        <v>10.500000000000002</v>
      </c>
      <c r="O10" s="7">
        <f t="shared" ca="1" si="6"/>
        <v>-7.8076923076923048</v>
      </c>
      <c r="P10" s="1">
        <f t="shared" ca="1" si="7"/>
        <v>7</v>
      </c>
      <c r="Q10" s="6">
        <f ca="1">INDEX(INDIRECT(N$1&amp;"_Table"),MATCH($A10,'All Positional Stats'!$A:$A,0), MATCH(Q$2,'All Positional Stats'!$1:$1,0))</f>
        <v>0.10843045048728958</v>
      </c>
      <c r="R10" s="7">
        <f ca="1">INDEX(INDIRECT(R$1&amp;"_Table"),MATCH($A10,'All Positional Stats'!$A:$A,0), MATCH("Regular Season",'All Positional Stats'!$1:$1,0))/13</f>
        <v>7.9230769230769234</v>
      </c>
      <c r="S10" s="7">
        <f t="shared" ca="1" si="8"/>
        <v>-7.4461538461538446</v>
      </c>
      <c r="T10" s="1">
        <f t="shared" ca="1" si="9"/>
        <v>11</v>
      </c>
      <c r="U10" s="6">
        <f ca="1">INDEX(INDIRECT(R$1&amp;"_Table"),MATCH($A10,'All Positional Stats'!$A:$A,0), MATCH(U$2,'All Positional Stats'!$1:$1,0))</f>
        <v>9.4663667961562031E-2</v>
      </c>
      <c r="V10" s="7">
        <f ca="1">INDEX(INDIRECT(V$1&amp;"_Table"),MATCH($A10,'All Positional Stats'!$A:$A,0), MATCH("Regular Season",'All Positional Stats'!$1:$1,0))/13</f>
        <v>7.6923076923076916</v>
      </c>
      <c r="W10" s="7">
        <f t="shared" ca="1" si="10"/>
        <v>-4.792307692307693</v>
      </c>
      <c r="X10" s="1">
        <f t="shared" ca="1" si="11"/>
        <v>6</v>
      </c>
      <c r="Y10" s="6">
        <f ca="1">INDEX(INDIRECT(V$1&amp;"_Table"),MATCH($A10,'All Positional Stats'!$A:$A,0), MATCH(Y$2,'All Positional Stats'!$1:$1,0))</f>
        <v>8.1373952157023074E-2</v>
      </c>
      <c r="Z10" s="7">
        <f ca="1">INDEX(INDIRECT(Z$1&amp;"_Table"),MATCH($A10,'All Positional Stats'!$A:$A,0), MATCH("Regular Season",'All Positional Stats'!$1:$1,0))/13</f>
        <v>8.5846153846153861</v>
      </c>
      <c r="AA10" s="7">
        <f t="shared" ca="1" si="12"/>
        <v>-6.0769230769230749</v>
      </c>
      <c r="AB10" s="1">
        <f t="shared" ca="1" si="13"/>
        <v>10</v>
      </c>
      <c r="AC10" s="6">
        <f ca="1">INDEX(INDIRECT(Z$1&amp;"_Table"),MATCH($A10,'All Positional Stats'!$A:$A,0), MATCH(AC$2,'All Positional Stats'!$1:$1,0))</f>
        <v>0.10222858311183804</v>
      </c>
      <c r="AD10" s="7">
        <f ca="1">INDEX(INDIRECT(AD$1&amp;"_Table"),MATCH($A10,'All Positional Stats'!$A:$A,0), MATCH("Regular Season",'All Positional Stats'!$1:$1,0))/13</f>
        <v>6.615384615384615</v>
      </c>
      <c r="AE10" s="7">
        <f t="shared" ca="1" si="14"/>
        <v>-8</v>
      </c>
      <c r="AF10" s="1">
        <f t="shared" ca="1" si="15"/>
        <v>11</v>
      </c>
      <c r="AG10" s="6">
        <f ca="1">INDEX(INDIRECT(AD$1&amp;"_Table"),MATCH($A10,'All Positional Stats'!$A:$A,0), MATCH(AG$2,'All Positional Stats'!$1:$1,0))</f>
        <v>8.1782866489470446E-2</v>
      </c>
      <c r="AH10" s="7">
        <f t="shared" ca="1" si="16"/>
        <v>90.453846153846158</v>
      </c>
      <c r="AI10" s="7">
        <f t="shared" ca="1" si="17"/>
        <v>-10.769230769230759</v>
      </c>
      <c r="AJ10" s="1">
        <f t="shared" ca="1" si="18"/>
        <v>7</v>
      </c>
      <c r="AK10" s="7">
        <f t="shared" ca="1" si="19"/>
        <v>7.25</v>
      </c>
      <c r="AL10" s="1">
        <f t="shared" ca="1" si="20"/>
        <v>10</v>
      </c>
      <c r="AM10" s="1">
        <f t="shared" ca="1" si="21"/>
        <v>3</v>
      </c>
    </row>
    <row r="11" spans="1:39" ht="16.25" thickTop="1" thickBot="1" x14ac:dyDescent="0.9">
      <c r="A11" s="10" t="s">
        <v>9</v>
      </c>
      <c r="B11" s="7">
        <f ca="1">INDEX(INDIRECT(B$1&amp;"_Table"),MATCH($A11,'All Positional Stats'!$A:$A,0), MATCH("Regular Season",'All Positional Stats'!$1:$1,0))/13</f>
        <v>20.592307692307692</v>
      </c>
      <c r="C11" s="7">
        <f t="shared" ca="1" si="0"/>
        <v>-5.1769230769230781</v>
      </c>
      <c r="D11" s="1">
        <f t="shared" ca="1" si="1"/>
        <v>5</v>
      </c>
      <c r="E11" s="6">
        <f ca="1">INDEX(INDIRECT(B$1&amp;"_Table"),MATCH($A11,'All Positional Stats'!$A:$A,0), MATCH(E$2,'All Positional Stats'!$1:$1,0))</f>
        <v>0.23579402232625135</v>
      </c>
      <c r="F11" s="7">
        <f ca="1">INDEX(INDIRECT(F$1&amp;"_Table"),MATCH($A11,'All Positional Stats'!$A:$A,0), MATCH("Regular Season",'All Positional Stats'!$1:$1,0))/13</f>
        <v>13.492307692307691</v>
      </c>
      <c r="G11" s="7">
        <f t="shared" ca="1" si="2"/>
        <v>-5.2384615384615429</v>
      </c>
      <c r="H11" s="1">
        <f t="shared" ca="1" si="3"/>
        <v>6</v>
      </c>
      <c r="I11" s="6">
        <f ca="1">INDEX(INDIRECT(F$1&amp;"_Table"),MATCH($A11,'All Positional Stats'!$A:$A,0), MATCH(I$2,'All Positional Stats'!$1:$1,0))</f>
        <v>0.15858840475333091</v>
      </c>
      <c r="J11" s="7">
        <f ca="1">INDEX(INDIRECT(J$1&amp;"_Table"),MATCH($A11,'All Positional Stats'!$A:$A,0), MATCH("Regular Season",'All Positional Stats'!$1:$1,0))/13</f>
        <v>8.115384615384615</v>
      </c>
      <c r="K11" s="7">
        <f t="shared" ca="1" si="4"/>
        <v>-7.4384615384615387</v>
      </c>
      <c r="L11" s="1">
        <f t="shared" ca="1" si="5"/>
        <v>11</v>
      </c>
      <c r="M11" s="6">
        <f ca="1">INDEX(INDIRECT(J$1&amp;"_Table"),MATCH($A11,'All Positional Stats'!$A:$A,0), MATCH(M$2,'All Positional Stats'!$1:$1,0))</f>
        <v>0.10248469571480016</v>
      </c>
      <c r="N11" s="7">
        <f ca="1">INDEX(INDIRECT(N$1&amp;"_Table"),MATCH($A11,'All Positional Stats'!$A:$A,0), MATCH("Regular Season",'All Positional Stats'!$1:$1,0))/13</f>
        <v>8.6846153846153857</v>
      </c>
      <c r="O11" s="7">
        <f t="shared" ca="1" si="6"/>
        <v>-9.6230769230769209</v>
      </c>
      <c r="P11" s="1">
        <f t="shared" ca="1" si="7"/>
        <v>11</v>
      </c>
      <c r="Q11" s="6">
        <f ca="1">INDEX(INDIRECT(N$1&amp;"_Table"),MATCH($A11,'All Positional Stats'!$A:$A,0), MATCH(Q$2,'All Positional Stats'!$1:$1,0))</f>
        <v>9.5930860640979485E-2</v>
      </c>
      <c r="R11" s="7">
        <f ca="1">INDEX(INDIRECT(R$1&amp;"_Table"),MATCH($A11,'All Positional Stats'!$A:$A,0), MATCH("Regular Season",'All Positional Stats'!$1:$1,0))/13</f>
        <v>10.030769230769229</v>
      </c>
      <c r="S11" s="7">
        <f t="shared" ca="1" si="8"/>
        <v>-5.338461538461539</v>
      </c>
      <c r="T11" s="1">
        <f t="shared" ca="1" si="9"/>
        <v>7</v>
      </c>
      <c r="U11" s="6">
        <f ca="1">INDEX(INDIRECT(R$1&amp;"_Table"),MATCH($A11,'All Positional Stats'!$A:$A,0), MATCH(U$2,'All Positional Stats'!$1:$1,0))</f>
        <v>9.9531868923298517E-2</v>
      </c>
      <c r="V11" s="7">
        <f ca="1">INDEX(INDIRECT(V$1&amp;"_Table"),MATCH($A11,'All Positional Stats'!$A:$A,0), MATCH("Regular Season",'All Positional Stats'!$1:$1,0))/13</f>
        <v>7.1461538461538456</v>
      </c>
      <c r="W11" s="7">
        <f t="shared" ca="1" si="10"/>
        <v>-5.338461538461539</v>
      </c>
      <c r="X11" s="1">
        <f t="shared" ca="1" si="11"/>
        <v>8</v>
      </c>
      <c r="Y11" s="6">
        <f ca="1">INDEX(INDIRECT(V$1&amp;"_Table"),MATCH($A11,'All Positional Stats'!$A:$A,0), MATCH(Y$2,'All Positional Stats'!$1:$1,0))</f>
        <v>8.2535109830752615E-2</v>
      </c>
      <c r="Z11" s="7">
        <f ca="1">INDEX(INDIRECT(Z$1&amp;"_Table"),MATCH($A11,'All Positional Stats'!$A:$A,0), MATCH("Regular Season",'All Positional Stats'!$1:$1,0))/13</f>
        <v>10.176923076923076</v>
      </c>
      <c r="AA11" s="7">
        <f t="shared" ca="1" si="12"/>
        <v>-4.4846153846153847</v>
      </c>
      <c r="AB11" s="1">
        <f t="shared" ca="1" si="13"/>
        <v>6</v>
      </c>
      <c r="AC11" s="6">
        <f ca="1">INDEX(INDIRECT(Z$1&amp;"_Table"),MATCH($A11,'All Positional Stats'!$A:$A,0), MATCH(AC$2,'All Positional Stats'!$1:$1,0))</f>
        <v>0.10198055455527548</v>
      </c>
      <c r="AD11" s="7">
        <f ca="1">INDEX(INDIRECT(AD$1&amp;"_Table"),MATCH($A11,'All Positional Stats'!$A:$A,0), MATCH("Regular Season",'All Positional Stats'!$1:$1,0))/13</f>
        <v>10.692307692307692</v>
      </c>
      <c r="AE11" s="7">
        <f t="shared" ca="1" si="14"/>
        <v>-3.9230769230769234</v>
      </c>
      <c r="AF11" s="1">
        <f t="shared" ca="1" si="15"/>
        <v>3</v>
      </c>
      <c r="AG11" s="6">
        <f ca="1">INDEX(INDIRECT(AD$1&amp;"_Table"),MATCH($A11,'All Positional Stats'!$A:$A,0), MATCH(AG$2,'All Positional Stats'!$1:$1,0))</f>
        <v>0.12315448325531148</v>
      </c>
      <c r="AH11" s="7">
        <f t="shared" ca="1" si="16"/>
        <v>88.930769230769229</v>
      </c>
      <c r="AI11" s="7">
        <f t="shared" ca="1" si="17"/>
        <v>-12.292307692307688</v>
      </c>
      <c r="AJ11" s="1">
        <f t="shared" ca="1" si="18"/>
        <v>9</v>
      </c>
      <c r="AK11" s="7">
        <f t="shared" ca="1" si="19"/>
        <v>7.125</v>
      </c>
      <c r="AL11" s="1">
        <f t="shared" ca="1" si="20"/>
        <v>8</v>
      </c>
      <c r="AM11" s="1">
        <f t="shared" ca="1" si="21"/>
        <v>4</v>
      </c>
    </row>
    <row r="12" spans="1:39" ht="16.25" thickTop="1" thickBot="1" x14ac:dyDescent="0.9">
      <c r="A12" s="10" t="s">
        <v>10</v>
      </c>
      <c r="B12" s="7">
        <f ca="1">INDEX(INDIRECT(B$1&amp;"_Table"),MATCH($A12,'All Positional Stats'!$A:$A,0), MATCH("Regular Season",'All Positional Stats'!$1:$1,0))/13</f>
        <v>21.376923076923074</v>
      </c>
      <c r="C12" s="7">
        <f t="shared" ca="1" si="0"/>
        <v>-4.3923076923076962</v>
      </c>
      <c r="D12" s="1">
        <f t="shared" ca="1" si="1"/>
        <v>4</v>
      </c>
      <c r="E12" s="6">
        <f ca="1">INDEX(INDIRECT(B$1&amp;"_Table"),MATCH($A12,'All Positional Stats'!$A:$A,0), MATCH(E$2,'All Positional Stats'!$1:$1,0))</f>
        <v>0.22152322312943384</v>
      </c>
      <c r="F12" s="7">
        <f ca="1">INDEX(INDIRECT(F$1&amp;"_Table"),MATCH($A12,'All Positional Stats'!$A:$A,0), MATCH("Regular Season",'All Positional Stats'!$1:$1,0))/13</f>
        <v>9.5538461538461537</v>
      </c>
      <c r="G12" s="7">
        <f t="shared" ca="1" si="2"/>
        <v>-9.1769230769230798</v>
      </c>
      <c r="H12" s="1">
        <f t="shared" ca="1" si="3"/>
        <v>10</v>
      </c>
      <c r="I12" s="6">
        <f ca="1">INDEX(INDIRECT(F$1&amp;"_Table"),MATCH($A12,'All Positional Stats'!$A:$A,0), MATCH(I$2,'All Positional Stats'!$1:$1,0))</f>
        <v>0.10661223397135591</v>
      </c>
      <c r="J12" s="7">
        <f ca="1">INDEX(INDIRECT(J$1&amp;"_Table"),MATCH($A12,'All Positional Stats'!$A:$A,0), MATCH("Regular Season",'All Positional Stats'!$1:$1,0))/13</f>
        <v>8.884615384615385</v>
      </c>
      <c r="K12" s="7">
        <f t="shared" ca="1" si="4"/>
        <v>-6.6692307692307686</v>
      </c>
      <c r="L12" s="1">
        <f t="shared" ca="1" si="5"/>
        <v>7</v>
      </c>
      <c r="M12" s="6">
        <f ca="1">INDEX(INDIRECT(J$1&amp;"_Table"),MATCH($A12,'All Positional Stats'!$A:$A,0), MATCH(M$2,'All Positional Stats'!$1:$1,0))</f>
        <v>9.6707268103332883E-2</v>
      </c>
      <c r="N12" s="7">
        <f ca="1">INDEX(INDIRECT(N$1&amp;"_Table"),MATCH($A12,'All Positional Stats'!$A:$A,0), MATCH("Regular Season",'All Positional Stats'!$1:$1,0))/13</f>
        <v>14.376923076923076</v>
      </c>
      <c r="O12" s="7">
        <f t="shared" ca="1" si="6"/>
        <v>-3.930769230769231</v>
      </c>
      <c r="P12" s="1">
        <f t="shared" ca="1" si="7"/>
        <v>2</v>
      </c>
      <c r="Q12" s="6">
        <f ca="1">INDEX(INDIRECT(N$1&amp;"_Table"),MATCH($A12,'All Positional Stats'!$A:$A,0), MATCH(Q$2,'All Positional Stats'!$1:$1,0))</f>
        <v>0.14569669388301432</v>
      </c>
      <c r="R12" s="7">
        <f ca="1">INDEX(INDIRECT(R$1&amp;"_Table"),MATCH($A12,'All Positional Stats'!$A:$A,0), MATCH("Regular Season",'All Positional Stats'!$1:$1,0))/13</f>
        <v>11.453846153846154</v>
      </c>
      <c r="S12" s="7">
        <f t="shared" ca="1" si="8"/>
        <v>-3.9153846153846139</v>
      </c>
      <c r="T12" s="1">
        <f t="shared" ca="1" si="9"/>
        <v>5</v>
      </c>
      <c r="U12" s="6">
        <f ca="1">INDEX(INDIRECT(R$1&amp;"_Table"),MATCH($A12,'All Positional Stats'!$A:$A,0), MATCH(U$2,'All Positional Stats'!$1:$1,0))</f>
        <v>0.11879266497122204</v>
      </c>
      <c r="V12" s="7">
        <f ca="1">INDEX(INDIRECT(V$1&amp;"_Table"),MATCH($A12,'All Positional Stats'!$A:$A,0), MATCH("Regular Season",'All Positional Stats'!$1:$1,0))/13</f>
        <v>10.284615384615385</v>
      </c>
      <c r="W12" s="7">
        <f t="shared" ca="1" si="10"/>
        <v>-2.1999999999999993</v>
      </c>
      <c r="X12" s="1">
        <f t="shared" ca="1" si="11"/>
        <v>3</v>
      </c>
      <c r="Y12" s="6">
        <f ca="1">INDEX(INDIRECT(V$1&amp;"_Table"),MATCH($A12,'All Positional Stats'!$A:$A,0), MATCH(Y$2,'All Positional Stats'!$1:$1,0))</f>
        <v>9.4297952081381364E-2</v>
      </c>
      <c r="Z12" s="7">
        <f ca="1">INDEX(INDIRECT(Z$1&amp;"_Table"),MATCH($A12,'All Positional Stats'!$A:$A,0), MATCH("Regular Season",'All Positional Stats'!$1:$1,0))/13</f>
        <v>12.592307692307694</v>
      </c>
      <c r="AA12" s="7">
        <f t="shared" ca="1" si="12"/>
        <v>-2.0692307692307672</v>
      </c>
      <c r="AB12" s="1">
        <f t="shared" ca="1" si="13"/>
        <v>2</v>
      </c>
      <c r="AC12" s="6">
        <f ca="1">INDEX(INDIRECT(Z$1&amp;"_Table"),MATCH($A12,'All Positional Stats'!$A:$A,0), MATCH(AC$2,'All Positional Stats'!$1:$1,0))</f>
        <v>0.13672868424575027</v>
      </c>
      <c r="AD12" s="7">
        <f ca="1">INDEX(INDIRECT(AD$1&amp;"_Table"),MATCH($A12,'All Positional Stats'!$A:$A,0), MATCH("Regular Season",'All Positional Stats'!$1:$1,0))/13</f>
        <v>6.8461538461538458</v>
      </c>
      <c r="AE12" s="7">
        <f t="shared" ca="1" si="14"/>
        <v>-7.7692307692307692</v>
      </c>
      <c r="AF12" s="1">
        <f t="shared" ca="1" si="15"/>
        <v>9</v>
      </c>
      <c r="AG12" s="6">
        <f ca="1">INDEX(INDIRECT(AD$1&amp;"_Table"),MATCH($A12,'All Positional Stats'!$A:$A,0), MATCH(AG$2,'All Positional Stats'!$1:$1,0))</f>
        <v>7.9641279614509439E-2</v>
      </c>
      <c r="AH12" s="7">
        <f t="shared" ca="1" si="16"/>
        <v>95.369230769230782</v>
      </c>
      <c r="AI12" s="7">
        <f t="shared" ca="1" si="17"/>
        <v>-5.8538461538461348</v>
      </c>
      <c r="AJ12" s="1">
        <f t="shared" ca="1" si="18"/>
        <v>4</v>
      </c>
      <c r="AK12" s="7">
        <f t="shared" ca="1" si="19"/>
        <v>5.25</v>
      </c>
      <c r="AL12" s="1">
        <f t="shared" ca="1" si="20"/>
        <v>2</v>
      </c>
      <c r="AM12" s="1">
        <f t="shared" ca="1" si="21"/>
        <v>5</v>
      </c>
    </row>
    <row r="13" spans="1:39" ht="16.25" thickTop="1" thickBot="1" x14ac:dyDescent="0.9">
      <c r="A13" s="10" t="s">
        <v>11</v>
      </c>
      <c r="B13" s="7">
        <f ca="1">INDEX(INDIRECT(B$1&amp;"_Table"),MATCH($A13,'All Positional Stats'!$A:$A,0), MATCH("Regular Season",'All Positional Stats'!$1:$1,0))/13</f>
        <v>14.161538461538463</v>
      </c>
      <c r="C13" s="7">
        <f t="shared" ca="1" si="0"/>
        <v>-11.607692307692307</v>
      </c>
      <c r="D13" s="1">
        <f t="shared" ca="1" si="1"/>
        <v>12</v>
      </c>
      <c r="E13" s="6">
        <f ca="1">INDEX(INDIRECT(B$1&amp;"_Table"),MATCH($A13,'All Positional Stats'!$A:$A,0), MATCH(E$2,'All Positional Stats'!$1:$1,0))</f>
        <v>0.1432544378698225</v>
      </c>
      <c r="F13" s="7">
        <f ca="1">INDEX(INDIRECT(F$1&amp;"_Table"),MATCH($A13,'All Positional Stats'!$A:$A,0), MATCH("Regular Season",'All Positional Stats'!$1:$1,0))/13</f>
        <v>13.923076923076923</v>
      </c>
      <c r="G13" s="7">
        <f t="shared" ca="1" si="2"/>
        <v>-4.8076923076923102</v>
      </c>
      <c r="H13" s="1">
        <f t="shared" ca="1" si="3"/>
        <v>4</v>
      </c>
      <c r="I13" s="6">
        <f ca="1">INDEX(INDIRECT(F$1&amp;"_Table"),MATCH($A13,'All Positional Stats'!$A:$A,0), MATCH(I$2,'All Positional Stats'!$1:$1,0))</f>
        <v>0.14402366863905325</v>
      </c>
      <c r="J13" s="7">
        <f ca="1">INDEX(INDIRECT(J$1&amp;"_Table"),MATCH($A13,'All Positional Stats'!$A:$A,0), MATCH("Regular Season",'All Positional Stats'!$1:$1,0))/13</f>
        <v>15.553846153846154</v>
      </c>
      <c r="K13" s="7">
        <f t="shared" ca="1" si="4"/>
        <v>0</v>
      </c>
      <c r="L13" s="1">
        <f t="shared" ca="1" si="5"/>
        <v>1</v>
      </c>
      <c r="M13" s="6">
        <f ca="1">INDEX(INDIRECT(J$1&amp;"_Table"),MATCH($A13,'All Positional Stats'!$A:$A,0), MATCH(M$2,'All Positional Stats'!$1:$1,0))</f>
        <v>0.16461538461538464</v>
      </c>
      <c r="N13" s="7">
        <f ca="1">INDEX(INDIRECT(N$1&amp;"_Table"),MATCH($A13,'All Positional Stats'!$A:$A,0), MATCH("Regular Season",'All Positional Stats'!$1:$1,0))/13</f>
        <v>11.069230769230767</v>
      </c>
      <c r="O13" s="7">
        <f t="shared" ca="1" si="6"/>
        <v>-7.2384615384615394</v>
      </c>
      <c r="P13" s="1">
        <f t="shared" ca="1" si="7"/>
        <v>6</v>
      </c>
      <c r="Q13" s="6">
        <f ca="1">INDEX(INDIRECT(N$1&amp;"_Table"),MATCH($A13,'All Positional Stats'!$A:$A,0), MATCH(Q$2,'All Positional Stats'!$1:$1,0))</f>
        <v>0.11538461538461536</v>
      </c>
      <c r="R13" s="7">
        <f ca="1">INDEX(INDIRECT(R$1&amp;"_Table"),MATCH($A13,'All Positional Stats'!$A:$A,0), MATCH("Regular Season",'All Positional Stats'!$1:$1,0))/13</f>
        <v>10.676923076923076</v>
      </c>
      <c r="S13" s="7">
        <f t="shared" ca="1" si="8"/>
        <v>-4.6923076923076916</v>
      </c>
      <c r="T13" s="1">
        <f t="shared" ca="1" si="9"/>
        <v>6</v>
      </c>
      <c r="U13" s="6">
        <f ca="1">INDEX(INDIRECT(R$1&amp;"_Table"),MATCH($A13,'All Positional Stats'!$A:$A,0), MATCH(U$2,'All Positional Stats'!$1:$1,0))</f>
        <v>0.10923076923076924</v>
      </c>
      <c r="V13" s="7">
        <f ca="1">INDEX(INDIRECT(V$1&amp;"_Table"),MATCH($A13,'All Positional Stats'!$A:$A,0), MATCH("Regular Season",'All Positional Stats'!$1:$1,0))/13</f>
        <v>12.484615384615385</v>
      </c>
      <c r="W13" s="7">
        <f t="shared" ca="1" si="10"/>
        <v>0</v>
      </c>
      <c r="X13" s="1">
        <f t="shared" ca="1" si="11"/>
        <v>1</v>
      </c>
      <c r="Y13" s="6">
        <f ca="1">INDEX(INDIRECT(V$1&amp;"_Table"),MATCH($A13,'All Positional Stats'!$A:$A,0), MATCH(Y$2,'All Positional Stats'!$1:$1,0))</f>
        <v>0.11449704142011834</v>
      </c>
      <c r="Z13" s="7">
        <f ca="1">INDEX(INDIRECT(Z$1&amp;"_Table"),MATCH($A13,'All Positional Stats'!$A:$A,0), MATCH("Regular Season",'All Positional Stats'!$1:$1,0))/13</f>
        <v>14.661538461538461</v>
      </c>
      <c r="AA13" s="7">
        <f t="shared" ca="1" si="12"/>
        <v>0</v>
      </c>
      <c r="AB13" s="1">
        <f t="shared" ca="1" si="13"/>
        <v>1</v>
      </c>
      <c r="AC13" s="6">
        <f ca="1">INDEX(INDIRECT(Z$1&amp;"_Table"),MATCH($A13,'All Positional Stats'!$A:$A,0), MATCH(AC$2,'All Positional Stats'!$1:$1,0))</f>
        <v>0.13325443786982247</v>
      </c>
      <c r="AD13" s="7">
        <f ca="1">INDEX(INDIRECT(AD$1&amp;"_Table"),MATCH($A13,'All Positional Stats'!$A:$A,0), MATCH("Regular Season",'All Positional Stats'!$1:$1,0))/13</f>
        <v>8.6923076923076916</v>
      </c>
      <c r="AE13" s="7">
        <f t="shared" ca="1" si="14"/>
        <v>-5.9230769230769234</v>
      </c>
      <c r="AF13" s="1">
        <f t="shared" ca="1" si="15"/>
        <v>5</v>
      </c>
      <c r="AG13" s="6">
        <f ca="1">INDEX(INDIRECT(AD$1&amp;"_Table"),MATCH($A13,'All Positional Stats'!$A:$A,0), MATCH(AG$2,'All Positional Stats'!$1:$1,0))</f>
        <v>7.5739644970414202E-2</v>
      </c>
      <c r="AH13" s="7">
        <f t="shared" ca="1" si="16"/>
        <v>101.22307692307692</v>
      </c>
      <c r="AI13" s="7">
        <f t="shared" ca="1" si="17"/>
        <v>0</v>
      </c>
      <c r="AJ13" s="1">
        <f t="shared" ca="1" si="18"/>
        <v>1</v>
      </c>
      <c r="AK13" s="7">
        <f t="shared" ca="1" si="19"/>
        <v>4.5</v>
      </c>
      <c r="AL13" s="1">
        <f t="shared" ca="1" si="20"/>
        <v>1</v>
      </c>
      <c r="AM13" s="1">
        <f t="shared" ca="1" si="21"/>
        <v>7</v>
      </c>
    </row>
    <row r="14" spans="1:39" ht="16.25" thickTop="1" thickBot="1" x14ac:dyDescent="0.9">
      <c r="A14" s="1" t="s">
        <v>12</v>
      </c>
      <c r="B14" s="7">
        <f ca="1">INDEX(INDIRECT(B$1&amp;"_Table"),MATCH($A14,'All Positional Stats'!$A:$A,0), MATCH("Regular Season",'All Positional Stats'!$1:$1,0))/13</f>
        <v>15.176923076923076</v>
      </c>
      <c r="C14" s="7">
        <f t="shared" ca="1" si="0"/>
        <v>-10.592307692307694</v>
      </c>
      <c r="D14" s="1">
        <f t="shared" ca="1" si="1"/>
        <v>11</v>
      </c>
      <c r="E14" s="6">
        <f ca="1">INDEX(INDIRECT(B$1&amp;"_Table"),MATCH($A14,'All Positional Stats'!$A:$A,0), MATCH(E$2,'All Positional Stats'!$1:$1,0))</f>
        <v>0.17105451423665763</v>
      </c>
      <c r="F14" s="7">
        <f ca="1">INDEX(INDIRECT(F$1&amp;"_Table"),MATCH($A14,'All Positional Stats'!$A:$A,0), MATCH("Regular Season",'All Positional Stats'!$1:$1,0))/13</f>
        <v>13.907692307692306</v>
      </c>
      <c r="G14" s="7">
        <f t="shared" ca="1" si="2"/>
        <v>-4.8230769230769273</v>
      </c>
      <c r="H14" s="1">
        <f t="shared" ca="1" si="3"/>
        <v>5</v>
      </c>
      <c r="I14" s="6">
        <f ca="1">INDEX(INDIRECT(F$1&amp;"_Table"),MATCH($A14,'All Positional Stats'!$A:$A,0), MATCH(I$2,'All Positional Stats'!$1:$1,0))</f>
        <v>0.17298612104736019</v>
      </c>
      <c r="J14" s="7">
        <f ca="1">INDEX(INDIRECT(J$1&amp;"_Table"),MATCH($A14,'All Positional Stats'!$A:$A,0), MATCH("Regular Season",'All Positional Stats'!$1:$1,0))/13</f>
        <v>10.646153846153844</v>
      </c>
      <c r="K14" s="7">
        <f t="shared" ca="1" si="4"/>
        <v>-4.9076923076923098</v>
      </c>
      <c r="L14" s="1">
        <f t="shared" ca="1" si="5"/>
        <v>6</v>
      </c>
      <c r="M14" s="6">
        <f ca="1">INDEX(INDIRECT(J$1&amp;"_Table"),MATCH($A14,'All Positional Stats'!$A:$A,0), MATCH(M$2,'All Positional Stats'!$1:$1,0))</f>
        <v>0.12712834454142224</v>
      </c>
      <c r="N14" s="7">
        <f ca="1">INDEX(INDIRECT(N$1&amp;"_Table"),MATCH($A14,'All Positional Stats'!$A:$A,0), MATCH("Regular Season",'All Positional Stats'!$1:$1,0))/13</f>
        <v>10.199999999999999</v>
      </c>
      <c r="O14" s="7">
        <f t="shared" ca="1" si="6"/>
        <v>-8.1076923076923073</v>
      </c>
      <c r="P14" s="1">
        <f t="shared" ca="1" si="7"/>
        <v>9</v>
      </c>
      <c r="Q14" s="6">
        <f ca="1">INDEX(INDIRECT(N$1&amp;"_Table"),MATCH($A14,'All Positional Stats'!$A:$A,0), MATCH(Q$2,'All Positional Stats'!$1:$1,0))</f>
        <v>0.11360709686650454</v>
      </c>
      <c r="R14" s="7">
        <f ca="1">INDEX(INDIRECT(R$1&amp;"_Table"),MATCH($A14,'All Positional Stats'!$A:$A,0), MATCH("Regular Season",'All Positional Stats'!$1:$1,0))/13</f>
        <v>11.738461538461538</v>
      </c>
      <c r="S14" s="7">
        <f t="shared" ca="1" si="8"/>
        <v>-3.6307692307692303</v>
      </c>
      <c r="T14" s="1">
        <f t="shared" ca="1" si="9"/>
        <v>4</v>
      </c>
      <c r="U14" s="6">
        <f ca="1">INDEX(INDIRECT(R$1&amp;"_Table"),MATCH($A14,'All Positional Stats'!$A:$A,0), MATCH(U$2,'All Positional Stats'!$1:$1,0))</f>
        <v>0.12226355701817142</v>
      </c>
      <c r="V14" s="7">
        <f ca="1">INDEX(INDIRECT(V$1&amp;"_Table"),MATCH($A14,'All Positional Stats'!$A:$A,0), MATCH("Regular Season",'All Positional Stats'!$1:$1,0))/13</f>
        <v>11.876923076923076</v>
      </c>
      <c r="W14" s="7">
        <f t="shared" ca="1" si="10"/>
        <v>-0.60769230769230909</v>
      </c>
      <c r="X14" s="1">
        <f t="shared" ca="1" si="11"/>
        <v>2</v>
      </c>
      <c r="Y14" s="6">
        <f ca="1">INDEX(INDIRECT(V$1&amp;"_Table"),MATCH($A14,'All Positional Stats'!$A:$A,0), MATCH(Y$2,'All Positional Stats'!$1:$1,0))</f>
        <v>0.1219058520532265</v>
      </c>
      <c r="Z14" s="7">
        <f ca="1">INDEX(INDIRECT(Z$1&amp;"_Table"),MATCH($A14,'All Positional Stats'!$A:$A,0), MATCH("Regular Season",'All Positional Stats'!$1:$1,0))/13</f>
        <v>6.4307692307692301</v>
      </c>
      <c r="AA14" s="7">
        <f t="shared" ca="1" si="12"/>
        <v>-8.2307692307692299</v>
      </c>
      <c r="AB14" s="1">
        <f t="shared" ca="1" si="13"/>
        <v>12</v>
      </c>
      <c r="AC14" s="6">
        <f ca="1">INDEX(INDIRECT(Z$1&amp;"_Table"),MATCH($A14,'All Positional Stats'!$A:$A,0), MATCH(AC$2,'All Positional Stats'!$1:$1,0))</f>
        <v>7.5904993561310641E-2</v>
      </c>
      <c r="AD14" s="7">
        <f ca="1">INDEX(INDIRECT(AD$1&amp;"_Table"),MATCH($A14,'All Positional Stats'!$A:$A,0), MATCH("Regular Season",'All Positional Stats'!$1:$1,0))/13</f>
        <v>8.7692307692307701</v>
      </c>
      <c r="AE14" s="7">
        <f t="shared" ca="1" si="14"/>
        <v>-5.8461538461538449</v>
      </c>
      <c r="AF14" s="1">
        <f t="shared" ca="1" si="15"/>
        <v>4</v>
      </c>
      <c r="AG14" s="6">
        <f ca="1">INDEX(INDIRECT(AD$1&amp;"_Table"),MATCH($A14,'All Positional Stats'!$A:$A,0), MATCH(AG$2,'All Positional Stats'!$1:$1,0))</f>
        <v>9.5149520675346988E-2</v>
      </c>
      <c r="AH14" s="7">
        <f t="shared" ca="1" si="16"/>
        <v>88.746153846153845</v>
      </c>
      <c r="AI14" s="7">
        <f t="shared" ca="1" si="17"/>
        <v>-12.476923076923072</v>
      </c>
      <c r="AJ14" s="1">
        <f t="shared" ca="1" si="18"/>
        <v>10</v>
      </c>
      <c r="AK14" s="7">
        <f t="shared" ca="1" si="19"/>
        <v>6.625</v>
      </c>
      <c r="AL14" s="1">
        <f t="shared" ca="1" si="20"/>
        <v>7</v>
      </c>
      <c r="AM14" s="1">
        <f t="shared" ca="1" si="21"/>
        <v>5</v>
      </c>
    </row>
    <row r="15" spans="1:39" ht="15.5" thickTop="1" x14ac:dyDescent="0.75"/>
  </sheetData>
  <mergeCells count="8">
    <mergeCell ref="Z1:AC1"/>
    <mergeCell ref="AD1:AG1"/>
    <mergeCell ref="B1:E1"/>
    <mergeCell ref="F1:I1"/>
    <mergeCell ref="J1:M1"/>
    <mergeCell ref="N1:Q1"/>
    <mergeCell ref="R1:U1"/>
    <mergeCell ref="V1:Y1"/>
  </mergeCells>
  <conditionalFormatting sqref="B3:B14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:C14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D14">
    <cfRule type="colorScale" priority="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14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14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14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14">
    <cfRule type="colorScale" priority="3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:I14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1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4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4">
    <cfRule type="colorScale" priority="2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3:M14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4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4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4">
    <cfRule type="colorScale" priority="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Q3:Q14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4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4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4">
    <cfRule type="colorScale" priority="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U3:U14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14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:W14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:X14">
    <cfRule type="colorScale" priority="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3:Y14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4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:AA14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4">
    <cfRule type="colorScale" priority="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3:AC14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14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3:AE14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3:AF14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G3:AG1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3:AH14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14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3:AJ14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K3:AK14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L3:AL14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M3:AM1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5DE59-A33A-4F8C-80DA-12F61925A9A0}">
  <sheetPr codeName="Sheet1"/>
  <dimension ref="A1:AO120"/>
  <sheetViews>
    <sheetView zoomScale="65" zoomScaleNormal="70" workbookViewId="0">
      <pane xSplit="1" ySplit="2" topLeftCell="E3" activePane="bottomRight" state="frozen"/>
      <selection pane="topRight" activeCell="B1" sqref="B1"/>
      <selection pane="bottomLeft" activeCell="A3" sqref="A3"/>
      <selection pane="bottomRight" activeCell="AL3" sqref="AL3"/>
    </sheetView>
  </sheetViews>
  <sheetFormatPr defaultRowHeight="14.75" x14ac:dyDescent="0.75"/>
  <cols>
    <col min="1" max="1" width="16.54296875" bestFit="1" customWidth="1"/>
    <col min="2" max="2" width="9" customWidth="1"/>
    <col min="3" max="3" width="10.2265625" customWidth="1"/>
    <col min="4" max="4" width="9" customWidth="1"/>
    <col min="5" max="5" width="10.2265625" customWidth="1"/>
    <col min="6" max="6" width="9" customWidth="1"/>
    <col min="7" max="7" width="10.2265625" customWidth="1"/>
    <col min="8" max="8" width="9" customWidth="1"/>
    <col min="9" max="9" width="10.2265625" customWidth="1"/>
    <col min="10" max="10" width="9" customWidth="1"/>
    <col min="11" max="11" width="10.2265625" customWidth="1"/>
    <col min="12" max="12" width="9" customWidth="1"/>
    <col min="13" max="13" width="10.2265625" customWidth="1"/>
    <col min="14" max="14" width="9" customWidth="1"/>
    <col min="15" max="15" width="10.2265625" customWidth="1"/>
    <col min="16" max="16" width="9" customWidth="1"/>
    <col min="17" max="17" width="10.2265625" customWidth="1"/>
    <col min="18" max="18" width="9" customWidth="1"/>
    <col min="19" max="19" width="11.26953125" customWidth="1"/>
    <col min="20" max="20" width="10.08984375" customWidth="1"/>
    <col min="21" max="21" width="11.26953125" customWidth="1"/>
    <col min="22" max="22" width="10.08984375" customWidth="1"/>
    <col min="23" max="23" width="11.26953125" customWidth="1"/>
    <col min="24" max="24" width="10.08984375" customWidth="1"/>
    <col min="25" max="25" width="11.26953125" customWidth="1"/>
    <col min="26" max="26" width="10.08984375" customWidth="1"/>
    <col min="27" max="27" width="11.26953125" customWidth="1"/>
    <col min="28" max="28" width="10.08984375" customWidth="1"/>
    <col min="29" max="29" width="11.26953125" customWidth="1"/>
    <col min="30" max="30" width="10.08984375" customWidth="1"/>
    <col min="31" max="31" width="11.26953125" customWidth="1"/>
    <col min="32" max="32" width="10.08984375" customWidth="1"/>
    <col min="33" max="39" width="11.26953125" customWidth="1"/>
    <col min="40" max="40" width="13.26953125" bestFit="1" customWidth="1"/>
    <col min="41" max="41" width="11.26953125" customWidth="1"/>
  </cols>
  <sheetData>
    <row r="1" spans="1:41" ht="16.25" thickTop="1" thickBot="1" x14ac:dyDescent="0.9">
      <c r="B1" s="13" t="s">
        <v>13</v>
      </c>
      <c r="C1" s="15"/>
      <c r="D1" s="13" t="s">
        <v>14</v>
      </c>
      <c r="E1" s="15"/>
      <c r="F1" s="13" t="s">
        <v>15</v>
      </c>
      <c r="G1" s="15"/>
      <c r="H1" s="13" t="s">
        <v>16</v>
      </c>
      <c r="I1" s="15"/>
      <c r="J1" s="13" t="s">
        <v>17</v>
      </c>
      <c r="K1" s="15"/>
      <c r="L1" s="13" t="s">
        <v>18</v>
      </c>
      <c r="M1" s="15"/>
      <c r="N1" s="13" t="s">
        <v>19</v>
      </c>
      <c r="O1" s="15"/>
      <c r="P1" s="13" t="s">
        <v>20</v>
      </c>
      <c r="Q1" s="15"/>
      <c r="R1" s="13" t="s">
        <v>21</v>
      </c>
      <c r="S1" s="15"/>
      <c r="T1" s="13" t="s">
        <v>22</v>
      </c>
      <c r="U1" s="15"/>
      <c r="V1" s="13" t="s">
        <v>23</v>
      </c>
      <c r="W1" s="15"/>
      <c r="X1" s="13" t="s">
        <v>24</v>
      </c>
      <c r="Y1" s="15"/>
      <c r="Z1" s="13" t="s">
        <v>25</v>
      </c>
      <c r="AA1" s="15"/>
      <c r="AB1" s="13" t="s">
        <v>26</v>
      </c>
      <c r="AC1" s="15"/>
      <c r="AD1" s="13" t="s">
        <v>27</v>
      </c>
      <c r="AE1" s="15"/>
      <c r="AF1" s="13" t="s">
        <v>28</v>
      </c>
      <c r="AG1" s="15"/>
      <c r="AH1" s="16" t="s">
        <v>30</v>
      </c>
      <c r="AI1" s="16" t="s">
        <v>31</v>
      </c>
      <c r="AJ1" s="16" t="s">
        <v>32</v>
      </c>
      <c r="AK1" s="16" t="s">
        <v>33</v>
      </c>
      <c r="AL1" s="16" t="s">
        <v>34</v>
      </c>
      <c r="AM1" s="16" t="s">
        <v>35</v>
      </c>
      <c r="AN1" s="16" t="s">
        <v>64</v>
      </c>
      <c r="AO1" s="16" t="s">
        <v>63</v>
      </c>
    </row>
    <row r="2" spans="1:41" ht="16.25" thickTop="1" thickBot="1" x14ac:dyDescent="0.9">
      <c r="A2" t="s">
        <v>0</v>
      </c>
      <c r="B2" s="5" t="s">
        <v>29</v>
      </c>
      <c r="C2" s="5" t="s">
        <v>63</v>
      </c>
      <c r="D2" s="5" t="s">
        <v>29</v>
      </c>
      <c r="E2" s="5" t="s">
        <v>63</v>
      </c>
      <c r="F2" s="5" t="s">
        <v>29</v>
      </c>
      <c r="G2" s="5" t="s">
        <v>63</v>
      </c>
      <c r="H2" s="5" t="s">
        <v>29</v>
      </c>
      <c r="I2" s="5" t="s">
        <v>63</v>
      </c>
      <c r="J2" s="5" t="s">
        <v>29</v>
      </c>
      <c r="K2" s="5" t="s">
        <v>63</v>
      </c>
      <c r="L2" s="5" t="s">
        <v>29</v>
      </c>
      <c r="M2" s="5" t="s">
        <v>63</v>
      </c>
      <c r="N2" s="5" t="s">
        <v>29</v>
      </c>
      <c r="O2" s="5" t="s">
        <v>63</v>
      </c>
      <c r="P2" s="5" t="s">
        <v>29</v>
      </c>
      <c r="Q2" s="5" t="s">
        <v>63</v>
      </c>
      <c r="R2" s="5" t="s">
        <v>29</v>
      </c>
      <c r="S2" s="5" t="s">
        <v>63</v>
      </c>
      <c r="T2" s="5" t="s">
        <v>29</v>
      </c>
      <c r="U2" s="5" t="s">
        <v>63</v>
      </c>
      <c r="V2" s="5" t="s">
        <v>29</v>
      </c>
      <c r="W2" s="5" t="s">
        <v>63</v>
      </c>
      <c r="X2" s="5" t="s">
        <v>29</v>
      </c>
      <c r="Y2" s="5" t="s">
        <v>63</v>
      </c>
      <c r="Z2" s="5" t="s">
        <v>29</v>
      </c>
      <c r="AA2" s="5" t="s">
        <v>63</v>
      </c>
      <c r="AB2" s="5" t="s">
        <v>29</v>
      </c>
      <c r="AC2" s="5" t="s">
        <v>63</v>
      </c>
      <c r="AD2" s="5" t="s">
        <v>29</v>
      </c>
      <c r="AE2" s="5" t="s">
        <v>63</v>
      </c>
      <c r="AF2" s="5" t="s">
        <v>29</v>
      </c>
      <c r="AG2" s="5" t="s">
        <v>63</v>
      </c>
      <c r="AH2" s="17"/>
      <c r="AI2" s="17"/>
      <c r="AJ2" s="17"/>
      <c r="AK2" s="17"/>
      <c r="AL2" s="17"/>
      <c r="AM2" s="17"/>
      <c r="AN2" s="17"/>
      <c r="AO2" s="17"/>
    </row>
    <row r="3" spans="1:41" ht="16.25" thickTop="1" thickBot="1" x14ac:dyDescent="0.9">
      <c r="A3" s="1" t="s">
        <v>1</v>
      </c>
      <c r="B3" s="1">
        <f ca="1">INDEX(INDIRECT("'"&amp;$A3&amp;"'!$A$1:$W$30"),MATCH('All Positional Stats'!$A$2,INDIRECT("'"&amp;$A3&amp;"'!$A$1:$A$30"),0),MATCH('All Positional Stats'!B$1,INDIRECT("'"&amp;$A3&amp;"'!$A$1:$W$1"),0))</f>
        <v>18.5</v>
      </c>
      <c r="C3" s="1">
        <f ca="1">_xlfn.RANK.EQ(B3,B$3:B$14)</f>
        <v>5</v>
      </c>
      <c r="D3" s="1">
        <f ca="1">INDEX(INDIRECT("'"&amp;$A3&amp;"'!$A$1:$W$30"),MATCH('All Positional Stats'!$A$2,INDIRECT("'"&amp;$A3&amp;"'!$A$1:$A$30"),0),MATCH('All Positional Stats'!D$1,INDIRECT("'"&amp;$A3&amp;"'!$A$1:$W$1"),0))</f>
        <v>22.5</v>
      </c>
      <c r="E3" s="1">
        <f t="shared" ref="E3" ca="1" si="0">_xlfn.RANK.EQ(D3,D$3:D$14)</f>
        <v>4</v>
      </c>
      <c r="F3" s="1">
        <f ca="1">INDEX(INDIRECT("'"&amp;$A3&amp;"'!$A$1:$W$30"),MATCH('All Positional Stats'!$A$2,INDIRECT("'"&amp;$A3&amp;"'!$A$1:$A$30"),0),MATCH('All Positional Stats'!F$1,INDIRECT("'"&amp;$A3&amp;"'!$A$1:$W$1"),0))</f>
        <v>30.8</v>
      </c>
      <c r="G3" s="1">
        <f t="shared" ref="G3" ca="1" si="1">_xlfn.RANK.EQ(F3,F$3:F$14)</f>
        <v>3</v>
      </c>
      <c r="H3" s="1">
        <f ca="1">INDEX(INDIRECT("'"&amp;$A3&amp;"'!$A$1:$W$30"),MATCH('All Positional Stats'!$A$2,INDIRECT("'"&amp;$A3&amp;"'!$A$1:$A$30"),0),MATCH('All Positional Stats'!H$1,INDIRECT("'"&amp;$A3&amp;"'!$A$1:$W$1"),0))</f>
        <v>31.1</v>
      </c>
      <c r="I3" s="1">
        <f t="shared" ref="I3" ca="1" si="2">_xlfn.RANK.EQ(H3,H$3:H$14)</f>
        <v>3</v>
      </c>
      <c r="J3" s="1">
        <f ca="1">INDEX(INDIRECT("'"&amp;$A3&amp;"'!$A$1:$W$30"),MATCH('All Positional Stats'!$A$2,INDIRECT("'"&amp;$A3&amp;"'!$A$1:$A$30"),0),MATCH('All Positional Stats'!J$1,INDIRECT("'"&amp;$A3&amp;"'!$A$1:$W$1"),0))</f>
        <v>30</v>
      </c>
      <c r="K3" s="1">
        <f t="shared" ref="K3" ca="1" si="3">_xlfn.RANK.EQ(J3,J$3:J$14)</f>
        <v>4</v>
      </c>
      <c r="L3" s="1">
        <f ca="1">INDEX(INDIRECT("'"&amp;$A3&amp;"'!$A$1:$W$30"),MATCH('All Positional Stats'!$A$2,INDIRECT("'"&amp;$A3&amp;"'!$A$1:$A$30"),0),MATCH('All Positional Stats'!L$1,INDIRECT("'"&amp;$A3&amp;"'!$A$1:$W$1"),0))</f>
        <v>0.7</v>
      </c>
      <c r="M3" s="1">
        <f t="shared" ref="M3" ca="1" si="4">_xlfn.RANK.EQ(L3,L$3:L$14)</f>
        <v>12</v>
      </c>
      <c r="N3" s="1">
        <f ca="1">INDEX(INDIRECT("'"&amp;$A3&amp;"'!$A$1:$W$30"),MATCH('All Positional Stats'!$A$2,INDIRECT("'"&amp;$A3&amp;"'!$A$1:$A$30"),0),MATCH('All Positional Stats'!N$1,INDIRECT("'"&amp;$A3&amp;"'!$A$1:$W$1"),0))</f>
        <v>36</v>
      </c>
      <c r="O3" s="1">
        <f t="shared" ref="O3" ca="1" si="5">_xlfn.RANK.EQ(N3,N$3:N$14)</f>
        <v>2</v>
      </c>
      <c r="P3" s="1">
        <f ca="1">INDEX(INDIRECT("'"&amp;$A3&amp;"'!$A$1:$W$30"),MATCH('All Positional Stats'!$A$2,INDIRECT("'"&amp;$A3&amp;"'!$A$1:$A$30"),0),MATCH('All Positional Stats'!P$1,INDIRECT("'"&amp;$A3&amp;"'!$A$1:$W$1"),0))</f>
        <v>7.3</v>
      </c>
      <c r="Q3" s="1">
        <f t="shared" ref="Q3" ca="1" si="6">_xlfn.RANK.EQ(P3,P$3:P$14)</f>
        <v>12</v>
      </c>
      <c r="R3" s="1">
        <f ca="1">INDEX(INDIRECT("'"&amp;$A3&amp;"'!$A$1:$W$30"),MATCH('All Positional Stats'!$A$2,INDIRECT("'"&amp;$A3&amp;"'!$A$1:$A$30"),0),MATCH('All Positional Stats'!R$1,INDIRECT("'"&amp;$A3&amp;"'!$A$1:$W$1"),0))</f>
        <v>30.7</v>
      </c>
      <c r="S3" s="1">
        <f t="shared" ref="S3:AG4" ca="1" si="7">_xlfn.RANK.EQ(R3,R$3:R$14)</f>
        <v>4</v>
      </c>
      <c r="T3" s="1">
        <f ca="1">INDEX(INDIRECT("'"&amp;$A3&amp;"'!$A$1:$W$30"),MATCH('All Positional Stats'!$A$2,INDIRECT("'"&amp;$A3&amp;"'!$A$1:$A$30"),0),MATCH('All Positional Stats'!T$1,INDIRECT("'"&amp;$A3&amp;"'!$A$1:$W$1"),0))</f>
        <v>13.2</v>
      </c>
      <c r="U3" s="1">
        <f t="shared" ref="U3" ca="1" si="8">_xlfn.RANK.EQ(T3,T$3:T$14)</f>
        <v>10</v>
      </c>
      <c r="V3" s="1">
        <f ca="1">INDEX(INDIRECT("'"&amp;$A3&amp;"'!$A$1:$W$30"),MATCH('All Positional Stats'!$A$2,INDIRECT("'"&amp;$A3&amp;"'!$A$1:$A$30"),0),MATCH('All Positional Stats'!V$1,INDIRECT("'"&amp;$A3&amp;"'!$A$1:$W$1"),0))</f>
        <v>-1.2</v>
      </c>
      <c r="W3" s="1">
        <f t="shared" ref="W3" ca="1" si="9">_xlfn.RANK.EQ(V3,V$3:V$14)</f>
        <v>12</v>
      </c>
      <c r="X3" s="1">
        <f ca="1">INDEX(INDIRECT("'"&amp;$A3&amp;"'!$A$1:$W$30"),MATCH('All Positional Stats'!$A$2,INDIRECT("'"&amp;$A3&amp;"'!$A$1:$A$30"),0),MATCH('All Positional Stats'!X$1,INDIRECT("'"&amp;$A3&amp;"'!$A$1:$W$1"),0))</f>
        <v>3.2</v>
      </c>
      <c r="Y3" s="1">
        <f t="shared" ref="Y3" ca="1" si="10">_xlfn.RANK.EQ(X3,X$3:X$14)</f>
        <v>12</v>
      </c>
      <c r="Z3" s="1">
        <f ca="1">INDEX(INDIRECT("'"&amp;$A3&amp;"'!$A$1:$W$30"),MATCH('All Positional Stats'!$A$2,INDIRECT("'"&amp;$A3&amp;"'!$A$1:$A$30"),0),MATCH('All Positional Stats'!Z$1,INDIRECT("'"&amp;$A3&amp;"'!$A$1:$W$1"),0))</f>
        <v>18.899999999999999</v>
      </c>
      <c r="AA3" s="1">
        <f t="shared" ref="AA3" ca="1" si="11">_xlfn.RANK.EQ(Z3,Z$3:Z$14)</f>
        <v>6</v>
      </c>
      <c r="AB3" s="1">
        <f ca="1">INDEX(INDIRECT("'"&amp;$A3&amp;"'!$A$1:$W$30"),MATCH('All Positional Stats'!$A$2,INDIRECT("'"&amp;$A3&amp;"'!$A$1:$A$30"),0),MATCH('All Positional Stats'!AB$1,INDIRECT("'"&amp;$A3&amp;"'!$A$1:$W$1"),0))</f>
        <v>32.6</v>
      </c>
      <c r="AC3" s="1">
        <f t="shared" ref="AC3" ca="1" si="12">_xlfn.RANK.EQ(AB3,AB$3:AB$14)</f>
        <v>2</v>
      </c>
      <c r="AD3" s="1">
        <f ca="1">INDEX(INDIRECT("'"&amp;$A3&amp;"'!$A$1:$W$30"),MATCH('All Positional Stats'!$A$2,INDIRECT("'"&amp;$A3&amp;"'!$A$1:$A$30"),0),MATCH('All Positional Stats'!AD$1,INDIRECT("'"&amp;$A3&amp;"'!$A$1:$W$1"),0))</f>
        <v>13.7</v>
      </c>
      <c r="AE3" s="1">
        <f t="shared" ref="AE3" ca="1" si="13">_xlfn.RANK.EQ(AD3,AD$3:AD$14)</f>
        <v>11</v>
      </c>
      <c r="AF3" s="1">
        <f ca="1">INDEX(INDIRECT("'"&amp;$A3&amp;"'!$A$1:$W$30"),MATCH('All Positional Stats'!$A$2,INDIRECT("'"&amp;$A3&amp;"'!$A$1:$A$30"),0),MATCH('All Positional Stats'!AF$1,INDIRECT("'"&amp;$A3&amp;"'!$A$1:$W$1"),0))</f>
        <v>5.3</v>
      </c>
      <c r="AG3" s="1">
        <f t="shared" ref="AG3" ca="1" si="14">_xlfn.RANK.EQ(AF3,AF$3:AF$14)</f>
        <v>12</v>
      </c>
      <c r="AH3" s="1">
        <f ca="1">INDEX(INDIRECT("'"&amp;$A3&amp;"'!$A$1:$W$30"),MATCH('All Positional Stats'!$A$2,INDIRECT("'"&amp;$A3&amp;"'!$A$1:$A$30"),0),MATCH('All Positional Stats'!AH$1,INDIRECT("'"&amp;$A3&amp;"'!$A$1:$W$1"),0))</f>
        <v>-1.2</v>
      </c>
      <c r="AI3" s="1">
        <f ca="1">INDEX(INDIRECT("'"&amp;$A3&amp;"'!$A$1:$W$30"),MATCH('All Positional Stats'!$A$2,INDIRECT("'"&amp;$A3&amp;"'!$A$1:$A$30"),0),MATCH('All Positional Stats'!AI$1,INDIRECT("'"&amp;$A3&amp;"'!$A$1:$W$1"),0))</f>
        <v>36</v>
      </c>
      <c r="AJ3" s="7">
        <f ca="1">INDEX(INDIRECT("'"&amp;$A3&amp;"'!$A$1:$W$30"),MATCH('All Positional Stats'!$A$2,INDIRECT("'"&amp;$A3&amp;"'!$A$1:$A$30"),0),MATCH('All Positional Stats'!AJ$1,INDIRECT("'"&amp;$A3&amp;"'!$A$1:$W$1"),0))</f>
        <v>18.331250000000001</v>
      </c>
      <c r="AK3" s="7">
        <f ca="1">INDEX(INDIRECT("'"&amp;$A3&amp;"'!$A$1:$W$30"),MATCH('All Positional Stats'!$A$2,INDIRECT("'"&amp;$A3&amp;"'!$A$1:$A$30"),0),MATCH('All Positional Stats'!AK$1,INDIRECT("'"&amp;$A3&amp;"'!$A$1:$W$1"),0))</f>
        <v>12.251873262383183</v>
      </c>
      <c r="AL3" s="7">
        <f ca="1">INDEX(INDIRECT("'"&amp;$A3&amp;"'!$A$1:$W$30"),MATCH('All Positional Stats'!$A$2,INDIRECT("'"&amp;$A3&amp;"'!$A$1:$A$30"),0),MATCH('All Positional Stats'!AL$1,INDIRECT("'"&amp;$A3&amp;"'!$A$1:$W$1"),0))</f>
        <v>293.3</v>
      </c>
      <c r="AM3" s="6">
        <f ca="1">INDEX(INDIRECT("'"&amp;$A3&amp;"'!$A$1:$W$30"),MATCH('All Positional Stats'!$A$2,INDIRECT("'"&amp;$A3&amp;"'!$A$1:$A$30"),0),MATCH('All Positional Stats'!AM$1,INDIRECT("'"&amp;$A3&amp;"'!$A$1:$W$1"),0))</f>
        <v>0.215234460996551</v>
      </c>
      <c r="AN3" s="9">
        <f ca="1">SUMIF($B$17:$AA$17, "Points", B3:AA3)</f>
        <v>241.7</v>
      </c>
      <c r="AO3" s="8">
        <f ca="1">_xlfn.RANK.EQ(AN3,$AN$3:$AN$14)</f>
        <v>9</v>
      </c>
    </row>
    <row r="4" spans="1:41" ht="16.25" thickTop="1" thickBot="1" x14ac:dyDescent="0.9">
      <c r="A4" s="1" t="s">
        <v>2</v>
      </c>
      <c r="B4" s="1">
        <f ca="1">INDEX(INDIRECT("'"&amp;$A4&amp;"'!$A$1:$W$30"),MATCH('All Positional Stats'!$A$2,INDIRECT("'"&amp;$A4&amp;"'!$A$1:$A$30"),0),MATCH('All Positional Stats'!B$1,INDIRECT("'"&amp;$A4&amp;"'!$A$1:$W$1"),0))</f>
        <v>17.100000000000001</v>
      </c>
      <c r="C4" s="1">
        <f t="shared" ref="C4:Q14" ca="1" si="15">_xlfn.RANK.EQ(B4,B$3:B$14)</f>
        <v>7</v>
      </c>
      <c r="D4" s="1">
        <f ca="1">INDEX(INDIRECT("'"&amp;$A4&amp;"'!$A$1:$W$30"),MATCH('All Positional Stats'!$A$2,INDIRECT("'"&amp;$A4&amp;"'!$A$1:$A$30"),0),MATCH('All Positional Stats'!D$1,INDIRECT("'"&amp;$A4&amp;"'!$A$1:$W$1"),0))</f>
        <v>11.8</v>
      </c>
      <c r="E4" s="1">
        <f t="shared" ca="1" si="15"/>
        <v>12</v>
      </c>
      <c r="F4" s="1">
        <f ca="1">INDEX(INDIRECT("'"&amp;$A4&amp;"'!$A$1:$W$30"),MATCH('All Positional Stats'!$A$2,INDIRECT("'"&amp;$A4&amp;"'!$A$1:$A$30"),0),MATCH('All Positional Stats'!F$1,INDIRECT("'"&amp;$A4&amp;"'!$A$1:$W$1"),0))</f>
        <v>8.3000000000000007</v>
      </c>
      <c r="G4" s="1">
        <f t="shared" ca="1" si="15"/>
        <v>10</v>
      </c>
      <c r="H4" s="1">
        <f ca="1">INDEX(INDIRECT("'"&amp;$A4&amp;"'!$A$1:$W$30"),MATCH('All Positional Stats'!$A$2,INDIRECT("'"&amp;$A4&amp;"'!$A$1:$A$30"),0),MATCH('All Positional Stats'!H$1,INDIRECT("'"&amp;$A4&amp;"'!$A$1:$W$1"),0))</f>
        <v>14.5</v>
      </c>
      <c r="I4" s="1">
        <f t="shared" ca="1" si="15"/>
        <v>8</v>
      </c>
      <c r="J4" s="1">
        <f ca="1">INDEX(INDIRECT("'"&amp;$A4&amp;"'!$A$1:$W$30"),MATCH('All Positional Stats'!$A$2,INDIRECT("'"&amp;$A4&amp;"'!$A$1:$A$30"),0),MATCH('All Positional Stats'!J$1,INDIRECT("'"&amp;$A4&amp;"'!$A$1:$W$1"),0))</f>
        <v>10.9</v>
      </c>
      <c r="K4" s="1">
        <f t="shared" ca="1" si="15"/>
        <v>11</v>
      </c>
      <c r="L4" s="1">
        <f ca="1">INDEX(INDIRECT("'"&amp;$A4&amp;"'!$A$1:$W$30"),MATCH('All Positional Stats'!$A$2,INDIRECT("'"&amp;$A4&amp;"'!$A$1:$A$30"),0),MATCH('All Positional Stats'!L$1,INDIRECT("'"&amp;$A4&amp;"'!$A$1:$W$1"),0))</f>
        <v>24.3</v>
      </c>
      <c r="M4" s="1">
        <f t="shared" ca="1" si="15"/>
        <v>3</v>
      </c>
      <c r="N4" s="1">
        <f ca="1">INDEX(INDIRECT("'"&amp;$A4&amp;"'!$A$1:$W$30"),MATCH('All Positional Stats'!$A$2,INDIRECT("'"&amp;$A4&amp;"'!$A$1:$A$30"),0),MATCH('All Positional Stats'!N$1,INDIRECT("'"&amp;$A4&amp;"'!$A$1:$W$1"),0))</f>
        <v>30.5</v>
      </c>
      <c r="O4" s="1">
        <f t="shared" ca="1" si="15"/>
        <v>5</v>
      </c>
      <c r="P4" s="1">
        <f ca="1">INDEX(INDIRECT("'"&amp;$A4&amp;"'!$A$1:$W$30"),MATCH('All Positional Stats'!$A$2,INDIRECT("'"&amp;$A4&amp;"'!$A$1:$A$30"),0),MATCH('All Positional Stats'!P$1,INDIRECT("'"&amp;$A4&amp;"'!$A$1:$W$1"),0))</f>
        <v>21.5</v>
      </c>
      <c r="Q4" s="1">
        <f t="shared" ca="1" si="15"/>
        <v>4</v>
      </c>
      <c r="R4" s="1">
        <f ca="1">INDEX(INDIRECT("'"&amp;$A4&amp;"'!$A$1:$W$30"),MATCH('All Positional Stats'!$A$2,INDIRECT("'"&amp;$A4&amp;"'!$A$1:$A$30"),0),MATCH('All Positional Stats'!R$1,INDIRECT("'"&amp;$A4&amp;"'!$A$1:$W$1"),0))</f>
        <v>36.4</v>
      </c>
      <c r="S4" s="1">
        <f t="shared" ca="1" si="7"/>
        <v>1</v>
      </c>
      <c r="T4" s="1">
        <f ca="1">INDEX(INDIRECT("'"&amp;$A4&amp;"'!$A$1:$W$30"),MATCH('All Positional Stats'!$A$2,INDIRECT("'"&amp;$A4&amp;"'!$A$1:$A$30"),0),MATCH('All Positional Stats'!T$1,INDIRECT("'"&amp;$A4&amp;"'!$A$1:$W$1"),0))</f>
        <v>32.5</v>
      </c>
      <c r="U4" s="1">
        <f t="shared" ca="1" si="7"/>
        <v>2</v>
      </c>
      <c r="V4" s="1">
        <f ca="1">INDEX(INDIRECT("'"&amp;$A4&amp;"'!$A$1:$W$30"),MATCH('All Positional Stats'!$A$2,INDIRECT("'"&amp;$A4&amp;"'!$A$1:$A$30"),0),MATCH('All Positional Stats'!V$1,INDIRECT("'"&amp;$A4&amp;"'!$A$1:$W$1"),0))</f>
        <v>9.8000000000000007</v>
      </c>
      <c r="W4" s="1">
        <f t="shared" ca="1" si="7"/>
        <v>9</v>
      </c>
      <c r="X4" s="1">
        <f ca="1">INDEX(INDIRECT("'"&amp;$A4&amp;"'!$A$1:$W$30"),MATCH('All Positional Stats'!$A$2,INDIRECT("'"&amp;$A4&amp;"'!$A$1:$A$30"),0),MATCH('All Positional Stats'!X$1,INDIRECT("'"&amp;$A4&amp;"'!$A$1:$W$1"),0))</f>
        <v>23.9</v>
      </c>
      <c r="Y4" s="1">
        <f t="shared" ca="1" si="7"/>
        <v>3</v>
      </c>
      <c r="Z4" s="1">
        <f ca="1">INDEX(INDIRECT("'"&amp;$A4&amp;"'!$A$1:$W$30"),MATCH('All Positional Stats'!$A$2,INDIRECT("'"&amp;$A4&amp;"'!$A$1:$A$30"),0),MATCH('All Positional Stats'!Z$1,INDIRECT("'"&amp;$A4&amp;"'!$A$1:$W$1"),0))</f>
        <v>19</v>
      </c>
      <c r="AA4" s="1">
        <f t="shared" ca="1" si="7"/>
        <v>5</v>
      </c>
      <c r="AB4" s="1">
        <f ca="1">INDEX(INDIRECT("'"&amp;$A4&amp;"'!$A$1:$W$30"),MATCH('All Positional Stats'!$A$2,INDIRECT("'"&amp;$A4&amp;"'!$A$1:$A$30"),0),MATCH('All Positional Stats'!AB$1,INDIRECT("'"&amp;$A4&amp;"'!$A$1:$W$1"),0))</f>
        <v>18.2</v>
      </c>
      <c r="AC4" s="1">
        <f t="shared" ca="1" si="7"/>
        <v>6</v>
      </c>
      <c r="AD4" s="1">
        <f ca="1">INDEX(INDIRECT("'"&amp;$A4&amp;"'!$A$1:$W$30"),MATCH('All Positional Stats'!$A$2,INDIRECT("'"&amp;$A4&amp;"'!$A$1:$A$30"),0),MATCH('All Positional Stats'!AD$1,INDIRECT("'"&amp;$A4&amp;"'!$A$1:$W$1"),0))</f>
        <v>14.8</v>
      </c>
      <c r="AE4" s="1">
        <f t="shared" ca="1" si="7"/>
        <v>10</v>
      </c>
      <c r="AF4" s="1">
        <f ca="1">INDEX(INDIRECT("'"&amp;$A4&amp;"'!$A$1:$W$30"),MATCH('All Positional Stats'!$A$2,INDIRECT("'"&amp;$A4&amp;"'!$A$1:$A$30"),0),MATCH('All Positional Stats'!AF$1,INDIRECT("'"&amp;$A4&amp;"'!$A$1:$W$1"),0))</f>
        <v>33.4</v>
      </c>
      <c r="AG4" s="1">
        <f t="shared" ca="1" si="7"/>
        <v>1</v>
      </c>
      <c r="AH4" s="1">
        <f ca="1">INDEX(INDIRECT("'"&amp;$A4&amp;"'!$A$1:$W$30"),MATCH('All Positional Stats'!$A$2,INDIRECT("'"&amp;$A4&amp;"'!$A$1:$A$30"),0),MATCH('All Positional Stats'!AH$1,INDIRECT("'"&amp;$A4&amp;"'!$A$1:$W$1"),0))</f>
        <v>8.3000000000000007</v>
      </c>
      <c r="AI4" s="1">
        <f ca="1">INDEX(INDIRECT("'"&amp;$A4&amp;"'!$A$1:$W$30"),MATCH('All Positional Stats'!$A$2,INDIRECT("'"&amp;$A4&amp;"'!$A$1:$A$30"),0),MATCH('All Positional Stats'!AI$1,INDIRECT("'"&amp;$A4&amp;"'!$A$1:$W$1"),0))</f>
        <v>36.4</v>
      </c>
      <c r="AJ4" s="7">
        <f ca="1">INDEX(INDIRECT("'"&amp;$A4&amp;"'!$A$1:$W$30"),MATCH('All Positional Stats'!$A$2,INDIRECT("'"&amp;$A4&amp;"'!$A$1:$A$30"),0),MATCH('All Positional Stats'!AJ$1,INDIRECT("'"&amp;$A4&amp;"'!$A$1:$W$1"),0))</f>
        <v>20.431249999999999</v>
      </c>
      <c r="AK4" s="7">
        <f ca="1">INDEX(INDIRECT("'"&amp;$A4&amp;"'!$A$1:$W$30"),MATCH('All Positional Stats'!$A$2,INDIRECT("'"&amp;$A4&amp;"'!$A$1:$A$30"),0),MATCH('All Positional Stats'!AK$1,INDIRECT("'"&amp;$A4&amp;"'!$A$1:$W$1"),0))</f>
        <v>8.6923614994718221</v>
      </c>
      <c r="AL4" s="7">
        <f ca="1">INDEX(INDIRECT("'"&amp;$A4&amp;"'!$A$1:$W$30"),MATCH('All Positional Stats'!$A$2,INDIRECT("'"&amp;$A4&amp;"'!$A$1:$A$30"),0),MATCH('All Positional Stats'!AL$1,INDIRECT("'"&amp;$A4&amp;"'!$A$1:$W$1"),0))</f>
        <v>326.89999999999998</v>
      </c>
      <c r="AM4" s="6">
        <f ca="1">INDEX(INDIRECT("'"&amp;$A4&amp;"'!$A$1:$W$30"),MATCH('All Positional Stats'!$A$2,INDIRECT("'"&amp;$A4&amp;"'!$A$1:$A$30"),0),MATCH('All Positional Stats'!AM$1,INDIRECT("'"&amp;$A4&amp;"'!$A$1:$W$1"),0))</f>
        <v>0.21697862737289261</v>
      </c>
      <c r="AN4" s="9">
        <f t="shared" ref="AN4:AN14" ca="1" si="16">SUMIF($B$17:$AA$17, "Points", B4:AA4)</f>
        <v>260.5</v>
      </c>
      <c r="AO4" s="8">
        <f t="shared" ref="AO4:AO14" ca="1" si="17">_xlfn.RANK.EQ(AN4,$AN$3:$AN$14)</f>
        <v>6</v>
      </c>
    </row>
    <row r="5" spans="1:41" ht="16.25" thickTop="1" thickBot="1" x14ac:dyDescent="0.9">
      <c r="A5" s="1" t="s">
        <v>3</v>
      </c>
      <c r="B5" s="1">
        <f ca="1">INDEX(INDIRECT("'"&amp;$A5&amp;"'!$A$1:$W$30"),MATCH('All Positional Stats'!$A$2,INDIRECT("'"&amp;$A5&amp;"'!$A$1:$A$30"),0),MATCH('All Positional Stats'!B$1,INDIRECT("'"&amp;$A5&amp;"'!$A$1:$W$1"),0))</f>
        <v>19.7</v>
      </c>
      <c r="C5" s="1">
        <f t="shared" ca="1" si="15"/>
        <v>4</v>
      </c>
      <c r="D5" s="1">
        <f ca="1">INDEX(INDIRECT("'"&amp;$A5&amp;"'!$A$1:$W$30"),MATCH('All Positional Stats'!$A$2,INDIRECT("'"&amp;$A5&amp;"'!$A$1:$A$30"),0),MATCH('All Positional Stats'!D$1,INDIRECT("'"&amp;$A5&amp;"'!$A$1:$W$1"),0))</f>
        <v>21.5</v>
      </c>
      <c r="E5" s="1">
        <f t="shared" ref="E5:AG14" ca="1" si="18">_xlfn.RANK.EQ(D5,D$3:D$14)</f>
        <v>5</v>
      </c>
      <c r="F5" s="1">
        <f ca="1">INDEX(INDIRECT("'"&amp;$A5&amp;"'!$A$1:$W$30"),MATCH('All Positional Stats'!$A$2,INDIRECT("'"&amp;$A5&amp;"'!$A$1:$A$30"),0),MATCH('All Positional Stats'!F$1,INDIRECT("'"&amp;$A5&amp;"'!$A$1:$W$1"),0))</f>
        <v>14</v>
      </c>
      <c r="G5" s="1">
        <f t="shared" ca="1" si="18"/>
        <v>8</v>
      </c>
      <c r="H5" s="1">
        <f ca="1">INDEX(INDIRECT("'"&amp;$A5&amp;"'!$A$1:$W$30"),MATCH('All Positional Stats'!$A$2,INDIRECT("'"&amp;$A5&amp;"'!$A$1:$A$30"),0),MATCH('All Positional Stats'!H$1,INDIRECT("'"&amp;$A5&amp;"'!$A$1:$W$1"),0))</f>
        <v>12.5</v>
      </c>
      <c r="I5" s="1">
        <f t="shared" ca="1" si="18"/>
        <v>10</v>
      </c>
      <c r="J5" s="1">
        <f ca="1">INDEX(INDIRECT("'"&amp;$A5&amp;"'!$A$1:$W$30"),MATCH('All Positional Stats'!$A$2,INDIRECT("'"&amp;$A5&amp;"'!$A$1:$A$30"),0),MATCH('All Positional Stats'!J$1,INDIRECT("'"&amp;$A5&amp;"'!$A$1:$W$1"),0))</f>
        <v>2.6</v>
      </c>
      <c r="K5" s="1">
        <f t="shared" ca="1" si="18"/>
        <v>12</v>
      </c>
      <c r="L5" s="1">
        <f ca="1">INDEX(INDIRECT("'"&amp;$A5&amp;"'!$A$1:$W$30"),MATCH('All Positional Stats'!$A$2,INDIRECT("'"&amp;$A5&amp;"'!$A$1:$A$30"),0),MATCH('All Positional Stats'!L$1,INDIRECT("'"&amp;$A5&amp;"'!$A$1:$W$1"),0))</f>
        <v>22.7</v>
      </c>
      <c r="M5" s="1">
        <f t="shared" ca="1" si="18"/>
        <v>4</v>
      </c>
      <c r="N5" s="1">
        <f ca="1">INDEX(INDIRECT("'"&amp;$A5&amp;"'!$A$1:$W$30"),MATCH('All Positional Stats'!$A$2,INDIRECT("'"&amp;$A5&amp;"'!$A$1:$A$30"),0),MATCH('All Positional Stats'!N$1,INDIRECT("'"&amp;$A5&amp;"'!$A$1:$W$1"),0))</f>
        <v>7.4</v>
      </c>
      <c r="O5" s="1">
        <f t="shared" ca="1" si="18"/>
        <v>11</v>
      </c>
      <c r="P5" s="1">
        <f ca="1">INDEX(INDIRECT("'"&amp;$A5&amp;"'!$A$1:$W$30"),MATCH('All Positional Stats'!$A$2,INDIRECT("'"&amp;$A5&amp;"'!$A$1:$A$30"),0),MATCH('All Positional Stats'!P$1,INDIRECT("'"&amp;$A5&amp;"'!$A$1:$W$1"),0))</f>
        <v>14.6</v>
      </c>
      <c r="Q5" s="1">
        <f t="shared" ca="1" si="18"/>
        <v>9</v>
      </c>
      <c r="R5" s="1">
        <f ca="1">INDEX(INDIRECT("'"&amp;$A5&amp;"'!$A$1:$W$30"),MATCH('All Positional Stats'!$A$2,INDIRECT("'"&amp;$A5&amp;"'!$A$1:$A$30"),0),MATCH('All Positional Stats'!R$1,INDIRECT("'"&amp;$A5&amp;"'!$A$1:$W$1"),0))</f>
        <v>20.100000000000001</v>
      </c>
      <c r="S5" s="1">
        <f t="shared" ca="1" si="18"/>
        <v>10</v>
      </c>
      <c r="T5" s="1">
        <f ca="1">INDEX(INDIRECT("'"&amp;$A5&amp;"'!$A$1:$W$30"),MATCH('All Positional Stats'!$A$2,INDIRECT("'"&amp;$A5&amp;"'!$A$1:$A$30"),0),MATCH('All Positional Stats'!T$1,INDIRECT("'"&amp;$A5&amp;"'!$A$1:$W$1"),0))</f>
        <v>43.7</v>
      </c>
      <c r="U5" s="1">
        <f t="shared" ca="1" si="18"/>
        <v>1</v>
      </c>
      <c r="V5" s="1">
        <f ca="1">INDEX(INDIRECT("'"&amp;$A5&amp;"'!$A$1:$W$30"),MATCH('All Positional Stats'!$A$2,INDIRECT("'"&amp;$A5&amp;"'!$A$1:$A$30"),0),MATCH('All Positional Stats'!V$1,INDIRECT("'"&amp;$A5&amp;"'!$A$1:$W$1"),0))</f>
        <v>37</v>
      </c>
      <c r="W5" s="1">
        <f t="shared" ca="1" si="18"/>
        <v>1</v>
      </c>
      <c r="X5" s="1">
        <f ca="1">INDEX(INDIRECT("'"&amp;$A5&amp;"'!$A$1:$W$30"),MATCH('All Positional Stats'!$A$2,INDIRECT("'"&amp;$A5&amp;"'!$A$1:$A$30"),0),MATCH('All Positional Stats'!X$1,INDIRECT("'"&amp;$A5&amp;"'!$A$1:$W$1"),0))</f>
        <v>17.5</v>
      </c>
      <c r="Y5" s="1">
        <f t="shared" ca="1" si="18"/>
        <v>6</v>
      </c>
      <c r="Z5" s="1">
        <f ca="1">INDEX(INDIRECT("'"&amp;$A5&amp;"'!$A$1:$W$30"),MATCH('All Positional Stats'!$A$2,INDIRECT("'"&amp;$A5&amp;"'!$A$1:$A$30"),0),MATCH('All Positional Stats'!Z$1,INDIRECT("'"&amp;$A5&amp;"'!$A$1:$W$1"),0))</f>
        <v>24.4</v>
      </c>
      <c r="AA5" s="1">
        <f t="shared" ca="1" si="18"/>
        <v>3</v>
      </c>
      <c r="AB5" s="1">
        <f ca="1">INDEX(INDIRECT("'"&amp;$A5&amp;"'!$A$1:$W$30"),MATCH('All Positional Stats'!$A$2,INDIRECT("'"&amp;$A5&amp;"'!$A$1:$A$30"),0),MATCH('All Positional Stats'!AB$1,INDIRECT("'"&amp;$A5&amp;"'!$A$1:$W$1"),0))</f>
        <v>16.5</v>
      </c>
      <c r="AC5" s="1">
        <f t="shared" ca="1" si="18"/>
        <v>7</v>
      </c>
      <c r="AD5" s="1">
        <f ca="1">INDEX(INDIRECT("'"&amp;$A5&amp;"'!$A$1:$W$30"),MATCH('All Positional Stats'!$A$2,INDIRECT("'"&amp;$A5&amp;"'!$A$1:$A$30"),0),MATCH('All Positional Stats'!AD$1,INDIRECT("'"&amp;$A5&amp;"'!$A$1:$W$1"),0))</f>
        <v>22.2</v>
      </c>
      <c r="AE5" s="1">
        <f t="shared" ca="1" si="18"/>
        <v>6</v>
      </c>
      <c r="AF5" s="1">
        <f ca="1">INDEX(INDIRECT("'"&amp;$A5&amp;"'!$A$1:$W$30"),MATCH('All Positional Stats'!$A$2,INDIRECT("'"&amp;$A5&amp;"'!$A$1:$A$30"),0),MATCH('All Positional Stats'!AF$1,INDIRECT("'"&amp;$A5&amp;"'!$A$1:$W$1"),0))</f>
        <v>20.9</v>
      </c>
      <c r="AG5" s="1">
        <f t="shared" ca="1" si="18"/>
        <v>3</v>
      </c>
      <c r="AH5" s="1">
        <f ca="1">INDEX(INDIRECT("'"&amp;$A5&amp;"'!$A$1:$W$30"),MATCH('All Positional Stats'!$A$2,INDIRECT("'"&amp;$A5&amp;"'!$A$1:$A$30"),0),MATCH('All Positional Stats'!AH$1,INDIRECT("'"&amp;$A5&amp;"'!$A$1:$W$1"),0))</f>
        <v>2.6</v>
      </c>
      <c r="AI5" s="1">
        <f ca="1">INDEX(INDIRECT("'"&amp;$A5&amp;"'!$A$1:$W$30"),MATCH('All Positional Stats'!$A$2,INDIRECT("'"&amp;$A5&amp;"'!$A$1:$A$30"),0),MATCH('All Positional Stats'!AI$1,INDIRECT("'"&amp;$A5&amp;"'!$A$1:$W$1"),0))</f>
        <v>43.7</v>
      </c>
      <c r="AJ5" s="7">
        <f ca="1">INDEX(INDIRECT("'"&amp;$A5&amp;"'!$A$1:$W$30"),MATCH('All Positional Stats'!$A$2,INDIRECT("'"&amp;$A5&amp;"'!$A$1:$A$30"),0),MATCH('All Positional Stats'!AJ$1,INDIRECT("'"&amp;$A5&amp;"'!$A$1:$W$1"),0))</f>
        <v>19.831249999999997</v>
      </c>
      <c r="AK5" s="7">
        <f ca="1">INDEX(INDIRECT("'"&amp;$A5&amp;"'!$A$1:$W$30"),MATCH('All Positional Stats'!$A$2,INDIRECT("'"&amp;$A5&amp;"'!$A$1:$A$30"),0),MATCH('All Positional Stats'!AK$1,INDIRECT("'"&amp;$A5&amp;"'!$A$1:$W$1"),0))</f>
        <v>9.6381869891333896</v>
      </c>
      <c r="AL5" s="7">
        <f ca="1">INDEX(INDIRECT("'"&amp;$A5&amp;"'!$A$1:$W$30"),MATCH('All Positional Stats'!$A$2,INDIRECT("'"&amp;$A5&amp;"'!$A$1:$A$30"),0),MATCH('All Positional Stats'!AL$1,INDIRECT("'"&amp;$A5&amp;"'!$A$1:$W$1"),0))</f>
        <v>317.29999999999995</v>
      </c>
      <c r="AM5" s="6">
        <f ca="1">INDEX(INDIRECT("'"&amp;$A5&amp;"'!$A$1:$W$30"),MATCH('All Positional Stats'!$A$2,INDIRECT("'"&amp;$A5&amp;"'!$A$1:$A$30"),0),MATCH('All Positional Stats'!AM$1,INDIRECT("'"&amp;$A5&amp;"'!$A$1:$W$1"),0))</f>
        <v>0.21937223451327431</v>
      </c>
      <c r="AN5" s="9">
        <f t="shared" ca="1" si="16"/>
        <v>257.7</v>
      </c>
      <c r="AO5" s="8">
        <f t="shared" ca="1" si="17"/>
        <v>8</v>
      </c>
    </row>
    <row r="6" spans="1:41" ht="16.25" thickTop="1" thickBot="1" x14ac:dyDescent="0.9">
      <c r="A6" s="1" t="s">
        <v>4</v>
      </c>
      <c r="B6" s="1">
        <f ca="1">INDEX(INDIRECT("'"&amp;$A6&amp;"'!$A$1:$W$30"),MATCH('All Positional Stats'!$A$2,INDIRECT("'"&amp;$A6&amp;"'!$A$1:$A$30"),0),MATCH('All Positional Stats'!B$1,INDIRECT("'"&amp;$A6&amp;"'!$A$1:$W$1"),0))</f>
        <v>19.899999999999999</v>
      </c>
      <c r="C6" s="1">
        <f t="shared" ca="1" si="15"/>
        <v>3</v>
      </c>
      <c r="D6" s="1">
        <f ca="1">INDEX(INDIRECT("'"&amp;$A6&amp;"'!$A$1:$W$30"),MATCH('All Positional Stats'!$A$2,INDIRECT("'"&amp;$A6&amp;"'!$A$1:$A$30"),0),MATCH('All Positional Stats'!D$1,INDIRECT("'"&amp;$A6&amp;"'!$A$1:$W$1"),0))</f>
        <v>16.899999999999999</v>
      </c>
      <c r="E6" s="1">
        <f t="shared" ca="1" si="18"/>
        <v>8</v>
      </c>
      <c r="F6" s="1">
        <f ca="1">INDEX(INDIRECT("'"&amp;$A6&amp;"'!$A$1:$W$30"),MATCH('All Positional Stats'!$A$2,INDIRECT("'"&amp;$A6&amp;"'!$A$1:$A$30"),0),MATCH('All Positional Stats'!F$1,INDIRECT("'"&amp;$A6&amp;"'!$A$1:$W$1"),0))</f>
        <v>17.7</v>
      </c>
      <c r="G6" s="1">
        <f t="shared" ca="1" si="18"/>
        <v>7</v>
      </c>
      <c r="H6" s="1">
        <f ca="1">INDEX(INDIRECT("'"&amp;$A6&amp;"'!$A$1:$W$30"),MATCH('All Positional Stats'!$A$2,INDIRECT("'"&amp;$A6&amp;"'!$A$1:$A$30"),0),MATCH('All Positional Stats'!H$1,INDIRECT("'"&amp;$A6&amp;"'!$A$1:$W$1"),0))</f>
        <v>10.5</v>
      </c>
      <c r="I6" s="1">
        <f t="shared" ca="1" si="18"/>
        <v>12</v>
      </c>
      <c r="J6" s="1">
        <f ca="1">INDEX(INDIRECT("'"&amp;$A6&amp;"'!$A$1:$W$30"),MATCH('All Positional Stats'!$A$2,INDIRECT("'"&amp;$A6&amp;"'!$A$1:$A$30"),0),MATCH('All Positional Stats'!J$1,INDIRECT("'"&amp;$A6&amp;"'!$A$1:$W$1"),0))</f>
        <v>17.600000000000001</v>
      </c>
      <c r="K6" s="1">
        <f t="shared" ca="1" si="18"/>
        <v>8</v>
      </c>
      <c r="L6" s="1">
        <f ca="1">INDEX(INDIRECT("'"&amp;$A6&amp;"'!$A$1:$W$30"),MATCH('All Positional Stats'!$A$2,INDIRECT("'"&amp;$A6&amp;"'!$A$1:$A$30"),0),MATCH('All Positional Stats'!L$1,INDIRECT("'"&amp;$A6&amp;"'!$A$1:$W$1"),0))</f>
        <v>29.3</v>
      </c>
      <c r="M6" s="1">
        <f t="shared" ca="1" si="18"/>
        <v>2</v>
      </c>
      <c r="N6" s="1">
        <f ca="1">INDEX(INDIRECT("'"&amp;$A6&amp;"'!$A$1:$W$30"),MATCH('All Positional Stats'!$A$2,INDIRECT("'"&amp;$A6&amp;"'!$A$1:$A$30"),0),MATCH('All Positional Stats'!N$1,INDIRECT("'"&amp;$A6&amp;"'!$A$1:$W$1"),0))</f>
        <v>2.9</v>
      </c>
      <c r="O6" s="1">
        <f t="shared" ca="1" si="18"/>
        <v>12</v>
      </c>
      <c r="P6" s="1">
        <f ca="1">INDEX(INDIRECT("'"&amp;$A6&amp;"'!$A$1:$W$30"),MATCH('All Positional Stats'!$A$2,INDIRECT("'"&amp;$A6&amp;"'!$A$1:$A$30"),0),MATCH('All Positional Stats'!P$1,INDIRECT("'"&amp;$A6&amp;"'!$A$1:$W$1"),0))</f>
        <v>40.799999999999997</v>
      </c>
      <c r="Q6" s="1">
        <f t="shared" ca="1" si="18"/>
        <v>2</v>
      </c>
      <c r="R6" s="1">
        <f ca="1">INDEX(INDIRECT("'"&amp;$A6&amp;"'!$A$1:$W$30"),MATCH('All Positional Stats'!$A$2,INDIRECT("'"&amp;$A6&amp;"'!$A$1:$A$30"),0),MATCH('All Positional Stats'!R$1,INDIRECT("'"&amp;$A6&amp;"'!$A$1:$W$1"),0))</f>
        <v>23.5</v>
      </c>
      <c r="S6" s="1">
        <f t="shared" ca="1" si="18"/>
        <v>6</v>
      </c>
      <c r="T6" s="1">
        <f ca="1">INDEX(INDIRECT("'"&amp;$A6&amp;"'!$A$1:$W$30"),MATCH('All Positional Stats'!$A$2,INDIRECT("'"&amp;$A6&amp;"'!$A$1:$A$30"),0),MATCH('All Positional Stats'!T$1,INDIRECT("'"&amp;$A6&amp;"'!$A$1:$W$1"),0))</f>
        <v>12.4</v>
      </c>
      <c r="U6" s="1">
        <f t="shared" ca="1" si="18"/>
        <v>11</v>
      </c>
      <c r="V6" s="1">
        <f ca="1">INDEX(INDIRECT("'"&amp;$A6&amp;"'!$A$1:$W$30"),MATCH('All Positional Stats'!$A$2,INDIRECT("'"&amp;$A6&amp;"'!$A$1:$A$30"),0),MATCH('All Positional Stats'!V$1,INDIRECT("'"&amp;$A6&amp;"'!$A$1:$W$1"),0))</f>
        <v>23.9</v>
      </c>
      <c r="W6" s="1">
        <f t="shared" ca="1" si="18"/>
        <v>6</v>
      </c>
      <c r="X6" s="1">
        <f ca="1">INDEX(INDIRECT("'"&amp;$A6&amp;"'!$A$1:$W$30"),MATCH('All Positional Stats'!$A$2,INDIRECT("'"&amp;$A6&amp;"'!$A$1:$A$30"),0),MATCH('All Positional Stats'!X$1,INDIRECT("'"&amp;$A6&amp;"'!$A$1:$W$1"),0))</f>
        <v>13.3</v>
      </c>
      <c r="Y6" s="1">
        <f t="shared" ca="1" si="18"/>
        <v>10</v>
      </c>
      <c r="Z6" s="1">
        <f ca="1">INDEX(INDIRECT("'"&amp;$A6&amp;"'!$A$1:$W$30"),MATCH('All Positional Stats'!$A$2,INDIRECT("'"&amp;$A6&amp;"'!$A$1:$A$30"),0),MATCH('All Positional Stats'!Z$1,INDIRECT("'"&amp;$A6&amp;"'!$A$1:$W$1"),0))</f>
        <v>12</v>
      </c>
      <c r="AA6" s="1">
        <f t="shared" ca="1" si="18"/>
        <v>9</v>
      </c>
      <c r="AB6" s="1">
        <f ca="1">INDEX(INDIRECT("'"&amp;$A6&amp;"'!$A$1:$W$30"),MATCH('All Positional Stats'!$A$2,INDIRECT("'"&amp;$A6&amp;"'!$A$1:$A$30"),0),MATCH('All Positional Stats'!AB$1,INDIRECT("'"&amp;$A6&amp;"'!$A$1:$W$1"),0))</f>
        <v>8.3000000000000007</v>
      </c>
      <c r="AC6" s="1">
        <f t="shared" ca="1" si="18"/>
        <v>12</v>
      </c>
      <c r="AD6" s="1">
        <f ca="1">INDEX(INDIRECT("'"&amp;$A6&amp;"'!$A$1:$W$30"),MATCH('All Positional Stats'!$A$2,INDIRECT("'"&amp;$A6&amp;"'!$A$1:$A$30"),0),MATCH('All Positional Stats'!AD$1,INDIRECT("'"&amp;$A6&amp;"'!$A$1:$W$1"),0))</f>
        <v>31</v>
      </c>
      <c r="AE6" s="1">
        <f t="shared" ca="1" si="18"/>
        <v>2</v>
      </c>
      <c r="AF6" s="1">
        <f ca="1">INDEX(INDIRECT("'"&amp;$A6&amp;"'!$A$1:$W$30"),MATCH('All Positional Stats'!$A$2,INDIRECT("'"&amp;$A6&amp;"'!$A$1:$A$30"),0),MATCH('All Positional Stats'!AF$1,INDIRECT("'"&amp;$A6&amp;"'!$A$1:$W$1"),0))</f>
        <v>26.4</v>
      </c>
      <c r="AG6" s="1">
        <f t="shared" ca="1" si="18"/>
        <v>2</v>
      </c>
      <c r="AH6" s="1">
        <f ca="1">INDEX(INDIRECT("'"&amp;$A6&amp;"'!$A$1:$W$30"),MATCH('All Positional Stats'!$A$2,INDIRECT("'"&amp;$A6&amp;"'!$A$1:$A$30"),0),MATCH('All Positional Stats'!AH$1,INDIRECT("'"&amp;$A6&amp;"'!$A$1:$W$1"),0))</f>
        <v>2.9</v>
      </c>
      <c r="AI6" s="1">
        <f ca="1">INDEX(INDIRECT("'"&amp;$A6&amp;"'!$A$1:$W$30"),MATCH('All Positional Stats'!$A$2,INDIRECT("'"&amp;$A6&amp;"'!$A$1:$A$30"),0),MATCH('All Positional Stats'!AI$1,INDIRECT("'"&amp;$A6&amp;"'!$A$1:$W$1"),0))</f>
        <v>40.799999999999997</v>
      </c>
      <c r="AJ6" s="7">
        <f ca="1">INDEX(INDIRECT("'"&amp;$A6&amp;"'!$A$1:$W$30"),MATCH('All Positional Stats'!$A$2,INDIRECT("'"&amp;$A6&amp;"'!$A$1:$A$30"),0),MATCH('All Positional Stats'!AJ$1,INDIRECT("'"&amp;$A6&amp;"'!$A$1:$W$1"),0))</f>
        <v>19.149999999999999</v>
      </c>
      <c r="AK6" s="7">
        <f ca="1">INDEX(INDIRECT("'"&amp;$A6&amp;"'!$A$1:$W$30"),MATCH('All Positional Stats'!$A$2,INDIRECT("'"&amp;$A6&amp;"'!$A$1:$A$30"),0),MATCH('All Positional Stats'!AK$1,INDIRECT("'"&amp;$A6&amp;"'!$A$1:$W$1"),0))</f>
        <v>9.3670299455056742</v>
      </c>
      <c r="AL6" s="7">
        <f ca="1">INDEX(INDIRECT("'"&amp;$A6&amp;"'!$A$1:$W$30"),MATCH('All Positional Stats'!$A$2,INDIRECT("'"&amp;$A6&amp;"'!$A$1:$A$30"),0),MATCH('All Positional Stats'!AL$1,INDIRECT("'"&amp;$A6&amp;"'!$A$1:$W$1"),0))</f>
        <v>306.39999999999998</v>
      </c>
      <c r="AM6" s="6">
        <f ca="1">INDEX(INDIRECT("'"&amp;$A6&amp;"'!$A$1:$W$30"),MATCH('All Positional Stats'!$A$2,INDIRECT("'"&amp;$A6&amp;"'!$A$1:$A$30"),0),MATCH('All Positional Stats'!AM$1,INDIRECT("'"&amp;$A6&amp;"'!$A$1:$W$1"),0))</f>
        <v>0.19724475344405815</v>
      </c>
      <c r="AN6" s="9">
        <f t="shared" ca="1" si="16"/>
        <v>240.70000000000002</v>
      </c>
      <c r="AO6" s="8">
        <f t="shared" ca="1" si="17"/>
        <v>10</v>
      </c>
    </row>
    <row r="7" spans="1:41" ht="16.25" thickTop="1" thickBot="1" x14ac:dyDescent="0.9">
      <c r="A7" s="1" t="s">
        <v>5</v>
      </c>
      <c r="B7" s="1">
        <f ca="1">INDEX(INDIRECT("'"&amp;$A7&amp;"'!$A$1:$W$30"),MATCH('All Positional Stats'!$A$2,INDIRECT("'"&amp;$A7&amp;"'!$A$1:$A$30"),0),MATCH('All Positional Stats'!B$1,INDIRECT("'"&amp;$A7&amp;"'!$A$1:$W$1"),0))</f>
        <v>10.7</v>
      </c>
      <c r="C7" s="1">
        <f t="shared" ca="1" si="15"/>
        <v>10</v>
      </c>
      <c r="D7" s="1">
        <f ca="1">INDEX(INDIRECT("'"&amp;$A7&amp;"'!$A$1:$W$30"),MATCH('All Positional Stats'!$A$2,INDIRECT("'"&amp;$A7&amp;"'!$A$1:$A$30"),0),MATCH('All Positional Stats'!D$1,INDIRECT("'"&amp;$A7&amp;"'!$A$1:$W$1"),0))</f>
        <v>36.799999999999997</v>
      </c>
      <c r="E7" s="1">
        <f t="shared" ca="1" si="18"/>
        <v>1</v>
      </c>
      <c r="F7" s="1">
        <f ca="1">INDEX(INDIRECT("'"&amp;$A7&amp;"'!$A$1:$W$30"),MATCH('All Positional Stats'!$A$2,INDIRECT("'"&amp;$A7&amp;"'!$A$1:$A$30"),0),MATCH('All Positional Stats'!F$1,INDIRECT("'"&amp;$A7&amp;"'!$A$1:$W$1"),0))</f>
        <v>45.7</v>
      </c>
      <c r="G7" s="1">
        <f t="shared" ca="1" si="18"/>
        <v>1</v>
      </c>
      <c r="H7" s="1">
        <f ca="1">INDEX(INDIRECT("'"&amp;$A7&amp;"'!$A$1:$W$30"),MATCH('All Positional Stats'!$A$2,INDIRECT("'"&amp;$A7&amp;"'!$A$1:$A$30"),0),MATCH('All Positional Stats'!H$1,INDIRECT("'"&amp;$A7&amp;"'!$A$1:$W$1"),0))</f>
        <v>24.5</v>
      </c>
      <c r="I7" s="1">
        <f t="shared" ca="1" si="18"/>
        <v>6</v>
      </c>
      <c r="J7" s="1">
        <f ca="1">INDEX(INDIRECT("'"&amp;$A7&amp;"'!$A$1:$W$30"),MATCH('All Positional Stats'!$A$2,INDIRECT("'"&amp;$A7&amp;"'!$A$1:$A$30"),0),MATCH('All Positional Stats'!J$1,INDIRECT("'"&amp;$A7&amp;"'!$A$1:$W$1"),0))</f>
        <v>14.6</v>
      </c>
      <c r="K7" s="1">
        <f t="shared" ca="1" si="18"/>
        <v>10</v>
      </c>
      <c r="L7" s="1">
        <f ca="1">INDEX(INDIRECT("'"&amp;$A7&amp;"'!$A$1:$W$30"),MATCH('All Positional Stats'!$A$2,INDIRECT("'"&amp;$A7&amp;"'!$A$1:$A$30"),0),MATCH('All Positional Stats'!L$1,INDIRECT("'"&amp;$A7&amp;"'!$A$1:$W$1"),0))</f>
        <v>20.2</v>
      </c>
      <c r="M7" s="1">
        <f t="shared" ca="1" si="18"/>
        <v>6</v>
      </c>
      <c r="N7" s="1">
        <f ca="1">INDEX(INDIRECT("'"&amp;$A7&amp;"'!$A$1:$W$30"),MATCH('All Positional Stats'!$A$2,INDIRECT("'"&amp;$A7&amp;"'!$A$1:$A$30"),0),MATCH('All Positional Stats'!N$1,INDIRECT("'"&amp;$A7&amp;"'!$A$1:$W$1"),0))</f>
        <v>22.5</v>
      </c>
      <c r="O7" s="1">
        <f t="shared" ca="1" si="18"/>
        <v>6</v>
      </c>
      <c r="P7" s="1">
        <f ca="1">INDEX(INDIRECT("'"&amp;$A7&amp;"'!$A$1:$W$30"),MATCH('All Positional Stats'!$A$2,INDIRECT("'"&amp;$A7&amp;"'!$A$1:$A$30"),0),MATCH('All Positional Stats'!P$1,INDIRECT("'"&amp;$A7&amp;"'!$A$1:$W$1"),0))</f>
        <v>19.5</v>
      </c>
      <c r="Q7" s="1">
        <f t="shared" ca="1" si="18"/>
        <v>7</v>
      </c>
      <c r="R7" s="1">
        <f ca="1">INDEX(INDIRECT("'"&amp;$A7&amp;"'!$A$1:$W$30"),MATCH('All Positional Stats'!$A$2,INDIRECT("'"&amp;$A7&amp;"'!$A$1:$A$30"),0),MATCH('All Positional Stats'!R$1,INDIRECT("'"&amp;$A7&amp;"'!$A$1:$W$1"),0))</f>
        <v>16.8</v>
      </c>
      <c r="S7" s="1">
        <f t="shared" ca="1" si="18"/>
        <v>11</v>
      </c>
      <c r="T7" s="1">
        <f ca="1">INDEX(INDIRECT("'"&amp;$A7&amp;"'!$A$1:$W$30"),MATCH('All Positional Stats'!$A$2,INDIRECT("'"&amp;$A7&amp;"'!$A$1:$A$30"),0),MATCH('All Positional Stats'!T$1,INDIRECT("'"&amp;$A7&amp;"'!$A$1:$W$1"),0))</f>
        <v>28.6</v>
      </c>
      <c r="U7" s="1">
        <f t="shared" ca="1" si="18"/>
        <v>4</v>
      </c>
      <c r="V7" s="1">
        <f ca="1">INDEX(INDIRECT("'"&amp;$A7&amp;"'!$A$1:$W$30"),MATCH('All Positional Stats'!$A$2,INDIRECT("'"&amp;$A7&amp;"'!$A$1:$A$30"),0),MATCH('All Positional Stats'!V$1,INDIRECT("'"&amp;$A7&amp;"'!$A$1:$W$1"),0))</f>
        <v>31.6</v>
      </c>
      <c r="W7" s="1">
        <f t="shared" ca="1" si="18"/>
        <v>3</v>
      </c>
      <c r="X7" s="1">
        <f ca="1">INDEX(INDIRECT("'"&amp;$A7&amp;"'!$A$1:$W$30"),MATCH('All Positional Stats'!$A$2,INDIRECT("'"&amp;$A7&amp;"'!$A$1:$A$30"),0),MATCH('All Positional Stats'!X$1,INDIRECT("'"&amp;$A7&amp;"'!$A$1:$W$1"),0))</f>
        <v>28.7</v>
      </c>
      <c r="Y7" s="1">
        <f t="shared" ca="1" si="18"/>
        <v>1</v>
      </c>
      <c r="Z7" s="1">
        <f ca="1">INDEX(INDIRECT("'"&amp;$A7&amp;"'!$A$1:$W$30"),MATCH('All Positional Stats'!$A$2,INDIRECT("'"&amp;$A7&amp;"'!$A$1:$A$30"),0),MATCH('All Positional Stats'!Z$1,INDIRECT("'"&amp;$A7&amp;"'!$A$1:$W$1"),0))</f>
        <v>8.3000000000000007</v>
      </c>
      <c r="AA7" s="1">
        <f t="shared" ca="1" si="18"/>
        <v>10</v>
      </c>
      <c r="AB7" s="1">
        <f ca="1">INDEX(INDIRECT("'"&amp;$A7&amp;"'!$A$1:$W$30"),MATCH('All Positional Stats'!$A$2,INDIRECT("'"&amp;$A7&amp;"'!$A$1:$A$30"),0),MATCH('All Positional Stats'!AB$1,INDIRECT("'"&amp;$A7&amp;"'!$A$1:$W$1"),0))</f>
        <v>11.3</v>
      </c>
      <c r="AC7" s="1">
        <f t="shared" ca="1" si="18"/>
        <v>9</v>
      </c>
      <c r="AD7" s="1">
        <f ca="1">INDEX(INDIRECT("'"&amp;$A7&amp;"'!$A$1:$W$30"),MATCH('All Positional Stats'!$A$2,INDIRECT("'"&amp;$A7&amp;"'!$A$1:$A$30"),0),MATCH('All Positional Stats'!AD$1,INDIRECT("'"&amp;$A7&amp;"'!$A$1:$W$1"),0))</f>
        <v>17.7</v>
      </c>
      <c r="AE7" s="1">
        <f t="shared" ca="1" si="18"/>
        <v>9</v>
      </c>
      <c r="AF7" s="1">
        <f ca="1">INDEX(INDIRECT("'"&amp;$A7&amp;"'!$A$1:$W$30"),MATCH('All Positional Stats'!$A$2,INDIRECT("'"&amp;$A7&amp;"'!$A$1:$A$30"),0),MATCH('All Positional Stats'!AF$1,INDIRECT("'"&amp;$A7&amp;"'!$A$1:$W$1"),0))</f>
        <v>19.600000000000001</v>
      </c>
      <c r="AG7" s="1">
        <f t="shared" ca="1" si="18"/>
        <v>4</v>
      </c>
      <c r="AH7" s="1">
        <f ca="1">INDEX(INDIRECT("'"&amp;$A7&amp;"'!$A$1:$W$30"),MATCH('All Positional Stats'!$A$2,INDIRECT("'"&amp;$A7&amp;"'!$A$1:$A$30"),0),MATCH('All Positional Stats'!AH$1,INDIRECT("'"&amp;$A7&amp;"'!$A$1:$W$1"),0))</f>
        <v>8.3000000000000007</v>
      </c>
      <c r="AI7" s="1">
        <f ca="1">INDEX(INDIRECT("'"&amp;$A7&amp;"'!$A$1:$W$30"),MATCH('All Positional Stats'!$A$2,INDIRECT("'"&amp;$A7&amp;"'!$A$1:$A$30"),0),MATCH('All Positional Stats'!AI$1,INDIRECT("'"&amp;$A7&amp;"'!$A$1:$W$1"),0))</f>
        <v>45.7</v>
      </c>
      <c r="AJ7" s="7">
        <f ca="1">INDEX(INDIRECT("'"&amp;$A7&amp;"'!$A$1:$W$30"),MATCH('All Positional Stats'!$A$2,INDIRECT("'"&amp;$A7&amp;"'!$A$1:$A$30"),0),MATCH('All Positional Stats'!AJ$1,INDIRECT("'"&amp;$A7&amp;"'!$A$1:$W$1"),0))</f>
        <v>22.318750000000001</v>
      </c>
      <c r="AK7" s="7">
        <f ca="1">INDEX(INDIRECT("'"&amp;$A7&amp;"'!$A$1:$W$30"),MATCH('All Positional Stats'!$A$2,INDIRECT("'"&amp;$A7&amp;"'!$A$1:$A$30"),0),MATCH('All Positional Stats'!AK$1,INDIRECT("'"&amp;$A7&amp;"'!$A$1:$W$1"),0))</f>
        <v>9.7199034685278658</v>
      </c>
      <c r="AL7" s="7">
        <f ca="1">INDEX(INDIRECT("'"&amp;$A7&amp;"'!$A$1:$W$30"),MATCH('All Positional Stats'!$A$2,INDIRECT("'"&amp;$A7&amp;"'!$A$1:$A$30"),0),MATCH('All Positional Stats'!AL$1,INDIRECT("'"&amp;$A7&amp;"'!$A$1:$W$1"),0))</f>
        <v>357.1</v>
      </c>
      <c r="AM7" s="6">
        <f ca="1">INDEX(INDIRECT("'"&amp;$A7&amp;"'!$A$1:$W$30"),MATCH('All Positional Stats'!$A$2,INDIRECT("'"&amp;$A7&amp;"'!$A$1:$A$30"),0),MATCH('All Positional Stats'!AM$1,INDIRECT("'"&amp;$A7&amp;"'!$A$1:$W$1"),0))</f>
        <v>0.23315487072342647</v>
      </c>
      <c r="AN7" s="9">
        <f t="shared" ca="1" si="16"/>
        <v>308.5</v>
      </c>
      <c r="AO7" s="8">
        <f t="shared" ca="1" si="17"/>
        <v>3</v>
      </c>
    </row>
    <row r="8" spans="1:41" ht="16.25" thickTop="1" thickBot="1" x14ac:dyDescent="0.9">
      <c r="A8" s="1" t="s">
        <v>6</v>
      </c>
      <c r="B8" s="1">
        <f ca="1">INDEX(INDIRECT("'"&amp;$A8&amp;"'!$A$1:$W$30"),MATCH('All Positional Stats'!$A$2,INDIRECT("'"&amp;$A8&amp;"'!$A$1:$A$30"),0),MATCH('All Positional Stats'!B$1,INDIRECT("'"&amp;$A8&amp;"'!$A$1:$W$1"),0))</f>
        <v>12.6</v>
      </c>
      <c r="C8" s="1">
        <f t="shared" ca="1" si="15"/>
        <v>8</v>
      </c>
      <c r="D8" s="1">
        <f ca="1">INDEX(INDIRECT("'"&amp;$A8&amp;"'!$A$1:$W$30"),MATCH('All Positional Stats'!$A$2,INDIRECT("'"&amp;$A8&amp;"'!$A$1:$A$30"),0),MATCH('All Positional Stats'!D$1,INDIRECT("'"&amp;$A8&amp;"'!$A$1:$W$1"),0))</f>
        <v>13.9</v>
      </c>
      <c r="E8" s="1">
        <f t="shared" ca="1" si="18"/>
        <v>10</v>
      </c>
      <c r="F8" s="1">
        <f ca="1">INDEX(INDIRECT("'"&amp;$A8&amp;"'!$A$1:$W$30"),MATCH('All Positional Stats'!$A$2,INDIRECT("'"&amp;$A8&amp;"'!$A$1:$A$30"),0),MATCH('All Positional Stats'!F$1,INDIRECT("'"&amp;$A8&amp;"'!$A$1:$W$1"),0))</f>
        <v>32.799999999999997</v>
      </c>
      <c r="G8" s="1">
        <f t="shared" ca="1" si="18"/>
        <v>2</v>
      </c>
      <c r="H8" s="1">
        <f ca="1">INDEX(INDIRECT("'"&amp;$A8&amp;"'!$A$1:$W$30"),MATCH('All Positional Stats'!$A$2,INDIRECT("'"&amp;$A8&amp;"'!$A$1:$A$30"),0),MATCH('All Positional Stats'!H$1,INDIRECT("'"&amp;$A8&amp;"'!$A$1:$W$1"),0))</f>
        <v>24.6</v>
      </c>
      <c r="I8" s="1">
        <f t="shared" ca="1" si="18"/>
        <v>5</v>
      </c>
      <c r="J8" s="1">
        <f ca="1">INDEX(INDIRECT("'"&amp;$A8&amp;"'!$A$1:$W$30"),MATCH('All Positional Stats'!$A$2,INDIRECT("'"&amp;$A8&amp;"'!$A$1:$A$30"),0),MATCH('All Positional Stats'!J$1,INDIRECT("'"&amp;$A8&amp;"'!$A$1:$W$1"),0))</f>
        <v>35.299999999999997</v>
      </c>
      <c r="K8" s="1">
        <f t="shared" ca="1" si="18"/>
        <v>2</v>
      </c>
      <c r="L8" s="1">
        <f ca="1">INDEX(INDIRECT("'"&amp;$A8&amp;"'!$A$1:$W$30"),MATCH('All Positional Stats'!$A$2,INDIRECT("'"&amp;$A8&amp;"'!$A$1:$A$30"),0),MATCH('All Positional Stats'!L$1,INDIRECT("'"&amp;$A8&amp;"'!$A$1:$W$1"),0))</f>
        <v>31.8</v>
      </c>
      <c r="M8" s="1">
        <f t="shared" ca="1" si="18"/>
        <v>1</v>
      </c>
      <c r="N8" s="1">
        <f ca="1">INDEX(INDIRECT("'"&amp;$A8&amp;"'!$A$1:$W$30"),MATCH('All Positional Stats'!$A$2,INDIRECT("'"&amp;$A8&amp;"'!$A$1:$A$30"),0),MATCH('All Positional Stats'!N$1,INDIRECT("'"&amp;$A8&amp;"'!$A$1:$W$1"),0))</f>
        <v>39</v>
      </c>
      <c r="O8" s="1">
        <f t="shared" ca="1" si="18"/>
        <v>1</v>
      </c>
      <c r="P8" s="1">
        <f ca="1">INDEX(INDIRECT("'"&amp;$A8&amp;"'!$A$1:$W$30"),MATCH('All Positional Stats'!$A$2,INDIRECT("'"&amp;$A8&amp;"'!$A$1:$A$30"),0),MATCH('All Positional Stats'!P$1,INDIRECT("'"&amp;$A8&amp;"'!$A$1:$W$1"),0))</f>
        <v>21.1</v>
      </c>
      <c r="Q8" s="1">
        <f t="shared" ca="1" si="18"/>
        <v>5</v>
      </c>
      <c r="R8" s="1">
        <f ca="1">INDEX(INDIRECT("'"&amp;$A8&amp;"'!$A$1:$W$30"),MATCH('All Positional Stats'!$A$2,INDIRECT("'"&amp;$A8&amp;"'!$A$1:$A$30"),0),MATCH('All Positional Stats'!R$1,INDIRECT("'"&amp;$A8&amp;"'!$A$1:$W$1"),0))</f>
        <v>32.799999999999997</v>
      </c>
      <c r="S8" s="1">
        <f t="shared" ca="1" si="18"/>
        <v>2</v>
      </c>
      <c r="T8" s="1">
        <f ca="1">INDEX(INDIRECT("'"&amp;$A8&amp;"'!$A$1:$W$30"),MATCH('All Positional Stats'!$A$2,INDIRECT("'"&amp;$A8&amp;"'!$A$1:$A$30"),0),MATCH('All Positional Stats'!T$1,INDIRECT("'"&amp;$A8&amp;"'!$A$1:$W$1"),0))</f>
        <v>29.6</v>
      </c>
      <c r="U8" s="1">
        <f t="shared" ca="1" si="18"/>
        <v>3</v>
      </c>
      <c r="V8" s="1">
        <f ca="1">INDEX(INDIRECT("'"&amp;$A8&amp;"'!$A$1:$W$30"),MATCH('All Positional Stats'!$A$2,INDIRECT("'"&amp;$A8&amp;"'!$A$1:$A$30"),0),MATCH('All Positional Stats'!V$1,INDIRECT("'"&amp;$A8&amp;"'!$A$1:$W$1"),0))</f>
        <v>24</v>
      </c>
      <c r="W8" s="1">
        <f t="shared" ca="1" si="18"/>
        <v>5</v>
      </c>
      <c r="X8" s="1">
        <f ca="1">INDEX(INDIRECT("'"&amp;$A8&amp;"'!$A$1:$W$30"),MATCH('All Positional Stats'!$A$2,INDIRECT("'"&amp;$A8&amp;"'!$A$1:$A$30"),0),MATCH('All Positional Stats'!X$1,INDIRECT("'"&amp;$A8&amp;"'!$A$1:$W$1"),0))</f>
        <v>20.100000000000001</v>
      </c>
      <c r="Y8" s="1">
        <f t="shared" ca="1" si="18"/>
        <v>4</v>
      </c>
      <c r="Z8" s="1">
        <f ca="1">INDEX(INDIRECT("'"&amp;$A8&amp;"'!$A$1:$W$30"),MATCH('All Positional Stats'!$A$2,INDIRECT("'"&amp;$A8&amp;"'!$A$1:$A$30"),0),MATCH('All Positional Stats'!Z$1,INDIRECT("'"&amp;$A8&amp;"'!$A$1:$W$1"),0))</f>
        <v>16.600000000000001</v>
      </c>
      <c r="AA8" s="1">
        <f t="shared" ca="1" si="18"/>
        <v>8</v>
      </c>
      <c r="AB8" s="1">
        <f ca="1">INDEX(INDIRECT("'"&amp;$A8&amp;"'!$A$1:$W$30"),MATCH('All Positional Stats'!$A$2,INDIRECT("'"&amp;$A8&amp;"'!$A$1:$A$30"),0),MATCH('All Positional Stats'!AB$1,INDIRECT("'"&amp;$A8&amp;"'!$A$1:$W$1"),0))</f>
        <v>35.200000000000003</v>
      </c>
      <c r="AC8" s="1">
        <f t="shared" ca="1" si="18"/>
        <v>1</v>
      </c>
      <c r="AD8" s="1">
        <f ca="1">INDEX(INDIRECT("'"&amp;$A8&amp;"'!$A$1:$W$30"),MATCH('All Positional Stats'!$A$2,INDIRECT("'"&amp;$A8&amp;"'!$A$1:$A$30"),0),MATCH('All Positional Stats'!AD$1,INDIRECT("'"&amp;$A8&amp;"'!$A$1:$W$1"),0))</f>
        <v>33.5</v>
      </c>
      <c r="AE8" s="1">
        <f t="shared" ca="1" si="18"/>
        <v>1</v>
      </c>
      <c r="AF8" s="1">
        <f ca="1">INDEX(INDIRECT("'"&amp;$A8&amp;"'!$A$1:$W$30"),MATCH('All Positional Stats'!$A$2,INDIRECT("'"&amp;$A8&amp;"'!$A$1:$A$30"),0),MATCH('All Positional Stats'!AF$1,INDIRECT("'"&amp;$A8&amp;"'!$A$1:$W$1"),0))</f>
        <v>10.5</v>
      </c>
      <c r="AG8" s="1">
        <f t="shared" ca="1" si="18"/>
        <v>10</v>
      </c>
      <c r="AH8" s="1">
        <f ca="1">INDEX(INDIRECT("'"&amp;$A8&amp;"'!$A$1:$W$30"),MATCH('All Positional Stats'!$A$2,INDIRECT("'"&amp;$A8&amp;"'!$A$1:$A$30"),0),MATCH('All Positional Stats'!AH$1,INDIRECT("'"&amp;$A8&amp;"'!$A$1:$W$1"),0))</f>
        <v>10.5</v>
      </c>
      <c r="AI8" s="1">
        <f ca="1">INDEX(INDIRECT("'"&amp;$A8&amp;"'!$A$1:$W$30"),MATCH('All Positional Stats'!$A$2,INDIRECT("'"&amp;$A8&amp;"'!$A$1:$A$30"),0),MATCH('All Positional Stats'!AI$1,INDIRECT("'"&amp;$A8&amp;"'!$A$1:$W$1"),0))</f>
        <v>39</v>
      </c>
      <c r="AJ8" s="7">
        <f ca="1">INDEX(INDIRECT("'"&amp;$A8&amp;"'!$A$1:$W$30"),MATCH('All Positional Stats'!$A$2,INDIRECT("'"&amp;$A8&amp;"'!$A$1:$A$30"),0),MATCH('All Positional Stats'!AJ$1,INDIRECT("'"&amp;$A8&amp;"'!$A$1:$W$1"),0))</f>
        <v>25.837499999999999</v>
      </c>
      <c r="AK8" s="7">
        <f ca="1">INDEX(INDIRECT("'"&amp;$A8&amp;"'!$A$1:$W$30"),MATCH('All Positional Stats'!$A$2,INDIRECT("'"&amp;$A8&amp;"'!$A$1:$A$30"),0),MATCH('All Positional Stats'!AK$1,INDIRECT("'"&amp;$A8&amp;"'!$A$1:$W$1"),0))</f>
        <v>8.8543686251476981</v>
      </c>
      <c r="AL8" s="7">
        <f ca="1">INDEX(INDIRECT("'"&amp;$A8&amp;"'!$A$1:$W$30"),MATCH('All Positional Stats'!$A$2,INDIRECT("'"&amp;$A8&amp;"'!$A$1:$A$30"),0),MATCH('All Positional Stats'!AL$1,INDIRECT("'"&amp;$A8&amp;"'!$A$1:$W$1"),0))</f>
        <v>413.4</v>
      </c>
      <c r="AM8" s="6">
        <f ca="1">INDEX(INDIRECT("'"&amp;$A8&amp;"'!$A$1:$W$30"),MATCH('All Positional Stats'!$A$2,INDIRECT("'"&amp;$A8&amp;"'!$A$1:$A$30"),0),MATCH('All Positional Stats'!AM$1,INDIRECT("'"&amp;$A8&amp;"'!$A$1:$W$1"),0))</f>
        <v>0.26274310410575819</v>
      </c>
      <c r="AN8" s="9">
        <f t="shared" ca="1" si="16"/>
        <v>334.20000000000005</v>
      </c>
      <c r="AO8" s="8">
        <f t="shared" ca="1" si="17"/>
        <v>2</v>
      </c>
    </row>
    <row r="9" spans="1:41" ht="16.25" thickTop="1" thickBot="1" x14ac:dyDescent="0.9">
      <c r="A9" s="1" t="s">
        <v>7</v>
      </c>
      <c r="B9" s="1">
        <f ca="1">INDEX(INDIRECT("'"&amp;$A9&amp;"'!$A$1:$W$30"),MATCH('All Positional Stats'!$A$2,INDIRECT("'"&amp;$A9&amp;"'!$A$1:$A$30"),0),MATCH('All Positional Stats'!B$1,INDIRECT("'"&amp;$A9&amp;"'!$A$1:$W$1"),0))</f>
        <v>10.9</v>
      </c>
      <c r="C9" s="1">
        <f t="shared" ca="1" si="15"/>
        <v>9</v>
      </c>
      <c r="D9" s="1">
        <f ca="1">INDEX(INDIRECT("'"&amp;$A9&amp;"'!$A$1:$W$30"),MATCH('All Positional Stats'!$A$2,INDIRECT("'"&amp;$A9&amp;"'!$A$1:$A$30"),0),MATCH('All Positional Stats'!D$1,INDIRECT("'"&amp;$A9&amp;"'!$A$1:$W$1"),0))</f>
        <v>12.9</v>
      </c>
      <c r="E9" s="1">
        <f t="shared" ca="1" si="18"/>
        <v>11</v>
      </c>
      <c r="F9" s="1">
        <f ca="1">INDEX(INDIRECT("'"&amp;$A9&amp;"'!$A$1:$W$30"),MATCH('All Positional Stats'!$A$2,INDIRECT("'"&amp;$A9&amp;"'!$A$1:$A$30"),0),MATCH('All Positional Stats'!F$1,INDIRECT("'"&amp;$A9&amp;"'!$A$1:$W$1"),0))</f>
        <v>13.7</v>
      </c>
      <c r="G9" s="1">
        <f t="shared" ca="1" si="18"/>
        <v>9</v>
      </c>
      <c r="H9" s="1">
        <f ca="1">INDEX(INDIRECT("'"&amp;$A9&amp;"'!$A$1:$W$30"),MATCH('All Positional Stats'!$A$2,INDIRECT("'"&amp;$A9&amp;"'!$A$1:$A$30"),0),MATCH('All Positional Stats'!H$1,INDIRECT("'"&amp;$A9&amp;"'!$A$1:$W$1"),0))</f>
        <v>36.299999999999997</v>
      </c>
      <c r="I9" s="1">
        <f t="shared" ca="1" si="18"/>
        <v>1</v>
      </c>
      <c r="J9" s="1">
        <f ca="1">INDEX(INDIRECT("'"&amp;$A9&amp;"'!$A$1:$W$30"),MATCH('All Positional Stats'!$A$2,INDIRECT("'"&amp;$A9&amp;"'!$A$1:$A$30"),0),MATCH('All Positional Stats'!J$1,INDIRECT("'"&amp;$A9&amp;"'!$A$1:$W$1"),0))</f>
        <v>45.5</v>
      </c>
      <c r="K9" s="1">
        <f t="shared" ca="1" si="18"/>
        <v>1</v>
      </c>
      <c r="L9" s="1">
        <f ca="1">INDEX(INDIRECT("'"&amp;$A9&amp;"'!$A$1:$W$30"),MATCH('All Positional Stats'!$A$2,INDIRECT("'"&amp;$A9&amp;"'!$A$1:$A$30"),0),MATCH('All Positional Stats'!L$1,INDIRECT("'"&amp;$A9&amp;"'!$A$1:$W$1"),0))</f>
        <v>13.9</v>
      </c>
      <c r="M9" s="1">
        <f t="shared" ca="1" si="18"/>
        <v>9</v>
      </c>
      <c r="N9" s="1">
        <f ca="1">INDEX(INDIRECT("'"&amp;$A9&amp;"'!$A$1:$W$30"),MATCH('All Positional Stats'!$A$2,INDIRECT("'"&amp;$A9&amp;"'!$A$1:$A$30"),0),MATCH('All Positional Stats'!N$1,INDIRECT("'"&amp;$A9&amp;"'!$A$1:$W$1"),0))</f>
        <v>19</v>
      </c>
      <c r="O9" s="1">
        <f t="shared" ca="1" si="18"/>
        <v>9</v>
      </c>
      <c r="P9" s="1">
        <f ca="1">INDEX(INDIRECT("'"&amp;$A9&amp;"'!$A$1:$W$30"),MATCH('All Positional Stats'!$A$2,INDIRECT("'"&amp;$A9&amp;"'!$A$1:$A$30"),0),MATCH('All Positional Stats'!P$1,INDIRECT("'"&amp;$A9&amp;"'!$A$1:$W$1"),0))</f>
        <v>19.899999999999999</v>
      </c>
      <c r="Q9" s="1">
        <f t="shared" ca="1" si="18"/>
        <v>6</v>
      </c>
      <c r="R9" s="1">
        <f ca="1">INDEX(INDIRECT("'"&amp;$A9&amp;"'!$A$1:$W$30"),MATCH('All Positional Stats'!$A$2,INDIRECT("'"&amp;$A9&amp;"'!$A$1:$A$30"),0),MATCH('All Positional Stats'!R$1,INDIRECT("'"&amp;$A9&amp;"'!$A$1:$W$1"),0))</f>
        <v>22.4</v>
      </c>
      <c r="S9" s="1">
        <f t="shared" ca="1" si="18"/>
        <v>8</v>
      </c>
      <c r="T9" s="1">
        <f ca="1">INDEX(INDIRECT("'"&amp;$A9&amp;"'!$A$1:$W$30"),MATCH('All Positional Stats'!$A$2,INDIRECT("'"&amp;$A9&amp;"'!$A$1:$A$30"),0),MATCH('All Positional Stats'!T$1,INDIRECT("'"&amp;$A9&amp;"'!$A$1:$W$1"),0))</f>
        <v>18.600000000000001</v>
      </c>
      <c r="U9" s="1">
        <f t="shared" ca="1" si="18"/>
        <v>7</v>
      </c>
      <c r="V9" s="1">
        <f ca="1">INDEX(INDIRECT("'"&amp;$A9&amp;"'!$A$1:$W$30"),MATCH('All Positional Stats'!$A$2,INDIRECT("'"&amp;$A9&amp;"'!$A$1:$A$30"),0),MATCH('All Positional Stats'!V$1,INDIRECT("'"&amp;$A9&amp;"'!$A$1:$W$1"),0))</f>
        <v>21</v>
      </c>
      <c r="W9" s="1">
        <f t="shared" ca="1" si="18"/>
        <v>7</v>
      </c>
      <c r="X9" s="1">
        <f ca="1">INDEX(INDIRECT("'"&amp;$A9&amp;"'!$A$1:$W$30"),MATCH('All Positional Stats'!$A$2,INDIRECT("'"&amp;$A9&amp;"'!$A$1:$A$30"),0),MATCH('All Positional Stats'!X$1,INDIRECT("'"&amp;$A9&amp;"'!$A$1:$W$1"),0))</f>
        <v>18.8</v>
      </c>
      <c r="Y9" s="1">
        <f t="shared" ca="1" si="18"/>
        <v>5</v>
      </c>
      <c r="Z9" s="1">
        <f ca="1">INDEX(INDIRECT("'"&amp;$A9&amp;"'!$A$1:$W$30"),MATCH('All Positional Stats'!$A$2,INDIRECT("'"&amp;$A9&amp;"'!$A$1:$A$30"),0),MATCH('All Positional Stats'!Z$1,INDIRECT("'"&amp;$A9&amp;"'!$A$1:$W$1"),0))</f>
        <v>7</v>
      </c>
      <c r="AA9" s="1">
        <f t="shared" ca="1" si="18"/>
        <v>11</v>
      </c>
      <c r="AB9" s="1">
        <f ca="1">INDEX(INDIRECT("'"&amp;$A9&amp;"'!$A$1:$W$30"),MATCH('All Positional Stats'!$A$2,INDIRECT("'"&amp;$A9&amp;"'!$A$1:$A$30"),0),MATCH('All Positional Stats'!AB$1,INDIRECT("'"&amp;$A9&amp;"'!$A$1:$W$1"),0))</f>
        <v>8.8000000000000007</v>
      </c>
      <c r="AC9" s="1">
        <f t="shared" ca="1" si="18"/>
        <v>11</v>
      </c>
      <c r="AD9" s="1">
        <f ca="1">INDEX(INDIRECT("'"&amp;$A9&amp;"'!$A$1:$W$30"),MATCH('All Positional Stats'!$A$2,INDIRECT("'"&amp;$A9&amp;"'!$A$1:$A$30"),0),MATCH('All Positional Stats'!AD$1,INDIRECT("'"&amp;$A9&amp;"'!$A$1:$W$1"),0))</f>
        <v>27.9</v>
      </c>
      <c r="AE9" s="1">
        <f t="shared" ca="1" si="18"/>
        <v>3</v>
      </c>
      <c r="AF9" s="1">
        <f ca="1">INDEX(INDIRECT("'"&amp;$A9&amp;"'!$A$1:$W$30"),MATCH('All Positional Stats'!$A$2,INDIRECT("'"&amp;$A9&amp;"'!$A$1:$A$30"),0),MATCH('All Positional Stats'!AF$1,INDIRECT("'"&amp;$A9&amp;"'!$A$1:$W$1"),0))</f>
        <v>15.3</v>
      </c>
      <c r="AG9" s="1">
        <f t="shared" ca="1" si="18"/>
        <v>8</v>
      </c>
      <c r="AH9" s="1">
        <f ca="1">INDEX(INDIRECT("'"&amp;$A9&amp;"'!$A$1:$W$30"),MATCH('All Positional Stats'!$A$2,INDIRECT("'"&amp;$A9&amp;"'!$A$1:$A$30"),0),MATCH('All Positional Stats'!AH$1,INDIRECT("'"&amp;$A9&amp;"'!$A$1:$W$1"),0))</f>
        <v>7</v>
      </c>
      <c r="AI9" s="1">
        <f ca="1">INDEX(INDIRECT("'"&amp;$A9&amp;"'!$A$1:$W$30"),MATCH('All Positional Stats'!$A$2,INDIRECT("'"&amp;$A9&amp;"'!$A$1:$A$30"),0),MATCH('All Positional Stats'!AI$1,INDIRECT("'"&amp;$A9&amp;"'!$A$1:$W$1"),0))</f>
        <v>45.5</v>
      </c>
      <c r="AJ9" s="7">
        <f ca="1">INDEX(INDIRECT("'"&amp;$A9&amp;"'!$A$1:$W$30"),MATCH('All Positional Stats'!$A$2,INDIRECT("'"&amp;$A9&amp;"'!$A$1:$A$30"),0),MATCH('All Positional Stats'!AJ$1,INDIRECT("'"&amp;$A9&amp;"'!$A$1:$W$1"),0))</f>
        <v>19.493749999999999</v>
      </c>
      <c r="AK9" s="7">
        <f ca="1">INDEX(INDIRECT("'"&amp;$A9&amp;"'!$A$1:$W$30"),MATCH('All Positional Stats'!$A$2,INDIRECT("'"&amp;$A9&amp;"'!$A$1:$A$30"),0),MATCH('All Positional Stats'!AK$1,INDIRECT("'"&amp;$A9&amp;"'!$A$1:$W$1"),0))</f>
        <v>9.7213340616141775</v>
      </c>
      <c r="AL9" s="7">
        <f ca="1">INDEX(INDIRECT("'"&amp;$A9&amp;"'!$A$1:$W$30"),MATCH('All Positional Stats'!$A$2,INDIRECT("'"&amp;$A9&amp;"'!$A$1:$A$30"),0),MATCH('All Positional Stats'!AL$1,INDIRECT("'"&amp;$A9&amp;"'!$A$1:$W$1"),0))</f>
        <v>311.89999999999998</v>
      </c>
      <c r="AM9" s="6">
        <f ca="1">INDEX(INDIRECT("'"&amp;$A9&amp;"'!$A$1:$W$30"),MATCH('All Positional Stats'!$A$2,INDIRECT("'"&amp;$A9&amp;"'!$A$1:$A$30"),0),MATCH('All Positional Stats'!AM$1,INDIRECT("'"&amp;$A9&amp;"'!$A$1:$W$1"),0))</f>
        <v>0.20758735440931775</v>
      </c>
      <c r="AN9" s="9">
        <f t="shared" ca="1" si="16"/>
        <v>259.89999999999998</v>
      </c>
      <c r="AO9" s="8">
        <f t="shared" ca="1" si="17"/>
        <v>7</v>
      </c>
    </row>
    <row r="10" spans="1:41" ht="16.25" thickTop="1" thickBot="1" x14ac:dyDescent="0.9">
      <c r="A10" s="1" t="s">
        <v>8</v>
      </c>
      <c r="B10" s="1">
        <f ca="1">INDEX(INDIRECT("'"&amp;$A10&amp;"'!$A$1:$W$30"),MATCH('All Positional Stats'!$A$2,INDIRECT("'"&amp;$A10&amp;"'!$A$1:$A$30"),0),MATCH('All Positional Stats'!B$1,INDIRECT("'"&amp;$A10&amp;"'!$A$1:$W$1"),0))</f>
        <v>8.3000000000000007</v>
      </c>
      <c r="C10" s="1">
        <f t="shared" ca="1" si="15"/>
        <v>11</v>
      </c>
      <c r="D10" s="1">
        <f ca="1">INDEX(INDIRECT("'"&amp;$A10&amp;"'!$A$1:$W$30"),MATCH('All Positional Stats'!$A$2,INDIRECT("'"&amp;$A10&amp;"'!$A$1:$A$30"),0),MATCH('All Positional Stats'!D$1,INDIRECT("'"&amp;$A10&amp;"'!$A$1:$W$1"),0))</f>
        <v>17.3</v>
      </c>
      <c r="E10" s="1">
        <f t="shared" ca="1" si="18"/>
        <v>7</v>
      </c>
      <c r="F10" s="1">
        <f ca="1">INDEX(INDIRECT("'"&amp;$A10&amp;"'!$A$1:$W$30"),MATCH('All Positional Stats'!$A$2,INDIRECT("'"&amp;$A10&amp;"'!$A$1:$A$30"),0),MATCH('All Positional Stats'!F$1,INDIRECT("'"&amp;$A10&amp;"'!$A$1:$W$1"),0))</f>
        <v>18.5</v>
      </c>
      <c r="G10" s="1">
        <f t="shared" ca="1" si="18"/>
        <v>6</v>
      </c>
      <c r="H10" s="1">
        <f ca="1">INDEX(INDIRECT("'"&amp;$A10&amp;"'!$A$1:$W$30"),MATCH('All Positional Stats'!$A$2,INDIRECT("'"&amp;$A10&amp;"'!$A$1:$A$30"),0),MATCH('All Positional Stats'!H$1,INDIRECT("'"&amp;$A10&amp;"'!$A$1:$W$1"),0))</f>
        <v>31.6</v>
      </c>
      <c r="I10" s="1">
        <f t="shared" ca="1" si="18"/>
        <v>2</v>
      </c>
      <c r="J10" s="1">
        <f ca="1">INDEX(INDIRECT("'"&amp;$A10&amp;"'!$A$1:$W$30"),MATCH('All Positional Stats'!$A$2,INDIRECT("'"&amp;$A10&amp;"'!$A$1:$A$30"),0),MATCH('All Positional Stats'!J$1,INDIRECT("'"&amp;$A10&amp;"'!$A$1:$W$1"),0))</f>
        <v>19.2</v>
      </c>
      <c r="K10" s="1">
        <f t="shared" ca="1" si="18"/>
        <v>7</v>
      </c>
      <c r="L10" s="1">
        <f ca="1">INDEX(INDIRECT("'"&amp;$A10&amp;"'!$A$1:$W$30"),MATCH('All Positional Stats'!$A$2,INDIRECT("'"&amp;$A10&amp;"'!$A$1:$A$30"),0),MATCH('All Positional Stats'!L$1,INDIRECT("'"&amp;$A10&amp;"'!$A$1:$W$1"),0))</f>
        <v>20.9</v>
      </c>
      <c r="M10" s="1">
        <f t="shared" ca="1" si="18"/>
        <v>5</v>
      </c>
      <c r="N10" s="1">
        <f ca="1">INDEX(INDIRECT("'"&amp;$A10&amp;"'!$A$1:$W$30"),MATCH('All Positional Stats'!$A$2,INDIRECT("'"&amp;$A10&amp;"'!$A$1:$A$30"),0),MATCH('All Positional Stats'!N$1,INDIRECT("'"&amp;$A10&amp;"'!$A$1:$W$1"),0))</f>
        <v>32.4</v>
      </c>
      <c r="O10" s="1">
        <f t="shared" ca="1" si="18"/>
        <v>3</v>
      </c>
      <c r="P10" s="1">
        <f ca="1">INDEX(INDIRECT("'"&amp;$A10&amp;"'!$A$1:$W$30"),MATCH('All Positional Stats'!$A$2,INDIRECT("'"&amp;$A10&amp;"'!$A$1:$A$30"),0),MATCH('All Positional Stats'!P$1,INDIRECT("'"&amp;$A10&amp;"'!$A$1:$W$1"),0))</f>
        <v>43.1</v>
      </c>
      <c r="Q10" s="1">
        <f t="shared" ca="1" si="18"/>
        <v>1</v>
      </c>
      <c r="R10" s="1">
        <f ca="1">INDEX(INDIRECT("'"&amp;$A10&amp;"'!$A$1:$W$30"),MATCH('All Positional Stats'!$A$2,INDIRECT("'"&amp;$A10&amp;"'!$A$1:$A$30"),0),MATCH('All Positional Stats'!R$1,INDIRECT("'"&amp;$A10&amp;"'!$A$1:$W$1"),0))</f>
        <v>27.6</v>
      </c>
      <c r="S10" s="1">
        <f t="shared" ca="1" si="18"/>
        <v>5</v>
      </c>
      <c r="T10" s="1">
        <f ca="1">INDEX(INDIRECT("'"&amp;$A10&amp;"'!$A$1:$W$30"),MATCH('All Positional Stats'!$A$2,INDIRECT("'"&amp;$A10&amp;"'!$A$1:$A$30"),0),MATCH('All Positional Stats'!T$1,INDIRECT("'"&amp;$A10&amp;"'!$A$1:$W$1"),0))</f>
        <v>23.4</v>
      </c>
      <c r="U10" s="1">
        <f t="shared" ca="1" si="18"/>
        <v>5</v>
      </c>
      <c r="V10" s="1">
        <f ca="1">INDEX(INDIRECT("'"&amp;$A10&amp;"'!$A$1:$W$30"),MATCH('All Positional Stats'!$A$2,INDIRECT("'"&amp;$A10&amp;"'!$A$1:$A$30"),0),MATCH('All Positional Stats'!V$1,INDIRECT("'"&amp;$A10&amp;"'!$A$1:$W$1"),0))</f>
        <v>34.9</v>
      </c>
      <c r="W10" s="1">
        <f t="shared" ca="1" si="18"/>
        <v>2</v>
      </c>
      <c r="X10" s="1">
        <f ca="1">INDEX(INDIRECT("'"&amp;$A10&amp;"'!$A$1:$W$30"),MATCH('All Positional Stats'!$A$2,INDIRECT("'"&amp;$A10&amp;"'!$A$1:$A$30"),0),MATCH('All Positional Stats'!X$1,INDIRECT("'"&amp;$A10&amp;"'!$A$1:$W$1"),0))</f>
        <v>27.6</v>
      </c>
      <c r="Y10" s="1">
        <f t="shared" ca="1" si="18"/>
        <v>2</v>
      </c>
      <c r="Z10" s="1">
        <f ca="1">INDEX(INDIRECT("'"&amp;$A10&amp;"'!$A$1:$W$30"),MATCH('All Positional Stats'!$A$2,INDIRECT("'"&amp;$A10&amp;"'!$A$1:$A$30"),0),MATCH('All Positional Stats'!Z$1,INDIRECT("'"&amp;$A10&amp;"'!$A$1:$W$1"),0))</f>
        <v>30.2</v>
      </c>
      <c r="AA10" s="1">
        <f t="shared" ca="1" si="18"/>
        <v>2</v>
      </c>
      <c r="AB10" s="1">
        <f ca="1">INDEX(INDIRECT("'"&amp;$A10&amp;"'!$A$1:$W$30"),MATCH('All Positional Stats'!$A$2,INDIRECT("'"&amp;$A10&amp;"'!$A$1:$A$30"),0),MATCH('All Positional Stats'!AB$1,INDIRECT("'"&amp;$A10&amp;"'!$A$1:$W$1"),0))</f>
        <v>27.8</v>
      </c>
      <c r="AC10" s="1">
        <f t="shared" ca="1" si="18"/>
        <v>3</v>
      </c>
      <c r="AD10" s="1">
        <f ca="1">INDEX(INDIRECT("'"&amp;$A10&amp;"'!$A$1:$W$30"),MATCH('All Positional Stats'!$A$2,INDIRECT("'"&amp;$A10&amp;"'!$A$1:$A$30"),0),MATCH('All Positional Stats'!AD$1,INDIRECT("'"&amp;$A10&amp;"'!$A$1:$W$1"),0))</f>
        <v>13.6</v>
      </c>
      <c r="AE10" s="1">
        <f t="shared" ca="1" si="18"/>
        <v>12</v>
      </c>
      <c r="AF10" s="1">
        <f ca="1">INDEX(INDIRECT("'"&amp;$A10&amp;"'!$A$1:$W$30"),MATCH('All Positional Stats'!$A$2,INDIRECT("'"&amp;$A10&amp;"'!$A$1:$A$30"),0),MATCH('All Positional Stats'!AF$1,INDIRECT("'"&amp;$A10&amp;"'!$A$1:$W$1"),0))</f>
        <v>18.600000000000001</v>
      </c>
      <c r="AG10" s="1">
        <f t="shared" ca="1" si="18"/>
        <v>6</v>
      </c>
      <c r="AH10" s="1">
        <f ca="1">INDEX(INDIRECT("'"&amp;$A10&amp;"'!$A$1:$W$30"),MATCH('All Positional Stats'!$A$2,INDIRECT("'"&amp;$A10&amp;"'!$A$1:$A$30"),0),MATCH('All Positional Stats'!AH$1,INDIRECT("'"&amp;$A10&amp;"'!$A$1:$W$1"),0))</f>
        <v>8.3000000000000007</v>
      </c>
      <c r="AI10" s="1">
        <f ca="1">INDEX(INDIRECT("'"&amp;$A10&amp;"'!$A$1:$W$30"),MATCH('All Positional Stats'!$A$2,INDIRECT("'"&amp;$A10&amp;"'!$A$1:$A$30"),0),MATCH('All Positional Stats'!AI$1,INDIRECT("'"&amp;$A10&amp;"'!$A$1:$W$1"),0))</f>
        <v>43.1</v>
      </c>
      <c r="AJ10" s="7">
        <f ca="1">INDEX(INDIRECT("'"&amp;$A10&amp;"'!$A$1:$W$30"),MATCH('All Positional Stats'!$A$2,INDIRECT("'"&amp;$A10&amp;"'!$A$1:$A$30"),0),MATCH('All Positional Stats'!AJ$1,INDIRECT("'"&amp;$A10&amp;"'!$A$1:$W$1"),0))</f>
        <v>24.687500000000004</v>
      </c>
      <c r="AK10" s="7">
        <f ca="1">INDEX(INDIRECT("'"&amp;$A10&amp;"'!$A$1:$W$30"),MATCH('All Positional Stats'!$A$2,INDIRECT("'"&amp;$A10&amp;"'!$A$1:$A$30"),0),MATCH('All Positional Stats'!AK$1,INDIRECT("'"&amp;$A10&amp;"'!$A$1:$W$1"),0))</f>
        <v>8.5700696467414765</v>
      </c>
      <c r="AL10" s="7">
        <f ca="1">INDEX(INDIRECT("'"&amp;$A10&amp;"'!$A$1:$W$30"),MATCH('All Positional Stats'!$A$2,INDIRECT("'"&amp;$A10&amp;"'!$A$1:$A$30"),0),MATCH('All Positional Stats'!AL$1,INDIRECT("'"&amp;$A10&amp;"'!$A$1:$W$1"),0))</f>
        <v>395.00000000000006</v>
      </c>
      <c r="AM10" s="6">
        <f ca="1">INDEX(INDIRECT("'"&amp;$A10&amp;"'!$A$1:$W$30"),MATCH('All Positional Stats'!$A$2,INDIRECT("'"&amp;$A10&amp;"'!$A$1:$A$30"),0),MATCH('All Positional Stats'!AM$1,INDIRECT("'"&amp;$A10&amp;"'!$A$1:$W$1"),0))</f>
        <v>0.26920193552784027</v>
      </c>
      <c r="AN10" s="9">
        <f t="shared" ca="1" si="16"/>
        <v>335</v>
      </c>
      <c r="AO10" s="8">
        <f t="shared" ca="1" si="17"/>
        <v>1</v>
      </c>
    </row>
    <row r="11" spans="1:41" ht="16.25" thickTop="1" thickBot="1" x14ac:dyDescent="0.9">
      <c r="A11" s="1" t="s">
        <v>9</v>
      </c>
      <c r="B11" s="1">
        <f ca="1">INDEX(INDIRECT("'"&amp;$A11&amp;"'!$A$1:$W$30"),MATCH('All Positional Stats'!$A$2,INDIRECT("'"&amp;$A11&amp;"'!$A$1:$A$30"),0),MATCH('All Positional Stats'!B$1,INDIRECT("'"&amp;$A11&amp;"'!$A$1:$W$1"),0))</f>
        <v>17.600000000000001</v>
      </c>
      <c r="C11" s="1">
        <f t="shared" ca="1" si="15"/>
        <v>6</v>
      </c>
      <c r="D11" s="1">
        <f ca="1">INDEX(INDIRECT("'"&amp;$A11&amp;"'!$A$1:$W$30"),MATCH('All Positional Stats'!$A$2,INDIRECT("'"&amp;$A11&amp;"'!$A$1:$A$30"),0),MATCH('All Positional Stats'!D$1,INDIRECT("'"&amp;$A11&amp;"'!$A$1:$W$1"),0))</f>
        <v>26.2</v>
      </c>
      <c r="E11" s="1">
        <f t="shared" ca="1" si="18"/>
        <v>3</v>
      </c>
      <c r="F11" s="1">
        <f ca="1">INDEX(INDIRECT("'"&amp;$A11&amp;"'!$A$1:$W$30"),MATCH('All Positional Stats'!$A$2,INDIRECT("'"&amp;$A11&amp;"'!$A$1:$A$30"),0),MATCH('All Positional Stats'!F$1,INDIRECT("'"&amp;$A11&amp;"'!$A$1:$W$1"),0))</f>
        <v>26.8</v>
      </c>
      <c r="G11" s="1">
        <f t="shared" ca="1" si="18"/>
        <v>4</v>
      </c>
      <c r="H11" s="1">
        <f ca="1">INDEX(INDIRECT("'"&amp;$A11&amp;"'!$A$1:$W$30"),MATCH('All Positional Stats'!$A$2,INDIRECT("'"&amp;$A11&amp;"'!$A$1:$A$30"),0),MATCH('All Positional Stats'!H$1,INDIRECT("'"&amp;$A11&amp;"'!$A$1:$W$1"),0))</f>
        <v>23</v>
      </c>
      <c r="I11" s="1">
        <f t="shared" ca="1" si="18"/>
        <v>7</v>
      </c>
      <c r="J11" s="1">
        <f ca="1">INDEX(INDIRECT("'"&amp;$A11&amp;"'!$A$1:$W$30"),MATCH('All Positional Stats'!$A$2,INDIRECT("'"&amp;$A11&amp;"'!$A$1:$A$30"),0),MATCH('All Positional Stats'!J$1,INDIRECT("'"&amp;$A11&amp;"'!$A$1:$W$1"),0))</f>
        <v>26.8</v>
      </c>
      <c r="K11" s="1">
        <f t="shared" ca="1" si="18"/>
        <v>5</v>
      </c>
      <c r="L11" s="1">
        <f ca="1">INDEX(INDIRECT("'"&amp;$A11&amp;"'!$A$1:$W$30"),MATCH('All Positional Stats'!$A$2,INDIRECT("'"&amp;$A11&amp;"'!$A$1:$A$30"),0),MATCH('All Positional Stats'!L$1,INDIRECT("'"&amp;$A11&amp;"'!$A$1:$W$1"),0))</f>
        <v>15.5</v>
      </c>
      <c r="M11" s="1">
        <f t="shared" ca="1" si="18"/>
        <v>8</v>
      </c>
      <c r="N11" s="1">
        <f ca="1">INDEX(INDIRECT("'"&amp;$A11&amp;"'!$A$1:$W$30"),MATCH('All Positional Stats'!$A$2,INDIRECT("'"&amp;$A11&amp;"'!$A$1:$A$30"),0),MATCH('All Positional Stats'!N$1,INDIRECT("'"&amp;$A11&amp;"'!$A$1:$W$1"),0))</f>
        <v>21.1</v>
      </c>
      <c r="O11" s="1">
        <f t="shared" ca="1" si="18"/>
        <v>8</v>
      </c>
      <c r="P11" s="1">
        <f ca="1">INDEX(INDIRECT("'"&amp;$A11&amp;"'!$A$1:$W$30"),MATCH('All Positional Stats'!$A$2,INDIRECT("'"&amp;$A11&amp;"'!$A$1:$A$30"),0),MATCH('All Positional Stats'!P$1,INDIRECT("'"&amp;$A11&amp;"'!$A$1:$W$1"),0))</f>
        <v>12.5</v>
      </c>
      <c r="Q11" s="1">
        <f t="shared" ca="1" si="18"/>
        <v>11</v>
      </c>
      <c r="R11" s="1">
        <f ca="1">INDEX(INDIRECT("'"&amp;$A11&amp;"'!$A$1:$W$30"),MATCH('All Positional Stats'!$A$2,INDIRECT("'"&amp;$A11&amp;"'!$A$1:$A$30"),0),MATCH('All Positional Stats'!R$1,INDIRECT("'"&amp;$A11&amp;"'!$A$1:$W$1"),0))</f>
        <v>22.7</v>
      </c>
      <c r="S11" s="1">
        <f t="shared" ca="1" si="18"/>
        <v>7</v>
      </c>
      <c r="T11" s="1">
        <f ca="1">INDEX(INDIRECT("'"&amp;$A11&amp;"'!$A$1:$W$30"),MATCH('All Positional Stats'!$A$2,INDIRECT("'"&amp;$A11&amp;"'!$A$1:$A$30"),0),MATCH('All Positional Stats'!T$1,INDIRECT("'"&amp;$A11&amp;"'!$A$1:$W$1"),0))</f>
        <v>14</v>
      </c>
      <c r="U11" s="1">
        <f t="shared" ca="1" si="18"/>
        <v>9</v>
      </c>
      <c r="V11" s="1">
        <f ca="1">INDEX(INDIRECT("'"&amp;$A11&amp;"'!$A$1:$W$30"),MATCH('All Positional Stats'!$A$2,INDIRECT("'"&amp;$A11&amp;"'!$A$1:$A$30"),0),MATCH('All Positional Stats'!V$1,INDIRECT("'"&amp;$A11&amp;"'!$A$1:$W$1"),0))</f>
        <v>25.6</v>
      </c>
      <c r="W11" s="1">
        <f t="shared" ca="1" si="18"/>
        <v>4</v>
      </c>
      <c r="X11" s="1">
        <f ca="1">INDEX(INDIRECT("'"&amp;$A11&amp;"'!$A$1:$W$30"),MATCH('All Positional Stats'!$A$2,INDIRECT("'"&amp;$A11&amp;"'!$A$1:$A$30"),0),MATCH('All Positional Stats'!X$1,INDIRECT("'"&amp;$A11&amp;"'!$A$1:$W$1"),0))</f>
        <v>16.3</v>
      </c>
      <c r="Y11" s="1">
        <f t="shared" ca="1" si="18"/>
        <v>7</v>
      </c>
      <c r="Z11" s="1">
        <f ca="1">INDEX(INDIRECT("'"&amp;$A11&amp;"'!$A$1:$W$30"),MATCH('All Positional Stats'!$A$2,INDIRECT("'"&amp;$A11&amp;"'!$A$1:$A$30"),0),MATCH('All Positional Stats'!Z$1,INDIRECT("'"&amp;$A11&amp;"'!$A$1:$W$1"),0))</f>
        <v>19.600000000000001</v>
      </c>
      <c r="AA11" s="1">
        <f t="shared" ca="1" si="18"/>
        <v>4</v>
      </c>
      <c r="AB11" s="1">
        <f ca="1">INDEX(INDIRECT("'"&amp;$A11&amp;"'!$A$1:$W$30"),MATCH('All Positional Stats'!$A$2,INDIRECT("'"&amp;$A11&amp;"'!$A$1:$A$30"),0),MATCH('All Positional Stats'!AB$1,INDIRECT("'"&amp;$A11&amp;"'!$A$1:$W$1"),0))</f>
        <v>21</v>
      </c>
      <c r="AC11" s="1">
        <f t="shared" ca="1" si="18"/>
        <v>5</v>
      </c>
      <c r="AD11" s="1">
        <f ca="1">INDEX(INDIRECT("'"&amp;$A11&amp;"'!$A$1:$W$30"),MATCH('All Positional Stats'!$A$2,INDIRECT("'"&amp;$A11&amp;"'!$A$1:$A$30"),0),MATCH('All Positional Stats'!AD$1,INDIRECT("'"&amp;$A11&amp;"'!$A$1:$W$1"),0))</f>
        <v>21.1</v>
      </c>
      <c r="AE11" s="1">
        <f t="shared" ca="1" si="18"/>
        <v>8</v>
      </c>
      <c r="AF11" s="1">
        <f ca="1">INDEX(INDIRECT("'"&amp;$A11&amp;"'!$A$1:$W$30"),MATCH('All Positional Stats'!$A$2,INDIRECT("'"&amp;$A11&amp;"'!$A$1:$A$30"),0),MATCH('All Positional Stats'!AF$1,INDIRECT("'"&amp;$A11&amp;"'!$A$1:$W$1"),0))</f>
        <v>17.600000000000001</v>
      </c>
      <c r="AG11" s="1">
        <f t="shared" ca="1" si="18"/>
        <v>7</v>
      </c>
      <c r="AH11" s="1">
        <f ca="1">INDEX(INDIRECT("'"&amp;$A11&amp;"'!$A$1:$W$30"),MATCH('All Positional Stats'!$A$2,INDIRECT("'"&amp;$A11&amp;"'!$A$1:$A$30"),0),MATCH('All Positional Stats'!AH$1,INDIRECT("'"&amp;$A11&amp;"'!$A$1:$W$1"),0))</f>
        <v>12.5</v>
      </c>
      <c r="AI11" s="1">
        <f ca="1">INDEX(INDIRECT("'"&amp;$A11&amp;"'!$A$1:$W$30"),MATCH('All Positional Stats'!$A$2,INDIRECT("'"&amp;$A11&amp;"'!$A$1:$A$30"),0),MATCH('All Positional Stats'!AI$1,INDIRECT("'"&amp;$A11&amp;"'!$A$1:$W$1"),0))</f>
        <v>26.8</v>
      </c>
      <c r="AJ11" s="7">
        <f ca="1">INDEX(INDIRECT("'"&amp;$A11&amp;"'!$A$1:$W$30"),MATCH('All Positional Stats'!$A$2,INDIRECT("'"&amp;$A11&amp;"'!$A$1:$A$30"),0),MATCH('All Positional Stats'!AJ$1,INDIRECT("'"&amp;$A11&amp;"'!$A$1:$W$1"),0))</f>
        <v>20.462499999999999</v>
      </c>
      <c r="AK11" s="7">
        <f ca="1">INDEX(INDIRECT("'"&amp;$A11&amp;"'!$A$1:$W$30"),MATCH('All Positional Stats'!$A$2,INDIRECT("'"&amp;$A11&amp;"'!$A$1:$A$30"),0),MATCH('All Positional Stats'!AK$1,INDIRECT("'"&amp;$A11&amp;"'!$A$1:$W$1"),0))</f>
        <v>4.4471725568050475</v>
      </c>
      <c r="AL11" s="7">
        <f ca="1">INDEX(INDIRECT("'"&amp;$A11&amp;"'!$A$1:$W$30"),MATCH('All Positional Stats'!$A$2,INDIRECT("'"&amp;$A11&amp;"'!$A$1:$A$30"),0),MATCH('All Positional Stats'!AL$1,INDIRECT("'"&amp;$A11&amp;"'!$A$1:$W$1"),0))</f>
        <v>327.40000000000003</v>
      </c>
      <c r="AM11" s="6">
        <f ca="1">INDEX(INDIRECT("'"&amp;$A11&amp;"'!$A$1:$W$30"),MATCH('All Positional Stats'!$A$2,INDIRECT("'"&amp;$A11&amp;"'!$A$1:$A$30"),0),MATCH('All Positional Stats'!AM$1,INDIRECT("'"&amp;$A11&amp;"'!$A$1:$W$1"),0))</f>
        <v>0.23579402232625135</v>
      </c>
      <c r="AN11" s="9">
        <f t="shared" ca="1" si="16"/>
        <v>267.7</v>
      </c>
      <c r="AO11" s="8">
        <f t="shared" ca="1" si="17"/>
        <v>5</v>
      </c>
    </row>
    <row r="12" spans="1:41" ht="16.25" thickTop="1" thickBot="1" x14ac:dyDescent="0.9">
      <c r="A12" s="1" t="s">
        <v>10</v>
      </c>
      <c r="B12" s="1">
        <f ca="1">INDEX(INDIRECT("'"&amp;$A12&amp;"'!$A$1:$W$30"),MATCH('All Positional Stats'!$A$2,INDIRECT("'"&amp;$A12&amp;"'!$A$1:$A$30"),0),MATCH('All Positional Stats'!B$1,INDIRECT("'"&amp;$A12&amp;"'!$A$1:$W$1"),0))</f>
        <v>-3</v>
      </c>
      <c r="C12" s="1">
        <f t="shared" ca="1" si="15"/>
        <v>12</v>
      </c>
      <c r="D12" s="1">
        <f ca="1">INDEX(INDIRECT("'"&amp;$A12&amp;"'!$A$1:$W$30"),MATCH('All Positional Stats'!$A$2,INDIRECT("'"&amp;$A12&amp;"'!$A$1:$A$30"),0),MATCH('All Positional Stats'!D$1,INDIRECT("'"&amp;$A12&amp;"'!$A$1:$W$1"),0))</f>
        <v>18.100000000000001</v>
      </c>
      <c r="E12" s="1">
        <f t="shared" ca="1" si="18"/>
        <v>6</v>
      </c>
      <c r="F12" s="1">
        <f ca="1">INDEX(INDIRECT("'"&amp;$A12&amp;"'!$A$1:$W$30"),MATCH('All Positional Stats'!$A$2,INDIRECT("'"&amp;$A12&amp;"'!$A$1:$A$30"),0),MATCH('All Positional Stats'!F$1,INDIRECT("'"&amp;$A12&amp;"'!$A$1:$W$1"),0))</f>
        <v>19.100000000000001</v>
      </c>
      <c r="G12" s="1">
        <f t="shared" ca="1" si="18"/>
        <v>5</v>
      </c>
      <c r="H12" s="1">
        <f ca="1">INDEX(INDIRECT("'"&amp;$A12&amp;"'!$A$1:$W$30"),MATCH('All Positional Stats'!$A$2,INDIRECT("'"&amp;$A12&amp;"'!$A$1:$A$30"),0),MATCH('All Positional Stats'!H$1,INDIRECT("'"&amp;$A12&amp;"'!$A$1:$W$1"),0))</f>
        <v>29.3</v>
      </c>
      <c r="I12" s="1">
        <f t="shared" ca="1" si="18"/>
        <v>4</v>
      </c>
      <c r="J12" s="1">
        <f ca="1">INDEX(INDIRECT("'"&amp;$A12&amp;"'!$A$1:$W$30"),MATCH('All Positional Stats'!$A$2,INDIRECT("'"&amp;$A12&amp;"'!$A$1:$A$30"),0),MATCH('All Positional Stats'!J$1,INDIRECT("'"&amp;$A12&amp;"'!$A$1:$W$1"),0))</f>
        <v>32.9</v>
      </c>
      <c r="K12" s="1">
        <f t="shared" ca="1" si="18"/>
        <v>3</v>
      </c>
      <c r="L12" s="1">
        <f ca="1">INDEX(INDIRECT("'"&amp;$A12&amp;"'!$A$1:$W$30"),MATCH('All Positional Stats'!$A$2,INDIRECT("'"&amp;$A12&amp;"'!$A$1:$A$30"),0),MATCH('All Positional Stats'!L$1,INDIRECT("'"&amp;$A12&amp;"'!$A$1:$W$1"),0))</f>
        <v>17.100000000000001</v>
      </c>
      <c r="M12" s="1">
        <f t="shared" ca="1" si="18"/>
        <v>7</v>
      </c>
      <c r="N12" s="1">
        <f ca="1">INDEX(INDIRECT("'"&amp;$A12&amp;"'!$A$1:$W$30"),MATCH('All Positional Stats'!$A$2,INDIRECT("'"&amp;$A12&amp;"'!$A$1:$A$30"),0),MATCH('All Positional Stats'!N$1,INDIRECT("'"&amp;$A12&amp;"'!$A$1:$W$1"),0))</f>
        <v>31.7</v>
      </c>
      <c r="O12" s="1">
        <f t="shared" ca="1" si="18"/>
        <v>4</v>
      </c>
      <c r="P12" s="1">
        <f ca="1">INDEX(INDIRECT("'"&amp;$A12&amp;"'!$A$1:$W$30"),MATCH('All Positional Stats'!$A$2,INDIRECT("'"&amp;$A12&amp;"'!$A$1:$A$30"),0),MATCH('All Positional Stats'!P$1,INDIRECT("'"&amp;$A12&amp;"'!$A$1:$W$1"),0))</f>
        <v>22.7</v>
      </c>
      <c r="Q12" s="1">
        <f t="shared" ca="1" si="18"/>
        <v>3</v>
      </c>
      <c r="R12" s="1">
        <f ca="1">INDEX(INDIRECT("'"&amp;$A12&amp;"'!$A$1:$W$30"),MATCH('All Positional Stats'!$A$2,INDIRECT("'"&amp;$A12&amp;"'!$A$1:$A$30"),0),MATCH('All Positional Stats'!R$1,INDIRECT("'"&amp;$A12&amp;"'!$A$1:$W$1"),0))</f>
        <v>22.4</v>
      </c>
      <c r="S12" s="1">
        <f t="shared" ca="1" si="18"/>
        <v>8</v>
      </c>
      <c r="T12" s="1">
        <f ca="1">INDEX(INDIRECT("'"&amp;$A12&amp;"'!$A$1:$W$30"),MATCH('All Positional Stats'!$A$2,INDIRECT("'"&amp;$A12&amp;"'!$A$1:$A$30"),0),MATCH('All Positional Stats'!T$1,INDIRECT("'"&amp;$A12&amp;"'!$A$1:$W$1"),0))</f>
        <v>18.600000000000001</v>
      </c>
      <c r="U12" s="1">
        <f t="shared" ca="1" si="18"/>
        <v>7</v>
      </c>
      <c r="V12" s="1">
        <f ca="1">INDEX(INDIRECT("'"&amp;$A12&amp;"'!$A$1:$W$30"),MATCH('All Positional Stats'!$A$2,INDIRECT("'"&amp;$A12&amp;"'!$A$1:$A$30"),0),MATCH('All Positional Stats'!V$1,INDIRECT("'"&amp;$A12&amp;"'!$A$1:$W$1"),0))</f>
        <v>7.9</v>
      </c>
      <c r="W12" s="1">
        <f t="shared" ca="1" si="18"/>
        <v>11</v>
      </c>
      <c r="X12" s="1">
        <f ca="1">INDEX(INDIRECT("'"&amp;$A12&amp;"'!$A$1:$W$30"),MATCH('All Positional Stats'!$A$2,INDIRECT("'"&amp;$A12&amp;"'!$A$1:$A$30"),0),MATCH('All Positional Stats'!X$1,INDIRECT("'"&amp;$A12&amp;"'!$A$1:$W$1"),0))</f>
        <v>15.5</v>
      </c>
      <c r="Y12" s="1">
        <f t="shared" ca="1" si="18"/>
        <v>9</v>
      </c>
      <c r="Z12" s="1">
        <f ca="1">INDEX(INDIRECT("'"&amp;$A12&amp;"'!$A$1:$W$30"),MATCH('All Positional Stats'!$A$2,INDIRECT("'"&amp;$A12&amp;"'!$A$1:$A$30"),0),MATCH('All Positional Stats'!Z$1,INDIRECT("'"&amp;$A12&amp;"'!$A$1:$W$1"),0))</f>
        <v>45.6</v>
      </c>
      <c r="AA12" s="1">
        <f t="shared" ca="1" si="18"/>
        <v>1</v>
      </c>
      <c r="AB12" s="1">
        <f ca="1">INDEX(INDIRECT("'"&amp;$A12&amp;"'!$A$1:$W$30"),MATCH('All Positional Stats'!$A$2,INDIRECT("'"&amp;$A12&amp;"'!$A$1:$A$30"),0),MATCH('All Positional Stats'!AB$1,INDIRECT("'"&amp;$A12&amp;"'!$A$1:$W$1"),0))</f>
        <v>11.1</v>
      </c>
      <c r="AC12" s="1">
        <f t="shared" ca="1" si="18"/>
        <v>10</v>
      </c>
      <c r="AD12" s="1">
        <f ca="1">INDEX(INDIRECT("'"&amp;$A12&amp;"'!$A$1:$W$30"),MATCH('All Positional Stats'!$A$2,INDIRECT("'"&amp;$A12&amp;"'!$A$1:$A$30"),0),MATCH('All Positional Stats'!AD$1,INDIRECT("'"&amp;$A12&amp;"'!$A$1:$W$1"),0))</f>
        <v>22.5</v>
      </c>
      <c r="AE12" s="1">
        <f t="shared" ca="1" si="18"/>
        <v>5</v>
      </c>
      <c r="AF12" s="1">
        <f ca="1">INDEX(INDIRECT("'"&amp;$A12&amp;"'!$A$1:$W$30"),MATCH('All Positional Stats'!$A$2,INDIRECT("'"&amp;$A12&amp;"'!$A$1:$A$30"),0),MATCH('All Positional Stats'!AF$1,INDIRECT("'"&amp;$A12&amp;"'!$A$1:$W$1"),0))</f>
        <v>19.5</v>
      </c>
      <c r="AG12" s="1">
        <f t="shared" ca="1" si="18"/>
        <v>5</v>
      </c>
      <c r="AH12" s="1">
        <f ca="1">INDEX(INDIRECT("'"&amp;$A12&amp;"'!$A$1:$W$30"),MATCH('All Positional Stats'!$A$2,INDIRECT("'"&amp;$A12&amp;"'!$A$1:$A$30"),0),MATCH('All Positional Stats'!AH$1,INDIRECT("'"&amp;$A12&amp;"'!$A$1:$W$1"),0))</f>
        <v>-3</v>
      </c>
      <c r="AI12" s="1">
        <f ca="1">INDEX(INDIRECT("'"&amp;$A12&amp;"'!$A$1:$W$30"),MATCH('All Positional Stats'!$A$2,INDIRECT("'"&amp;$A12&amp;"'!$A$1:$A$30"),0),MATCH('All Positional Stats'!AI$1,INDIRECT("'"&amp;$A12&amp;"'!$A$1:$W$1"),0))</f>
        <v>45.6</v>
      </c>
      <c r="AJ12" s="7">
        <f ca="1">INDEX(INDIRECT("'"&amp;$A12&amp;"'!$A$1:$W$30"),MATCH('All Positional Stats'!$A$2,INDIRECT("'"&amp;$A12&amp;"'!$A$1:$A$30"),0),MATCH('All Positional Stats'!AJ$1,INDIRECT("'"&amp;$A12&amp;"'!$A$1:$W$1"),0))</f>
        <v>20.6875</v>
      </c>
      <c r="AK12" s="7">
        <f ca="1">INDEX(INDIRECT("'"&amp;$A12&amp;"'!$A$1:$W$30"),MATCH('All Positional Stats'!$A$2,INDIRECT("'"&amp;$A12&amp;"'!$A$1:$A$30"),0),MATCH('All Positional Stats'!AK$1,INDIRECT("'"&amp;$A12&amp;"'!$A$1:$W$1"),0))</f>
        <v>10.74359547591029</v>
      </c>
      <c r="AL12" s="7">
        <f ca="1">INDEX(INDIRECT("'"&amp;$A12&amp;"'!$A$1:$W$30"),MATCH('All Positional Stats'!$A$2,INDIRECT("'"&amp;$A12&amp;"'!$A$1:$A$30"),0),MATCH('All Positional Stats'!AL$1,INDIRECT("'"&amp;$A12&amp;"'!$A$1:$W$1"),0))</f>
        <v>331</v>
      </c>
      <c r="AM12" s="6">
        <f ca="1">INDEX(INDIRECT("'"&amp;$A12&amp;"'!$A$1:$W$30"),MATCH('All Positional Stats'!$A$2,INDIRECT("'"&amp;$A12&amp;"'!$A$1:$A$30"),0),MATCH('All Positional Stats'!AM$1,INDIRECT("'"&amp;$A12&amp;"'!$A$1:$W$1"),0))</f>
        <v>0.22152322312943384</v>
      </c>
      <c r="AN12" s="9">
        <f t="shared" ca="1" si="16"/>
        <v>277.89999999999998</v>
      </c>
      <c r="AO12" s="8">
        <f t="shared" ca="1" si="17"/>
        <v>4</v>
      </c>
    </row>
    <row r="13" spans="1:41" ht="16.25" thickTop="1" thickBot="1" x14ac:dyDescent="0.9">
      <c r="A13" s="1" t="s">
        <v>11</v>
      </c>
      <c r="B13" s="1">
        <f ca="1">INDEX(INDIRECT("'"&amp;$A13&amp;"'!$A$1:$W$30"),MATCH('All Positional Stats'!$A$2,INDIRECT("'"&amp;$A13&amp;"'!$A$1:$A$30"),0),MATCH('All Positional Stats'!B$1,INDIRECT("'"&amp;$A13&amp;"'!$A$1:$W$1"),0))</f>
        <v>22.8</v>
      </c>
      <c r="C13" s="1">
        <f t="shared" ca="1" si="15"/>
        <v>1</v>
      </c>
      <c r="D13" s="1">
        <f ca="1">INDEX(INDIRECT("'"&amp;$A13&amp;"'!$A$1:$W$30"),MATCH('All Positional Stats'!$A$2,INDIRECT("'"&amp;$A13&amp;"'!$A$1:$A$30"),0),MATCH('All Positional Stats'!D$1,INDIRECT("'"&amp;$A13&amp;"'!$A$1:$W$1"),0))</f>
        <v>14.5</v>
      </c>
      <c r="E13" s="1">
        <f t="shared" ca="1" si="18"/>
        <v>9</v>
      </c>
      <c r="F13" s="1">
        <f ca="1">INDEX(INDIRECT("'"&amp;$A13&amp;"'!$A$1:$W$30"),MATCH('All Positional Stats'!$A$2,INDIRECT("'"&amp;$A13&amp;"'!$A$1:$A$30"),0),MATCH('All Positional Stats'!F$1,INDIRECT("'"&amp;$A13&amp;"'!$A$1:$W$1"),0))</f>
        <v>7.6</v>
      </c>
      <c r="G13" s="1">
        <f t="shared" ca="1" si="18"/>
        <v>11</v>
      </c>
      <c r="H13" s="1">
        <f ca="1">INDEX(INDIRECT("'"&amp;$A13&amp;"'!$A$1:$W$30"),MATCH('All Positional Stats'!$A$2,INDIRECT("'"&amp;$A13&amp;"'!$A$1:$A$30"),0),MATCH('All Positional Stats'!H$1,INDIRECT("'"&amp;$A13&amp;"'!$A$1:$W$1"),0))</f>
        <v>13.3</v>
      </c>
      <c r="I13" s="1">
        <f t="shared" ca="1" si="18"/>
        <v>9</v>
      </c>
      <c r="J13" s="1">
        <f ca="1">INDEX(INDIRECT("'"&amp;$A13&amp;"'!$A$1:$W$30"),MATCH('All Positional Stats'!$A$2,INDIRECT("'"&amp;$A13&amp;"'!$A$1:$A$30"),0),MATCH('All Positional Stats'!J$1,INDIRECT("'"&amp;$A13&amp;"'!$A$1:$W$1"),0))</f>
        <v>20.5</v>
      </c>
      <c r="K13" s="1">
        <f t="shared" ca="1" si="18"/>
        <v>6</v>
      </c>
      <c r="L13" s="1">
        <f ca="1">INDEX(INDIRECT("'"&amp;$A13&amp;"'!$A$1:$W$30"),MATCH('All Positional Stats'!$A$2,INDIRECT("'"&amp;$A13&amp;"'!$A$1:$A$30"),0),MATCH('All Positional Stats'!L$1,INDIRECT("'"&amp;$A13&amp;"'!$A$1:$W$1"),0))</f>
        <v>2.4</v>
      </c>
      <c r="M13" s="1">
        <f t="shared" ca="1" si="18"/>
        <v>11</v>
      </c>
      <c r="N13" s="1">
        <f ca="1">INDEX(INDIRECT("'"&amp;$A13&amp;"'!$A$1:$W$30"),MATCH('All Positional Stats'!$A$2,INDIRECT("'"&amp;$A13&amp;"'!$A$1:$A$30"),0),MATCH('All Positional Stats'!N$1,INDIRECT("'"&amp;$A13&amp;"'!$A$1:$W$1"),0))</f>
        <v>22</v>
      </c>
      <c r="O13" s="1">
        <f t="shared" ca="1" si="18"/>
        <v>7</v>
      </c>
      <c r="P13" s="1">
        <f ca="1">INDEX(INDIRECT("'"&amp;$A13&amp;"'!$A$1:$W$30"),MATCH('All Positional Stats'!$A$2,INDIRECT("'"&amp;$A13&amp;"'!$A$1:$A$30"),0),MATCH('All Positional Stats'!P$1,INDIRECT("'"&amp;$A13&amp;"'!$A$1:$W$1"),0))</f>
        <v>18.7</v>
      </c>
      <c r="Q13" s="1">
        <f t="shared" ca="1" si="18"/>
        <v>8</v>
      </c>
      <c r="R13" s="1">
        <f ca="1">INDEX(INDIRECT("'"&amp;$A13&amp;"'!$A$1:$W$30"),MATCH('All Positional Stats'!$A$2,INDIRECT("'"&amp;$A13&amp;"'!$A$1:$A$30"),0),MATCH('All Positional Stats'!R$1,INDIRECT("'"&amp;$A13&amp;"'!$A$1:$W$1"),0))</f>
        <v>30.9</v>
      </c>
      <c r="S13" s="1">
        <f t="shared" ca="1" si="18"/>
        <v>3</v>
      </c>
      <c r="T13" s="1">
        <f ca="1">INDEX(INDIRECT("'"&amp;$A13&amp;"'!$A$1:$W$30"),MATCH('All Positional Stats'!$A$2,INDIRECT("'"&amp;$A13&amp;"'!$A$1:$A$30"),0),MATCH('All Positional Stats'!T$1,INDIRECT("'"&amp;$A13&amp;"'!$A$1:$W$1"),0))</f>
        <v>2.9</v>
      </c>
      <c r="U13" s="1">
        <f t="shared" ca="1" si="18"/>
        <v>12</v>
      </c>
      <c r="V13" s="1">
        <f ca="1">INDEX(INDIRECT("'"&amp;$A13&amp;"'!$A$1:$W$30"),MATCH('All Positional Stats'!$A$2,INDIRECT("'"&amp;$A13&amp;"'!$A$1:$A$30"),0),MATCH('All Positional Stats'!V$1,INDIRECT("'"&amp;$A13&amp;"'!$A$1:$W$1"),0))</f>
        <v>8.6999999999999993</v>
      </c>
      <c r="W13" s="1">
        <f t="shared" ca="1" si="18"/>
        <v>10</v>
      </c>
      <c r="X13" s="1">
        <f ca="1">INDEX(INDIRECT("'"&amp;$A13&amp;"'!$A$1:$W$30"),MATCH('All Positional Stats'!$A$2,INDIRECT("'"&amp;$A13&amp;"'!$A$1:$A$30"),0),MATCH('All Positional Stats'!X$1,INDIRECT("'"&amp;$A13&amp;"'!$A$1:$W$1"),0))</f>
        <v>16</v>
      </c>
      <c r="Y13" s="1">
        <f t="shared" ca="1" si="18"/>
        <v>8</v>
      </c>
      <c r="Z13" s="1">
        <f ca="1">INDEX(INDIRECT("'"&amp;$A13&amp;"'!$A$1:$W$30"),MATCH('All Positional Stats'!$A$2,INDIRECT("'"&amp;$A13&amp;"'!$A$1:$A$30"),0),MATCH('All Positional Stats'!Z$1,INDIRECT("'"&amp;$A13&amp;"'!$A$1:$W$1"),0))</f>
        <v>3.8</v>
      </c>
      <c r="AA13" s="1">
        <f t="shared" ca="1" si="18"/>
        <v>12</v>
      </c>
      <c r="AB13" s="1">
        <f ca="1">INDEX(INDIRECT("'"&amp;$A13&amp;"'!$A$1:$W$30"),MATCH('All Positional Stats'!$A$2,INDIRECT("'"&amp;$A13&amp;"'!$A$1:$A$30"),0),MATCH('All Positional Stats'!AB$1,INDIRECT("'"&amp;$A13&amp;"'!$A$1:$W$1"),0))</f>
        <v>23.2</v>
      </c>
      <c r="AC13" s="1">
        <f t="shared" ca="1" si="18"/>
        <v>4</v>
      </c>
      <c r="AD13" s="1">
        <f ca="1">INDEX(INDIRECT("'"&amp;$A13&amp;"'!$A$1:$W$30"),MATCH('All Positional Stats'!$A$2,INDIRECT("'"&amp;$A13&amp;"'!$A$1:$A$30"),0),MATCH('All Positional Stats'!AD$1,INDIRECT("'"&amp;$A13&amp;"'!$A$1:$W$1"),0))</f>
        <v>23.4</v>
      </c>
      <c r="AE13" s="1">
        <f t="shared" ca="1" si="18"/>
        <v>4</v>
      </c>
      <c r="AF13" s="1">
        <f ca="1">INDEX(INDIRECT("'"&amp;$A13&amp;"'!$A$1:$W$30"),MATCH('All Positional Stats'!$A$2,INDIRECT("'"&amp;$A13&amp;"'!$A$1:$A$30"),0),MATCH('All Positional Stats'!AF$1,INDIRECT("'"&amp;$A13&amp;"'!$A$1:$W$1"),0))</f>
        <v>11.4</v>
      </c>
      <c r="AG13" s="1">
        <f t="shared" ca="1" si="18"/>
        <v>9</v>
      </c>
      <c r="AH13" s="1">
        <f ca="1">INDEX(INDIRECT("'"&amp;$A13&amp;"'!$A$1:$W$30"),MATCH('All Positional Stats'!$A$2,INDIRECT("'"&amp;$A13&amp;"'!$A$1:$A$30"),0),MATCH('All Positional Stats'!AH$1,INDIRECT("'"&amp;$A13&amp;"'!$A$1:$W$1"),0))</f>
        <v>2.4</v>
      </c>
      <c r="AI13" s="1">
        <f ca="1">INDEX(INDIRECT("'"&amp;$A13&amp;"'!$A$1:$W$30"),MATCH('All Positional Stats'!$A$2,INDIRECT("'"&amp;$A13&amp;"'!$A$1:$A$30"),0),MATCH('All Positional Stats'!AI$1,INDIRECT("'"&amp;$A13&amp;"'!$A$1:$W$1"),0))</f>
        <v>30.9</v>
      </c>
      <c r="AJ13" s="7">
        <f ca="1">INDEX(INDIRECT("'"&amp;$A13&amp;"'!$A$1:$W$30"),MATCH('All Positional Stats'!$A$2,INDIRECT("'"&amp;$A13&amp;"'!$A$1:$A$30"),0),MATCH('All Positional Stats'!AJ$1,INDIRECT("'"&amp;$A13&amp;"'!$A$1:$W$1"),0))</f>
        <v>15.13125</v>
      </c>
      <c r="AK13" s="7">
        <f ca="1">INDEX(INDIRECT("'"&amp;$A13&amp;"'!$A$1:$W$30"),MATCH('All Positional Stats'!$A$2,INDIRECT("'"&amp;$A13&amp;"'!$A$1:$A$30"),0),MATCH('All Positional Stats'!AK$1,INDIRECT("'"&amp;$A13&amp;"'!$A$1:$W$1"),0))</f>
        <v>8.2396691946643088</v>
      </c>
      <c r="AL13" s="7">
        <f ca="1">INDEX(INDIRECT("'"&amp;$A13&amp;"'!$A$1:$W$30"),MATCH('All Positional Stats'!$A$2,INDIRECT("'"&amp;$A13&amp;"'!$A$1:$A$30"),0),MATCH('All Positional Stats'!AL$1,INDIRECT("'"&amp;$A13&amp;"'!$A$1:$W$1"),0))</f>
        <v>242.1</v>
      </c>
      <c r="AM13" s="6">
        <f ca="1">INDEX(INDIRECT("'"&amp;$A13&amp;"'!$A$1:$W$30"),MATCH('All Positional Stats'!$A$2,INDIRECT("'"&amp;$A13&amp;"'!$A$1:$A$30"),0),MATCH('All Positional Stats'!AM$1,INDIRECT("'"&amp;$A13&amp;"'!$A$1:$W$1"),0))</f>
        <v>0.1432544378698225</v>
      </c>
      <c r="AN13" s="9">
        <f t="shared" ca="1" si="16"/>
        <v>184.10000000000002</v>
      </c>
      <c r="AO13" s="8">
        <f t="shared" ca="1" si="17"/>
        <v>12</v>
      </c>
    </row>
    <row r="14" spans="1:41" ht="16.25" thickTop="1" thickBot="1" x14ac:dyDescent="0.9">
      <c r="A14" s="1" t="s">
        <v>12</v>
      </c>
      <c r="B14" s="1">
        <f ca="1">INDEX(INDIRECT("'"&amp;$A14&amp;"'!$A$1:$W$30"),MATCH('All Positional Stats'!$A$2,INDIRECT("'"&amp;$A14&amp;"'!$A$1:$A$30"),0),MATCH('All Positional Stats'!B$1,INDIRECT("'"&amp;$A14&amp;"'!$A$1:$W$1"),0))</f>
        <v>22.7</v>
      </c>
      <c r="C14" s="1">
        <f t="shared" ca="1" si="15"/>
        <v>2</v>
      </c>
      <c r="D14" s="1">
        <f ca="1">INDEX(INDIRECT("'"&amp;$A14&amp;"'!$A$1:$W$30"),MATCH('All Positional Stats'!$A$2,INDIRECT("'"&amp;$A14&amp;"'!$A$1:$A$30"),0),MATCH('All Positional Stats'!D$1,INDIRECT("'"&amp;$A14&amp;"'!$A$1:$W$1"),0))</f>
        <v>27.2</v>
      </c>
      <c r="E14" s="1">
        <f t="shared" ca="1" si="18"/>
        <v>2</v>
      </c>
      <c r="F14" s="1">
        <f ca="1">INDEX(INDIRECT("'"&amp;$A14&amp;"'!$A$1:$W$30"),MATCH('All Positional Stats'!$A$2,INDIRECT("'"&amp;$A14&amp;"'!$A$1:$A$30"),0),MATCH('All Positional Stats'!F$1,INDIRECT("'"&amp;$A14&amp;"'!$A$1:$W$1"),0))</f>
        <v>7.2</v>
      </c>
      <c r="G14" s="1">
        <f t="shared" ca="1" si="18"/>
        <v>12</v>
      </c>
      <c r="H14" s="1">
        <f ca="1">INDEX(INDIRECT("'"&amp;$A14&amp;"'!$A$1:$W$30"),MATCH('All Positional Stats'!$A$2,INDIRECT("'"&amp;$A14&amp;"'!$A$1:$A$30"),0),MATCH('All Positional Stats'!H$1,INDIRECT("'"&amp;$A14&amp;"'!$A$1:$W$1"),0))</f>
        <v>11.7</v>
      </c>
      <c r="I14" s="1">
        <f t="shared" ca="1" si="18"/>
        <v>11</v>
      </c>
      <c r="J14" s="1">
        <f ca="1">INDEX(INDIRECT("'"&amp;$A14&amp;"'!$A$1:$W$30"),MATCH('All Positional Stats'!$A$2,INDIRECT("'"&amp;$A14&amp;"'!$A$1:$A$30"),0),MATCH('All Positional Stats'!J$1,INDIRECT("'"&amp;$A14&amp;"'!$A$1:$W$1"),0))</f>
        <v>17</v>
      </c>
      <c r="K14" s="1">
        <f t="shared" ca="1" si="18"/>
        <v>9</v>
      </c>
      <c r="L14" s="1">
        <f ca="1">INDEX(INDIRECT("'"&amp;$A14&amp;"'!$A$1:$W$30"),MATCH('All Positional Stats'!$A$2,INDIRECT("'"&amp;$A14&amp;"'!$A$1:$A$30"),0),MATCH('All Positional Stats'!L$1,INDIRECT("'"&amp;$A14&amp;"'!$A$1:$W$1"),0))</f>
        <v>8.8000000000000007</v>
      </c>
      <c r="M14" s="1">
        <f t="shared" ca="1" si="18"/>
        <v>10</v>
      </c>
      <c r="N14" s="1">
        <f ca="1">INDEX(INDIRECT("'"&amp;$A14&amp;"'!$A$1:$W$30"),MATCH('All Positional Stats'!$A$2,INDIRECT("'"&amp;$A14&amp;"'!$A$1:$A$30"),0),MATCH('All Positional Stats'!N$1,INDIRECT("'"&amp;$A14&amp;"'!$A$1:$W$1"),0))</f>
        <v>8.9</v>
      </c>
      <c r="O14" s="1">
        <f t="shared" ca="1" si="18"/>
        <v>10</v>
      </c>
      <c r="P14" s="1">
        <f ca="1">INDEX(INDIRECT("'"&amp;$A14&amp;"'!$A$1:$W$30"),MATCH('All Positional Stats'!$A$2,INDIRECT("'"&amp;$A14&amp;"'!$A$1:$A$30"),0),MATCH('All Positional Stats'!P$1,INDIRECT("'"&amp;$A14&amp;"'!$A$1:$W$1"),0))</f>
        <v>14.5</v>
      </c>
      <c r="Q14" s="1">
        <f t="shared" ca="1" si="18"/>
        <v>10</v>
      </c>
      <c r="R14" s="1">
        <f ca="1">INDEX(INDIRECT("'"&amp;$A14&amp;"'!$A$1:$W$30"),MATCH('All Positional Stats'!$A$2,INDIRECT("'"&amp;$A14&amp;"'!$A$1:$A$30"),0),MATCH('All Positional Stats'!R$1,INDIRECT("'"&amp;$A14&amp;"'!$A$1:$W$1"),0))</f>
        <v>15.7</v>
      </c>
      <c r="S14" s="1">
        <f t="shared" ca="1" si="18"/>
        <v>12</v>
      </c>
      <c r="T14" s="1">
        <f ca="1">INDEX(INDIRECT("'"&amp;$A14&amp;"'!$A$1:$W$30"),MATCH('All Positional Stats'!$A$2,INDIRECT("'"&amp;$A14&amp;"'!$A$1:$A$30"),0),MATCH('All Positional Stats'!T$1,INDIRECT("'"&amp;$A14&amp;"'!$A$1:$W$1"),0))</f>
        <v>19.7</v>
      </c>
      <c r="U14" s="1">
        <f t="shared" ca="1" si="18"/>
        <v>6</v>
      </c>
      <c r="V14" s="1">
        <f ca="1">INDEX(INDIRECT("'"&amp;$A14&amp;"'!$A$1:$W$30"),MATCH('All Positional Stats'!$A$2,INDIRECT("'"&amp;$A14&amp;"'!$A$1:$A$30"),0),MATCH('All Positional Stats'!V$1,INDIRECT("'"&amp;$A14&amp;"'!$A$1:$W$1"),0))</f>
        <v>16.7</v>
      </c>
      <c r="W14" s="1">
        <f t="shared" ca="1" si="18"/>
        <v>8</v>
      </c>
      <c r="X14" s="1">
        <f ca="1">INDEX(INDIRECT("'"&amp;$A14&amp;"'!$A$1:$W$30"),MATCH('All Positional Stats'!$A$2,INDIRECT("'"&amp;$A14&amp;"'!$A$1:$A$30"),0),MATCH('All Positional Stats'!X$1,INDIRECT("'"&amp;$A14&amp;"'!$A$1:$W$1"),0))</f>
        <v>9.8000000000000007</v>
      </c>
      <c r="Y14" s="1">
        <f t="shared" ca="1" si="18"/>
        <v>11</v>
      </c>
      <c r="Z14" s="1">
        <f ca="1">INDEX(INDIRECT("'"&amp;$A14&amp;"'!$A$1:$W$30"),MATCH('All Positional Stats'!$A$2,INDIRECT("'"&amp;$A14&amp;"'!$A$1:$A$30"),0),MATCH('All Positional Stats'!Z$1,INDIRECT("'"&amp;$A14&amp;"'!$A$1:$W$1"),0))</f>
        <v>17.399999999999999</v>
      </c>
      <c r="AA14" s="1">
        <f t="shared" ca="1" si="18"/>
        <v>7</v>
      </c>
      <c r="AB14" s="1">
        <f ca="1">INDEX(INDIRECT("'"&amp;$A14&amp;"'!$A$1:$W$30"),MATCH('All Positional Stats'!$A$2,INDIRECT("'"&amp;$A14&amp;"'!$A$1:$A$30"),0),MATCH('All Positional Stats'!AB$1,INDIRECT("'"&amp;$A14&amp;"'!$A$1:$W$1"),0))</f>
        <v>12.4</v>
      </c>
      <c r="AC14" s="1">
        <f t="shared" ca="1" si="18"/>
        <v>8</v>
      </c>
      <c r="AD14" s="1">
        <f ca="1">INDEX(INDIRECT("'"&amp;$A14&amp;"'!$A$1:$W$30"),MATCH('All Positional Stats'!$A$2,INDIRECT("'"&amp;$A14&amp;"'!$A$1:$A$30"),0),MATCH('All Positional Stats'!AD$1,INDIRECT("'"&amp;$A14&amp;"'!$A$1:$W$1"),0))</f>
        <v>21.5</v>
      </c>
      <c r="AE14" s="1">
        <f t="shared" ca="1" si="18"/>
        <v>7</v>
      </c>
      <c r="AF14" s="1">
        <f ca="1">INDEX(INDIRECT("'"&amp;$A14&amp;"'!$A$1:$W$30"),MATCH('All Positional Stats'!$A$2,INDIRECT("'"&amp;$A14&amp;"'!$A$1:$A$30"),0),MATCH('All Positional Stats'!AF$1,INDIRECT("'"&amp;$A14&amp;"'!$A$1:$W$1"),0))</f>
        <v>7.9</v>
      </c>
      <c r="AG14" s="1">
        <f t="shared" ca="1" si="18"/>
        <v>11</v>
      </c>
      <c r="AH14" s="1">
        <f ca="1">INDEX(INDIRECT("'"&amp;$A14&amp;"'!$A$1:$W$30"),MATCH('All Positional Stats'!$A$2,INDIRECT("'"&amp;$A14&amp;"'!$A$1:$A$30"),0),MATCH('All Positional Stats'!AH$1,INDIRECT("'"&amp;$A14&amp;"'!$A$1:$W$1"),0))</f>
        <v>7.2</v>
      </c>
      <c r="AI14" s="1">
        <f ca="1">INDEX(INDIRECT("'"&amp;$A14&amp;"'!$A$1:$W$30"),MATCH('All Positional Stats'!$A$2,INDIRECT("'"&amp;$A14&amp;"'!$A$1:$A$30"),0),MATCH('All Positional Stats'!AI$1,INDIRECT("'"&amp;$A14&amp;"'!$A$1:$W$1"),0))</f>
        <v>27.2</v>
      </c>
      <c r="AJ14" s="7">
        <f ca="1">INDEX(INDIRECT("'"&amp;$A14&amp;"'!$A$1:$W$30"),MATCH('All Positional Stats'!$A$2,INDIRECT("'"&amp;$A14&amp;"'!$A$1:$A$30"),0),MATCH('All Positional Stats'!AJ$1,INDIRECT("'"&amp;$A14&amp;"'!$A$1:$W$1"),0))</f>
        <v>14.94375</v>
      </c>
      <c r="AK14" s="7">
        <f ca="1">INDEX(INDIRECT("'"&amp;$A14&amp;"'!$A$1:$W$30"),MATCH('All Positional Stats'!$A$2,INDIRECT("'"&amp;$A14&amp;"'!$A$1:$A$30"),0),MATCH('All Positional Stats'!AK$1,INDIRECT("'"&amp;$A14&amp;"'!$A$1:$W$1"),0))</f>
        <v>5.68660363815696</v>
      </c>
      <c r="AL14" s="7">
        <f ca="1">INDEX(INDIRECT("'"&amp;$A14&amp;"'!$A$1:$W$30"),MATCH('All Positional Stats'!$A$2,INDIRECT("'"&amp;$A14&amp;"'!$A$1:$A$30"),0),MATCH('All Positional Stats'!AL$1,INDIRECT("'"&amp;$A14&amp;"'!$A$1:$W$1"),0))</f>
        <v>239.1</v>
      </c>
      <c r="AM14" s="6">
        <f ca="1">INDEX(INDIRECT("'"&amp;$A14&amp;"'!$A$1:$W$30"),MATCH('All Positional Stats'!$A$2,INDIRECT("'"&amp;$A14&amp;"'!$A$1:$A$30"),0),MATCH('All Positional Stats'!AM$1,INDIRECT("'"&amp;$A14&amp;"'!$A$1:$W$1"),0))</f>
        <v>0.17105451423665763</v>
      </c>
      <c r="AN14" s="9">
        <f t="shared" ca="1" si="16"/>
        <v>197.29999999999998</v>
      </c>
      <c r="AO14" s="8">
        <f t="shared" ca="1" si="17"/>
        <v>11</v>
      </c>
    </row>
    <row r="15" spans="1:41" ht="16.25" thickTop="1" thickBot="1" x14ac:dyDescent="0.9"/>
    <row r="16" spans="1:41" ht="16.25" thickTop="1" thickBot="1" x14ac:dyDescent="0.9">
      <c r="B16" s="13" t="s">
        <v>13</v>
      </c>
      <c r="C16" s="15"/>
      <c r="D16" s="13" t="s">
        <v>14</v>
      </c>
      <c r="E16" s="15"/>
      <c r="F16" s="13" t="s">
        <v>15</v>
      </c>
      <c r="G16" s="15"/>
      <c r="H16" s="13" t="s">
        <v>16</v>
      </c>
      <c r="I16" s="15"/>
      <c r="J16" s="13" t="s">
        <v>17</v>
      </c>
      <c r="K16" s="15"/>
      <c r="L16" s="13" t="s">
        <v>18</v>
      </c>
      <c r="M16" s="15"/>
      <c r="N16" s="13" t="s">
        <v>19</v>
      </c>
      <c r="O16" s="15"/>
      <c r="P16" s="13" t="s">
        <v>20</v>
      </c>
      <c r="Q16" s="15"/>
      <c r="R16" s="13" t="s">
        <v>21</v>
      </c>
      <c r="S16" s="15"/>
      <c r="T16" s="13" t="s">
        <v>22</v>
      </c>
      <c r="U16" s="15"/>
      <c r="V16" s="13" t="s">
        <v>23</v>
      </c>
      <c r="W16" s="15"/>
      <c r="X16" s="13" t="s">
        <v>24</v>
      </c>
      <c r="Y16" s="15"/>
      <c r="Z16" s="13" t="s">
        <v>25</v>
      </c>
      <c r="AA16" s="15"/>
      <c r="AB16" s="13" t="s">
        <v>26</v>
      </c>
      <c r="AC16" s="15"/>
      <c r="AD16" s="13" t="s">
        <v>27</v>
      </c>
      <c r="AE16" s="15"/>
      <c r="AF16" s="13" t="s">
        <v>28</v>
      </c>
      <c r="AG16" s="15"/>
      <c r="AH16" s="16" t="s">
        <v>30</v>
      </c>
      <c r="AI16" s="16" t="s">
        <v>31</v>
      </c>
      <c r="AJ16" s="16" t="s">
        <v>32</v>
      </c>
      <c r="AK16" s="16" t="s">
        <v>33</v>
      </c>
      <c r="AL16" s="16" t="s">
        <v>34</v>
      </c>
      <c r="AM16" s="16" t="s">
        <v>35</v>
      </c>
      <c r="AN16" s="16" t="s">
        <v>64</v>
      </c>
      <c r="AO16" s="16" t="s">
        <v>63</v>
      </c>
    </row>
    <row r="17" spans="1:41" ht="16.25" thickTop="1" thickBot="1" x14ac:dyDescent="0.9">
      <c r="A17" t="s">
        <v>55</v>
      </c>
      <c r="B17" s="5" t="s">
        <v>29</v>
      </c>
      <c r="C17" s="5" t="s">
        <v>63</v>
      </c>
      <c r="D17" s="5" t="s">
        <v>29</v>
      </c>
      <c r="E17" s="5" t="s">
        <v>63</v>
      </c>
      <c r="F17" s="5" t="s">
        <v>29</v>
      </c>
      <c r="G17" s="5" t="s">
        <v>63</v>
      </c>
      <c r="H17" s="5" t="s">
        <v>29</v>
      </c>
      <c r="I17" s="5" t="s">
        <v>63</v>
      </c>
      <c r="J17" s="5" t="s">
        <v>29</v>
      </c>
      <c r="K17" s="5" t="s">
        <v>63</v>
      </c>
      <c r="L17" s="5" t="s">
        <v>29</v>
      </c>
      <c r="M17" s="5" t="s">
        <v>63</v>
      </c>
      <c r="N17" s="5" t="s">
        <v>29</v>
      </c>
      <c r="O17" s="5" t="s">
        <v>63</v>
      </c>
      <c r="P17" s="5" t="s">
        <v>29</v>
      </c>
      <c r="Q17" s="5" t="s">
        <v>63</v>
      </c>
      <c r="R17" s="5" t="s">
        <v>29</v>
      </c>
      <c r="S17" s="5" t="s">
        <v>63</v>
      </c>
      <c r="T17" s="5" t="s">
        <v>29</v>
      </c>
      <c r="U17" s="5" t="s">
        <v>63</v>
      </c>
      <c r="V17" s="5" t="s">
        <v>29</v>
      </c>
      <c r="W17" s="5" t="s">
        <v>63</v>
      </c>
      <c r="X17" s="5" t="s">
        <v>29</v>
      </c>
      <c r="Y17" s="5" t="s">
        <v>63</v>
      </c>
      <c r="Z17" s="5" t="s">
        <v>29</v>
      </c>
      <c r="AA17" s="5" t="s">
        <v>63</v>
      </c>
      <c r="AB17" s="5" t="s">
        <v>29</v>
      </c>
      <c r="AC17" s="5" t="s">
        <v>63</v>
      </c>
      <c r="AD17" s="5" t="s">
        <v>29</v>
      </c>
      <c r="AE17" s="5" t="s">
        <v>63</v>
      </c>
      <c r="AF17" s="5" t="s">
        <v>29</v>
      </c>
      <c r="AG17" s="5" t="s">
        <v>63</v>
      </c>
      <c r="AH17" s="17"/>
      <c r="AI17" s="17"/>
      <c r="AJ17" s="17"/>
      <c r="AK17" s="17"/>
      <c r="AL17" s="17"/>
      <c r="AM17" s="17"/>
      <c r="AN17" s="17"/>
      <c r="AO17" s="17"/>
    </row>
    <row r="18" spans="1:41" ht="16.25" thickTop="1" thickBot="1" x14ac:dyDescent="0.9">
      <c r="A18" s="1" t="s">
        <v>1</v>
      </c>
      <c r="B18" s="1">
        <f ca="1">INDEX(INDIRECT("'"&amp;$A18&amp;"'!$A$1:$W$30"),MATCH('All Positional Stats'!$A$17,INDIRECT("'"&amp;$A18&amp;"'!$A$1:$A$30"),0),MATCH('All Positional Stats'!B$16,INDIRECT("'"&amp;$A18&amp;"'!$A$1:$W$1"),0))</f>
        <v>22.5</v>
      </c>
      <c r="C18" s="1">
        <f ca="1">_xlfn.RANK.EQ(B18,B$18:B$29)</f>
        <v>1</v>
      </c>
      <c r="D18" s="1">
        <f ca="1">INDEX(INDIRECT("'"&amp;$A18&amp;"'!$A$1:$W$30"),MATCH('All Positional Stats'!$A$17,INDIRECT("'"&amp;$A18&amp;"'!$A$1:$A$30"),0),MATCH('All Positional Stats'!D$16,INDIRECT("'"&amp;$A18&amp;"'!$A$1:$W$1"),0))</f>
        <v>13.6</v>
      </c>
      <c r="E18" s="1">
        <f t="shared" ref="E18" ca="1" si="19">_xlfn.RANK.EQ(D18,D$18:D$29)</f>
        <v>4</v>
      </c>
      <c r="F18" s="1">
        <f ca="1">INDEX(INDIRECT("'"&amp;$A18&amp;"'!$A$1:$W$30"),MATCH('All Positional Stats'!$A$17,INDIRECT("'"&amp;$A18&amp;"'!$A$1:$A$30"),0),MATCH('All Positional Stats'!F$16,INDIRECT("'"&amp;$A18&amp;"'!$A$1:$W$1"),0))</f>
        <v>3.5</v>
      </c>
      <c r="G18" s="1">
        <f t="shared" ref="G18" ca="1" si="20">_xlfn.RANK.EQ(F18,F$18:F$29)</f>
        <v>11</v>
      </c>
      <c r="H18" s="1">
        <f ca="1">INDEX(INDIRECT("'"&amp;$A18&amp;"'!$A$1:$W$30"),MATCH('All Positional Stats'!$A$17,INDIRECT("'"&amp;$A18&amp;"'!$A$1:$A$30"),0),MATCH('All Positional Stats'!H$16,INDIRECT("'"&amp;$A18&amp;"'!$A$1:$W$1"),0))</f>
        <v>11.8</v>
      </c>
      <c r="I18" s="1">
        <f t="shared" ref="I18" ca="1" si="21">_xlfn.RANK.EQ(H18,H$18:H$29)</f>
        <v>8</v>
      </c>
      <c r="J18" s="1">
        <f ca="1">INDEX(INDIRECT("'"&amp;$A18&amp;"'!$A$1:$W$30"),MATCH('All Positional Stats'!$A$17,INDIRECT("'"&amp;$A18&amp;"'!$A$1:$A$30"),0),MATCH('All Positional Stats'!J$16,INDIRECT("'"&amp;$A18&amp;"'!$A$1:$W$1"),0))</f>
        <v>5.2</v>
      </c>
      <c r="K18" s="1">
        <f t="shared" ref="K18" ca="1" si="22">_xlfn.RANK.EQ(J18,J$18:J$29)</f>
        <v>10</v>
      </c>
      <c r="L18" s="1">
        <f ca="1">INDEX(INDIRECT("'"&amp;$A18&amp;"'!$A$1:$W$30"),MATCH('All Positional Stats'!$A$17,INDIRECT("'"&amp;$A18&amp;"'!$A$1:$A$30"),0),MATCH('All Positional Stats'!L$16,INDIRECT("'"&amp;$A18&amp;"'!$A$1:$W$1"),0))</f>
        <v>2.4</v>
      </c>
      <c r="M18" s="1">
        <f t="shared" ref="M18" ca="1" si="23">_xlfn.RANK.EQ(L18,L$18:L$29)</f>
        <v>12</v>
      </c>
      <c r="N18" s="1">
        <f ca="1">INDEX(INDIRECT("'"&amp;$A18&amp;"'!$A$1:$W$30"),MATCH('All Positional Stats'!$A$17,INDIRECT("'"&amp;$A18&amp;"'!$A$1:$A$30"),0),MATCH('All Positional Stats'!N$16,INDIRECT("'"&amp;$A18&amp;"'!$A$1:$W$1"),0))</f>
        <v>3.1</v>
      </c>
      <c r="O18" s="1">
        <f t="shared" ref="O18" ca="1" si="24">_xlfn.RANK.EQ(N18,N$18:N$29)</f>
        <v>9</v>
      </c>
      <c r="P18" s="1">
        <f ca="1">INDEX(INDIRECT("'"&amp;$A18&amp;"'!$A$1:$W$30"),MATCH('All Positional Stats'!$A$17,INDIRECT("'"&amp;$A18&amp;"'!$A$1:$A$30"),0),MATCH('All Positional Stats'!P$16,INDIRECT("'"&amp;$A18&amp;"'!$A$1:$W$1"),0))</f>
        <v>3.4</v>
      </c>
      <c r="Q18" s="1">
        <f t="shared" ref="Q18" ca="1" si="25">_xlfn.RANK.EQ(P18,P$18:P$29)</f>
        <v>12</v>
      </c>
      <c r="R18" s="1">
        <f ca="1">INDEX(INDIRECT("'"&amp;$A18&amp;"'!$A$1:$W$30"),MATCH('All Positional Stats'!$A$17,INDIRECT("'"&amp;$A18&amp;"'!$A$1:$A$30"),0),MATCH('All Positional Stats'!R$16,INDIRECT("'"&amp;$A18&amp;"'!$A$1:$W$1"),0))</f>
        <v>13.8</v>
      </c>
      <c r="S18" s="1">
        <f t="shared" ref="S18:AG19" ca="1" si="26">_xlfn.RANK.EQ(R18,R$18:R$29)</f>
        <v>4</v>
      </c>
      <c r="T18" s="1">
        <f ca="1">INDEX(INDIRECT("'"&amp;$A18&amp;"'!$A$1:$W$30"),MATCH('All Positional Stats'!$A$17,INDIRECT("'"&amp;$A18&amp;"'!$A$1:$A$30"),0),MATCH('All Positional Stats'!T$16,INDIRECT("'"&amp;$A18&amp;"'!$A$1:$W$1"),0))</f>
        <v>12.8</v>
      </c>
      <c r="U18" s="1">
        <f t="shared" ref="U18" ca="1" si="27">_xlfn.RANK.EQ(T18,T$18:T$29)</f>
        <v>3</v>
      </c>
      <c r="V18" s="1">
        <f ca="1">INDEX(INDIRECT("'"&amp;$A18&amp;"'!$A$1:$W$30"),MATCH('All Positional Stats'!$A$17,INDIRECT("'"&amp;$A18&amp;"'!$A$1:$A$30"),0),MATCH('All Positional Stats'!V$16,INDIRECT("'"&amp;$A18&amp;"'!$A$1:$W$1"),0))</f>
        <v>22.1</v>
      </c>
      <c r="W18" s="1">
        <f t="shared" ref="W18" ca="1" si="28">_xlfn.RANK.EQ(V18,V$18:V$29)</f>
        <v>2</v>
      </c>
      <c r="X18" s="1">
        <f ca="1">INDEX(INDIRECT("'"&amp;$A18&amp;"'!$A$1:$W$30"),MATCH('All Positional Stats'!$A$17,INDIRECT("'"&amp;$A18&amp;"'!$A$1:$A$30"),0),MATCH('All Positional Stats'!X$16,INDIRECT("'"&amp;$A18&amp;"'!$A$1:$W$1"),0))</f>
        <v>14.4</v>
      </c>
      <c r="Y18" s="1">
        <f t="shared" ref="Y18" ca="1" si="29">_xlfn.RANK.EQ(X18,X$18:X$29)</f>
        <v>3</v>
      </c>
      <c r="Z18" s="1">
        <f ca="1">INDEX(INDIRECT("'"&amp;$A18&amp;"'!$A$1:$W$30"),MATCH('All Positional Stats'!$A$17,INDIRECT("'"&amp;$A18&amp;"'!$A$1:$A$30"),0),MATCH('All Positional Stats'!Z$16,INDIRECT("'"&amp;$A18&amp;"'!$A$1:$W$1"),0))</f>
        <v>11.2</v>
      </c>
      <c r="AA18" s="1">
        <f t="shared" ref="AA18" ca="1" si="30">_xlfn.RANK.EQ(Z18,Z$18:Z$29)</f>
        <v>8</v>
      </c>
      <c r="AB18" s="1">
        <f ca="1">INDEX(INDIRECT("'"&amp;$A18&amp;"'!$A$1:$W$30"),MATCH('All Positional Stats'!$A$17,INDIRECT("'"&amp;$A18&amp;"'!$A$1:$A$30"),0),MATCH('All Positional Stats'!AB$16,INDIRECT("'"&amp;$A18&amp;"'!$A$1:$W$1"),0))</f>
        <v>3</v>
      </c>
      <c r="AC18" s="1">
        <f t="shared" ref="AC18" ca="1" si="31">_xlfn.RANK.EQ(AB18,AB$18:AB$29)</f>
        <v>12</v>
      </c>
      <c r="AD18" s="1">
        <f ca="1">INDEX(INDIRECT("'"&amp;$A18&amp;"'!$A$1:$W$30"),MATCH('All Positional Stats'!$A$17,INDIRECT("'"&amp;$A18&amp;"'!$A$1:$A$30"),0),MATCH('All Positional Stats'!AD$16,INDIRECT("'"&amp;$A18&amp;"'!$A$1:$W$1"),0))</f>
        <v>16.899999999999999</v>
      </c>
      <c r="AE18" s="1">
        <f t="shared" ref="AE18" ca="1" si="32">_xlfn.RANK.EQ(AD18,AD$18:AD$29)</f>
        <v>7</v>
      </c>
      <c r="AF18" s="1">
        <f ca="1">INDEX(INDIRECT("'"&amp;$A18&amp;"'!$A$1:$W$30"),MATCH('All Positional Stats'!$A$17,INDIRECT("'"&amp;$A18&amp;"'!$A$1:$A$30"),0),MATCH('All Positional Stats'!AF$16,INDIRECT("'"&amp;$A18&amp;"'!$A$1:$W$1"),0))</f>
        <v>8</v>
      </c>
      <c r="AG18" s="1">
        <f t="shared" ref="AG18" ca="1" si="33">_xlfn.RANK.EQ(AF18,AF$18:AF$29)</f>
        <v>8</v>
      </c>
      <c r="AH18" s="1">
        <f ca="1">INDEX(INDIRECT("'"&amp;$A18&amp;"'!$A$1:$W$30"),MATCH('All Positional Stats'!$A$17,INDIRECT("'"&amp;$A18&amp;"'!$A$1:$A$30"),0),MATCH('All Positional Stats'!AH$16,INDIRECT("'"&amp;$A18&amp;"'!$A$1:$W$1"),0))</f>
        <v>2.4</v>
      </c>
      <c r="AI18" s="1">
        <f ca="1">INDEX(INDIRECT("'"&amp;$A18&amp;"'!$A$1:$W$30"),MATCH('All Positional Stats'!$A$17,INDIRECT("'"&amp;$A18&amp;"'!$A$1:$A$30"),0),MATCH('All Positional Stats'!AI$16,INDIRECT("'"&amp;$A18&amp;"'!$A$1:$W$1"),0))</f>
        <v>22.5</v>
      </c>
      <c r="AJ18" s="7">
        <f ca="1">INDEX(INDIRECT("'"&amp;$A18&amp;"'!$A$1:$W$30"),MATCH('All Positional Stats'!$A$17,INDIRECT("'"&amp;$A18&amp;"'!$A$1:$A$30"),0),MATCH('All Positional Stats'!AJ$16,INDIRECT("'"&amp;$A18&amp;"'!$A$1:$W$1"),0))</f>
        <v>10.481249999999999</v>
      </c>
      <c r="AK18" s="7">
        <f ca="1">INDEX(INDIRECT("'"&amp;$A18&amp;"'!$A$1:$W$30"),MATCH('All Positional Stats'!$A$17,INDIRECT("'"&amp;$A18&amp;"'!$A$1:$A$30"),0),MATCH('All Positional Stats'!AK$16,INDIRECT("'"&amp;$A18&amp;"'!$A$1:$W$1"),0))</f>
        <v>6.4858710623554625</v>
      </c>
      <c r="AL18" s="7">
        <f ca="1">INDEX(INDIRECT("'"&amp;$A18&amp;"'!$A$1:$W$30"),MATCH('All Positional Stats'!$A$17,INDIRECT("'"&amp;$A18&amp;"'!$A$1:$A$30"),0),MATCH('All Positional Stats'!AL$16,INDIRECT("'"&amp;$A18&amp;"'!$A$1:$W$1"),0))</f>
        <v>167.70000000000002</v>
      </c>
      <c r="AM18" s="6">
        <f ca="1">INDEX(INDIRECT("'"&amp;$A18&amp;"'!$A$1:$W$30"),MATCH('All Positional Stats'!$A$17,INDIRECT("'"&amp;$A18&amp;"'!$A$1:$A$30"),0),MATCH('All Positional Stats'!AM$16,INDIRECT("'"&amp;$A18&amp;"'!$A$1:$W$1"),0))</f>
        <v>0.12306450429294784</v>
      </c>
      <c r="AN18" s="9">
        <f ca="1">SUMIF($B$17:$AA$17, "Points", B18:AA18)</f>
        <v>139.80000000000001</v>
      </c>
      <c r="AO18" s="8">
        <f ca="1">_xlfn.RANK.EQ(AN18,$AN$18:$AN$29)</f>
        <v>7</v>
      </c>
    </row>
    <row r="19" spans="1:41" ht="16.25" thickTop="1" thickBot="1" x14ac:dyDescent="0.9">
      <c r="A19" s="1" t="s">
        <v>2</v>
      </c>
      <c r="B19" s="1">
        <f ca="1">INDEX(INDIRECT("'"&amp;$A19&amp;"'!$A$1:$W$30"),MATCH('All Positional Stats'!$A$17,INDIRECT("'"&amp;$A19&amp;"'!$A$1:$A$30"),0),MATCH('All Positional Stats'!B$16,INDIRECT("'"&amp;$A19&amp;"'!$A$1:$W$1"),0))</f>
        <v>14.1</v>
      </c>
      <c r="C19" s="1">
        <f t="shared" ref="C19:Q29" ca="1" si="34">_xlfn.RANK.EQ(B19,B$18:B$29)</f>
        <v>7</v>
      </c>
      <c r="D19" s="1">
        <f ca="1">INDEX(INDIRECT("'"&amp;$A19&amp;"'!$A$1:$W$30"),MATCH('All Positional Stats'!$A$17,INDIRECT("'"&amp;$A19&amp;"'!$A$1:$A$30"),0),MATCH('All Positional Stats'!D$16,INDIRECT("'"&amp;$A19&amp;"'!$A$1:$W$1"),0))</f>
        <v>0.7</v>
      </c>
      <c r="E19" s="1">
        <f t="shared" ca="1" si="34"/>
        <v>12</v>
      </c>
      <c r="F19" s="1">
        <f ca="1">INDEX(INDIRECT("'"&amp;$A19&amp;"'!$A$1:$W$30"),MATCH('All Positional Stats'!$A$17,INDIRECT("'"&amp;$A19&amp;"'!$A$1:$A$30"),0),MATCH('All Positional Stats'!F$16,INDIRECT("'"&amp;$A19&amp;"'!$A$1:$W$1"),0))</f>
        <v>29.1</v>
      </c>
      <c r="G19" s="1">
        <f t="shared" ca="1" si="34"/>
        <v>2</v>
      </c>
      <c r="H19" s="1">
        <f ca="1">INDEX(INDIRECT("'"&amp;$A19&amp;"'!$A$1:$W$30"),MATCH('All Positional Stats'!$A$17,INDIRECT("'"&amp;$A19&amp;"'!$A$1:$A$30"),0),MATCH('All Positional Stats'!H$16,INDIRECT("'"&amp;$A19&amp;"'!$A$1:$W$1"),0))</f>
        <v>13.3</v>
      </c>
      <c r="I19" s="1">
        <f t="shared" ca="1" si="34"/>
        <v>6</v>
      </c>
      <c r="J19" s="1">
        <f ca="1">INDEX(INDIRECT("'"&amp;$A19&amp;"'!$A$1:$W$30"),MATCH('All Positional Stats'!$A$17,INDIRECT("'"&amp;$A19&amp;"'!$A$1:$A$30"),0),MATCH('All Positional Stats'!J$16,INDIRECT("'"&amp;$A19&amp;"'!$A$1:$W$1"),0))</f>
        <v>7.6</v>
      </c>
      <c r="K19" s="1">
        <f t="shared" ca="1" si="34"/>
        <v>8</v>
      </c>
      <c r="L19" s="1">
        <f ca="1">INDEX(INDIRECT("'"&amp;$A19&amp;"'!$A$1:$W$30"),MATCH('All Positional Stats'!$A$17,INDIRECT("'"&amp;$A19&amp;"'!$A$1:$A$30"),0),MATCH('All Positional Stats'!L$16,INDIRECT("'"&amp;$A19&amp;"'!$A$1:$W$1"),0))</f>
        <v>18.100000000000001</v>
      </c>
      <c r="M19" s="1">
        <f t="shared" ca="1" si="34"/>
        <v>4</v>
      </c>
      <c r="N19" s="1">
        <f ca="1">INDEX(INDIRECT("'"&amp;$A19&amp;"'!$A$1:$W$30"),MATCH('All Positional Stats'!$A$17,INDIRECT("'"&amp;$A19&amp;"'!$A$1:$A$30"),0),MATCH('All Positional Stats'!N$16,INDIRECT("'"&amp;$A19&amp;"'!$A$1:$W$1"),0))</f>
        <v>6.5</v>
      </c>
      <c r="O19" s="1">
        <f t="shared" ca="1" si="34"/>
        <v>7</v>
      </c>
      <c r="P19" s="1">
        <f ca="1">INDEX(INDIRECT("'"&amp;$A19&amp;"'!$A$1:$W$30"),MATCH('All Positional Stats'!$A$17,INDIRECT("'"&amp;$A19&amp;"'!$A$1:$A$30"),0),MATCH('All Positional Stats'!P$16,INDIRECT("'"&amp;$A19&amp;"'!$A$1:$W$1"),0))</f>
        <v>13.6</v>
      </c>
      <c r="Q19" s="1">
        <f t="shared" ca="1" si="34"/>
        <v>4</v>
      </c>
      <c r="R19" s="1">
        <f ca="1">INDEX(INDIRECT("'"&amp;$A19&amp;"'!$A$1:$W$30"),MATCH('All Positional Stats'!$A$17,INDIRECT("'"&amp;$A19&amp;"'!$A$1:$A$30"),0),MATCH('All Positional Stats'!R$16,INDIRECT("'"&amp;$A19&amp;"'!$A$1:$W$1"),0))</f>
        <v>1.3</v>
      </c>
      <c r="S19" s="1">
        <f t="shared" ca="1" si="26"/>
        <v>11</v>
      </c>
      <c r="T19" s="1">
        <f ca="1">INDEX(INDIRECT("'"&amp;$A19&amp;"'!$A$1:$W$30"),MATCH('All Positional Stats'!$A$17,INDIRECT("'"&amp;$A19&amp;"'!$A$1:$A$30"),0),MATCH('All Positional Stats'!T$16,INDIRECT("'"&amp;$A19&amp;"'!$A$1:$W$1"),0))</f>
        <v>5.4</v>
      </c>
      <c r="U19" s="1">
        <f t="shared" ca="1" si="26"/>
        <v>10</v>
      </c>
      <c r="V19" s="1">
        <f ca="1">INDEX(INDIRECT("'"&amp;$A19&amp;"'!$A$1:$W$30"),MATCH('All Positional Stats'!$A$17,INDIRECT("'"&amp;$A19&amp;"'!$A$1:$A$30"),0),MATCH('All Positional Stats'!V$16,INDIRECT("'"&amp;$A19&amp;"'!$A$1:$W$1"),0))</f>
        <v>18.5</v>
      </c>
      <c r="W19" s="1">
        <f t="shared" ca="1" si="26"/>
        <v>3</v>
      </c>
      <c r="X19" s="1">
        <f ca="1">INDEX(INDIRECT("'"&amp;$A19&amp;"'!$A$1:$W$30"),MATCH('All Positional Stats'!$A$17,INDIRECT("'"&amp;$A19&amp;"'!$A$1:$A$30"),0),MATCH('All Positional Stats'!X$16,INDIRECT("'"&amp;$A19&amp;"'!$A$1:$W$1"),0))</f>
        <v>2.9</v>
      </c>
      <c r="Y19" s="1">
        <f t="shared" ca="1" si="26"/>
        <v>12</v>
      </c>
      <c r="Z19" s="1">
        <f ca="1">INDEX(INDIRECT("'"&amp;$A19&amp;"'!$A$1:$W$30"),MATCH('All Positional Stats'!$A$17,INDIRECT("'"&amp;$A19&amp;"'!$A$1:$A$30"),0),MATCH('All Positional Stats'!Z$16,INDIRECT("'"&amp;$A19&amp;"'!$A$1:$W$1"),0))</f>
        <v>3.8</v>
      </c>
      <c r="AA19" s="1">
        <f t="shared" ca="1" si="26"/>
        <v>12</v>
      </c>
      <c r="AB19" s="1">
        <f ca="1">INDEX(INDIRECT("'"&amp;$A19&amp;"'!$A$1:$W$30"),MATCH('All Positional Stats'!$A$17,INDIRECT("'"&amp;$A19&amp;"'!$A$1:$A$30"),0),MATCH('All Positional Stats'!AB$16,INDIRECT("'"&amp;$A19&amp;"'!$A$1:$W$1"),0))</f>
        <v>28</v>
      </c>
      <c r="AC19" s="1">
        <f t="shared" ca="1" si="26"/>
        <v>1</v>
      </c>
      <c r="AD19" s="1">
        <f ca="1">INDEX(INDIRECT("'"&amp;$A19&amp;"'!$A$1:$W$30"),MATCH('All Positional Stats'!$A$17,INDIRECT("'"&amp;$A19&amp;"'!$A$1:$A$30"),0),MATCH('All Positional Stats'!AD$16,INDIRECT("'"&amp;$A19&amp;"'!$A$1:$W$1"),0))</f>
        <v>8.3000000000000007</v>
      </c>
      <c r="AE19" s="1">
        <f t="shared" ca="1" si="26"/>
        <v>10</v>
      </c>
      <c r="AF19" s="1">
        <f ca="1">INDEX(INDIRECT("'"&amp;$A19&amp;"'!$A$1:$W$30"),MATCH('All Positional Stats'!$A$17,INDIRECT("'"&amp;$A19&amp;"'!$A$1:$A$30"),0),MATCH('All Positional Stats'!AF$16,INDIRECT("'"&amp;$A19&amp;"'!$A$1:$W$1"),0))</f>
        <v>16.399999999999999</v>
      </c>
      <c r="AG19" s="1">
        <f t="shared" ca="1" si="26"/>
        <v>4</v>
      </c>
      <c r="AH19" s="1">
        <f ca="1">INDEX(INDIRECT("'"&amp;$A19&amp;"'!$A$1:$W$30"),MATCH('All Positional Stats'!$A$17,INDIRECT("'"&amp;$A19&amp;"'!$A$1:$A$30"),0),MATCH('All Positional Stats'!AH$16,INDIRECT("'"&amp;$A19&amp;"'!$A$1:$W$1"),0))</f>
        <v>0.7</v>
      </c>
      <c r="AI19" s="1">
        <f ca="1">INDEX(INDIRECT("'"&amp;$A19&amp;"'!$A$1:$W$30"),MATCH('All Positional Stats'!$A$17,INDIRECT("'"&amp;$A19&amp;"'!$A$1:$A$30"),0),MATCH('All Positional Stats'!AI$16,INDIRECT("'"&amp;$A19&amp;"'!$A$1:$W$1"),0))</f>
        <v>29.1</v>
      </c>
      <c r="AJ19" s="7">
        <f ca="1">INDEX(INDIRECT("'"&amp;$A19&amp;"'!$A$1:$W$30"),MATCH('All Positional Stats'!$A$17,INDIRECT("'"&amp;$A19&amp;"'!$A$1:$A$30"),0),MATCH('All Positional Stats'!AJ$16,INDIRECT("'"&amp;$A19&amp;"'!$A$1:$W$1"),0))</f>
        <v>11.725</v>
      </c>
      <c r="AK19" s="7">
        <f ca="1">INDEX(INDIRECT("'"&amp;$A19&amp;"'!$A$1:$W$30"),MATCH('All Positional Stats'!$A$17,INDIRECT("'"&amp;$A19&amp;"'!$A$1:$A$30"),0),MATCH('All Positional Stats'!AK$16,INDIRECT("'"&amp;$A19&amp;"'!$A$1:$W$1"),0))</f>
        <v>8.4917975128944274</v>
      </c>
      <c r="AL19" s="7">
        <f ca="1">INDEX(INDIRECT("'"&amp;$A19&amp;"'!$A$1:$W$30"),MATCH('All Positional Stats'!$A$17,INDIRECT("'"&amp;$A19&amp;"'!$A$1:$A$30"),0),MATCH('All Positional Stats'!AL$16,INDIRECT("'"&amp;$A19&amp;"'!$A$1:$W$1"),0))</f>
        <v>187.6</v>
      </c>
      <c r="AM19" s="6">
        <f ca="1">INDEX(INDIRECT("'"&amp;$A19&amp;"'!$A$1:$W$30"),MATCH('All Positional Stats'!$A$17,INDIRECT("'"&amp;$A19&amp;"'!$A$1:$A$30"),0),MATCH('All Positional Stats'!AM$16,INDIRECT("'"&amp;$A19&amp;"'!$A$1:$W$1"),0))</f>
        <v>0.12451878401699192</v>
      </c>
      <c r="AN19" s="9">
        <f t="shared" ref="AN19:AN29" ca="1" si="35">SUMIF($B$17:$AA$17, "Points", B19:AA19)</f>
        <v>134.9</v>
      </c>
      <c r="AO19" s="8">
        <f t="shared" ref="AO19:AO29" ca="1" si="36">_xlfn.RANK.EQ(AN19,$AN$18:$AN$29)</f>
        <v>8</v>
      </c>
    </row>
    <row r="20" spans="1:41" ht="16.25" thickTop="1" thickBot="1" x14ac:dyDescent="0.9">
      <c r="A20" s="1" t="s">
        <v>3</v>
      </c>
      <c r="B20" s="1">
        <f ca="1">INDEX(INDIRECT("'"&amp;$A20&amp;"'!$A$1:$W$30"),MATCH('All Positional Stats'!$A$17,INDIRECT("'"&amp;$A20&amp;"'!$A$1:$A$30"),0),MATCH('All Positional Stats'!B$16,INDIRECT("'"&amp;$A20&amp;"'!$A$1:$W$1"),0))</f>
        <v>6.2</v>
      </c>
      <c r="C20" s="1">
        <f t="shared" ca="1" si="34"/>
        <v>12</v>
      </c>
      <c r="D20" s="1">
        <f ca="1">INDEX(INDIRECT("'"&amp;$A20&amp;"'!$A$1:$W$30"),MATCH('All Positional Stats'!$A$17,INDIRECT("'"&amp;$A20&amp;"'!$A$1:$A$30"),0),MATCH('All Positional Stats'!D$16,INDIRECT("'"&amp;$A20&amp;"'!$A$1:$W$1"),0))</f>
        <v>11.1</v>
      </c>
      <c r="E20" s="1">
        <f t="shared" ref="E20:AG29" ca="1" si="37">_xlfn.RANK.EQ(D20,D$18:D$29)</f>
        <v>7</v>
      </c>
      <c r="F20" s="1">
        <f ca="1">INDEX(INDIRECT("'"&amp;$A20&amp;"'!$A$1:$W$30"),MATCH('All Positional Stats'!$A$17,INDIRECT("'"&amp;$A20&amp;"'!$A$1:$A$30"),0),MATCH('All Positional Stats'!F$16,INDIRECT("'"&amp;$A20&amp;"'!$A$1:$W$1"),0))</f>
        <v>18.8</v>
      </c>
      <c r="G20" s="1">
        <f t="shared" ca="1" si="37"/>
        <v>4</v>
      </c>
      <c r="H20" s="1">
        <f ca="1">INDEX(INDIRECT("'"&amp;$A20&amp;"'!$A$1:$W$30"),MATCH('All Positional Stats'!$A$17,INDIRECT("'"&amp;$A20&amp;"'!$A$1:$A$30"),0),MATCH('All Positional Stats'!H$16,INDIRECT("'"&amp;$A20&amp;"'!$A$1:$W$1"),0))</f>
        <v>32.6</v>
      </c>
      <c r="I20" s="1">
        <f t="shared" ca="1" si="37"/>
        <v>1</v>
      </c>
      <c r="J20" s="1">
        <f ca="1">INDEX(INDIRECT("'"&amp;$A20&amp;"'!$A$1:$W$30"),MATCH('All Positional Stats'!$A$17,INDIRECT("'"&amp;$A20&amp;"'!$A$1:$A$30"),0),MATCH('All Positional Stats'!J$16,INDIRECT("'"&amp;$A20&amp;"'!$A$1:$W$1"),0))</f>
        <v>14.3</v>
      </c>
      <c r="K20" s="1">
        <f t="shared" ca="1" si="37"/>
        <v>3</v>
      </c>
      <c r="L20" s="1">
        <f ca="1">INDEX(INDIRECT("'"&amp;$A20&amp;"'!$A$1:$W$30"),MATCH('All Positional Stats'!$A$17,INDIRECT("'"&amp;$A20&amp;"'!$A$1:$A$30"),0),MATCH('All Positional Stats'!L$16,INDIRECT("'"&amp;$A20&amp;"'!$A$1:$W$1"),0))</f>
        <v>26.6</v>
      </c>
      <c r="M20" s="1">
        <f t="shared" ca="1" si="37"/>
        <v>2</v>
      </c>
      <c r="N20" s="1">
        <f ca="1">INDEX(INDIRECT("'"&amp;$A20&amp;"'!$A$1:$W$30"),MATCH('All Positional Stats'!$A$17,INDIRECT("'"&amp;$A20&amp;"'!$A$1:$A$30"),0),MATCH('All Positional Stats'!N$16,INDIRECT("'"&amp;$A20&amp;"'!$A$1:$W$1"),0))</f>
        <v>20.7</v>
      </c>
      <c r="O20" s="1">
        <f t="shared" ca="1" si="37"/>
        <v>4</v>
      </c>
      <c r="P20" s="1">
        <f ca="1">INDEX(INDIRECT("'"&amp;$A20&amp;"'!$A$1:$W$30"),MATCH('All Positional Stats'!$A$17,INDIRECT("'"&amp;$A20&amp;"'!$A$1:$A$30"),0),MATCH('All Positional Stats'!P$16,INDIRECT("'"&amp;$A20&amp;"'!$A$1:$W$1"),0))</f>
        <v>13.1</v>
      </c>
      <c r="Q20" s="1">
        <f t="shared" ca="1" si="37"/>
        <v>5</v>
      </c>
      <c r="R20" s="1">
        <f ca="1">INDEX(INDIRECT("'"&amp;$A20&amp;"'!$A$1:$W$30"),MATCH('All Positional Stats'!$A$17,INDIRECT("'"&amp;$A20&amp;"'!$A$1:$A$30"),0),MATCH('All Positional Stats'!R$16,INDIRECT("'"&amp;$A20&amp;"'!$A$1:$W$1"),0))</f>
        <v>10.6</v>
      </c>
      <c r="S20" s="1">
        <f t="shared" ca="1" si="37"/>
        <v>5</v>
      </c>
      <c r="T20" s="1">
        <f ca="1">INDEX(INDIRECT("'"&amp;$A20&amp;"'!$A$1:$W$30"),MATCH('All Positional Stats'!$A$17,INDIRECT("'"&amp;$A20&amp;"'!$A$1:$A$30"),0),MATCH('All Positional Stats'!T$16,INDIRECT("'"&amp;$A20&amp;"'!$A$1:$W$1"),0))</f>
        <v>7.9</v>
      </c>
      <c r="U20" s="1">
        <f t="shared" ca="1" si="37"/>
        <v>5</v>
      </c>
      <c r="V20" s="1">
        <f ca="1">INDEX(INDIRECT("'"&amp;$A20&amp;"'!$A$1:$W$30"),MATCH('All Positional Stats'!$A$17,INDIRECT("'"&amp;$A20&amp;"'!$A$1:$A$30"),0),MATCH('All Positional Stats'!V$16,INDIRECT("'"&amp;$A20&amp;"'!$A$1:$W$1"),0))</f>
        <v>16.3</v>
      </c>
      <c r="W20" s="1">
        <f t="shared" ca="1" si="37"/>
        <v>4</v>
      </c>
      <c r="X20" s="1">
        <f ca="1">INDEX(INDIRECT("'"&amp;$A20&amp;"'!$A$1:$W$30"),MATCH('All Positional Stats'!$A$17,INDIRECT("'"&amp;$A20&amp;"'!$A$1:$A$30"),0),MATCH('All Positional Stats'!X$16,INDIRECT("'"&amp;$A20&amp;"'!$A$1:$W$1"),0))</f>
        <v>12.3</v>
      </c>
      <c r="Y20" s="1">
        <f t="shared" ca="1" si="37"/>
        <v>4</v>
      </c>
      <c r="Z20" s="1">
        <f ca="1">INDEX(INDIRECT("'"&amp;$A20&amp;"'!$A$1:$W$30"),MATCH('All Positional Stats'!$A$17,INDIRECT("'"&amp;$A20&amp;"'!$A$1:$A$30"),0),MATCH('All Positional Stats'!Z$16,INDIRECT("'"&amp;$A20&amp;"'!$A$1:$W$1"),0))</f>
        <v>11.4</v>
      </c>
      <c r="AA20" s="1">
        <f t="shared" ca="1" si="37"/>
        <v>7</v>
      </c>
      <c r="AB20" s="1">
        <f ca="1">INDEX(INDIRECT("'"&amp;$A20&amp;"'!$A$1:$W$30"),MATCH('All Positional Stats'!$A$17,INDIRECT("'"&amp;$A20&amp;"'!$A$1:$A$30"),0),MATCH('All Positional Stats'!AB$16,INDIRECT("'"&amp;$A20&amp;"'!$A$1:$W$1"),0))</f>
        <v>7</v>
      </c>
      <c r="AC20" s="1">
        <f t="shared" ca="1" si="37"/>
        <v>10</v>
      </c>
      <c r="AD20" s="1">
        <f ca="1">INDEX(INDIRECT("'"&amp;$A20&amp;"'!$A$1:$W$30"),MATCH('All Positional Stats'!$A$17,INDIRECT("'"&amp;$A20&amp;"'!$A$1:$A$30"),0),MATCH('All Positional Stats'!AD$16,INDIRECT("'"&amp;$A20&amp;"'!$A$1:$W$1"),0))</f>
        <v>4.3</v>
      </c>
      <c r="AE20" s="1">
        <f t="shared" ca="1" si="37"/>
        <v>11</v>
      </c>
      <c r="AF20" s="1">
        <f ca="1">INDEX(INDIRECT("'"&amp;$A20&amp;"'!$A$1:$W$30"),MATCH('All Positional Stats'!$A$17,INDIRECT("'"&amp;$A20&amp;"'!$A$1:$A$30"),0),MATCH('All Positional Stats'!AF$16,INDIRECT("'"&amp;$A20&amp;"'!$A$1:$W$1"),0))</f>
        <v>7</v>
      </c>
      <c r="AG20" s="1">
        <f t="shared" ca="1" si="37"/>
        <v>9</v>
      </c>
      <c r="AH20" s="1">
        <f ca="1">INDEX(INDIRECT("'"&amp;$A20&amp;"'!$A$1:$W$30"),MATCH('All Positional Stats'!$A$17,INDIRECT("'"&amp;$A20&amp;"'!$A$1:$A$30"),0),MATCH('All Positional Stats'!AH$16,INDIRECT("'"&amp;$A20&amp;"'!$A$1:$W$1"),0))</f>
        <v>4.3</v>
      </c>
      <c r="AI20" s="1">
        <f ca="1">INDEX(INDIRECT("'"&amp;$A20&amp;"'!$A$1:$W$30"),MATCH('All Positional Stats'!$A$17,INDIRECT("'"&amp;$A20&amp;"'!$A$1:$A$30"),0),MATCH('All Positional Stats'!AI$16,INDIRECT("'"&amp;$A20&amp;"'!$A$1:$W$1"),0))</f>
        <v>32.6</v>
      </c>
      <c r="AJ20" s="7">
        <f ca="1">INDEX(INDIRECT("'"&amp;$A20&amp;"'!$A$1:$W$30"),MATCH('All Positional Stats'!$A$17,INDIRECT("'"&amp;$A20&amp;"'!$A$1:$A$30"),0),MATCH('All Positional Stats'!AJ$16,INDIRECT("'"&amp;$A20&amp;"'!$A$1:$W$1"),0))</f>
        <v>13.762499999999999</v>
      </c>
      <c r="AK20" s="7">
        <f ca="1">INDEX(INDIRECT("'"&amp;$A20&amp;"'!$A$1:$W$30"),MATCH('All Positional Stats'!$A$17,INDIRECT("'"&amp;$A20&amp;"'!$A$1:$A$30"),0),MATCH('All Positional Stats'!AK$16,INDIRECT("'"&amp;$A20&amp;"'!$A$1:$W$1"),0))</f>
        <v>7.4904001061358514</v>
      </c>
      <c r="AL20" s="7">
        <f ca="1">INDEX(INDIRECT("'"&amp;$A20&amp;"'!$A$1:$W$30"),MATCH('All Positional Stats'!$A$17,INDIRECT("'"&amp;$A20&amp;"'!$A$1:$A$30"),0),MATCH('All Positional Stats'!AL$16,INDIRECT("'"&amp;$A20&amp;"'!$A$1:$W$1"),0))</f>
        <v>220.2</v>
      </c>
      <c r="AM20" s="6">
        <f ca="1">INDEX(INDIRECT("'"&amp;$A20&amp;"'!$A$1:$W$30"),MATCH('All Positional Stats'!$A$17,INDIRECT("'"&amp;$A20&amp;"'!$A$1:$A$30"),0),MATCH('All Positional Stats'!AM$16,INDIRECT("'"&amp;$A20&amp;"'!$A$1:$W$1"),0))</f>
        <v>0.15224004424778764</v>
      </c>
      <c r="AN20" s="9">
        <f t="shared" ca="1" si="35"/>
        <v>201.9</v>
      </c>
      <c r="AO20" s="8">
        <f t="shared" ca="1" si="36"/>
        <v>3</v>
      </c>
    </row>
    <row r="21" spans="1:41" ht="16.25" thickTop="1" thickBot="1" x14ac:dyDescent="0.9">
      <c r="A21" s="1" t="s">
        <v>4</v>
      </c>
      <c r="B21" s="1">
        <f ca="1">INDEX(INDIRECT("'"&amp;$A21&amp;"'!$A$1:$W$30"),MATCH('All Positional Stats'!$A$17,INDIRECT("'"&amp;$A21&amp;"'!$A$1:$A$30"),0),MATCH('All Positional Stats'!B$16,INDIRECT("'"&amp;$A21&amp;"'!$A$1:$W$1"),0))</f>
        <v>18.100000000000001</v>
      </c>
      <c r="C21" s="1">
        <f t="shared" ca="1" si="34"/>
        <v>4</v>
      </c>
      <c r="D21" s="1">
        <f ca="1">INDEX(INDIRECT("'"&amp;$A21&amp;"'!$A$1:$W$30"),MATCH('All Positional Stats'!$A$17,INDIRECT("'"&amp;$A21&amp;"'!$A$1:$A$30"),0),MATCH('All Positional Stats'!D$16,INDIRECT("'"&amp;$A21&amp;"'!$A$1:$W$1"),0))</f>
        <v>25.1</v>
      </c>
      <c r="E21" s="1">
        <f t="shared" ca="1" si="37"/>
        <v>1</v>
      </c>
      <c r="F21" s="1">
        <f ca="1">INDEX(INDIRECT("'"&amp;$A21&amp;"'!$A$1:$W$30"),MATCH('All Positional Stats'!$A$17,INDIRECT("'"&amp;$A21&amp;"'!$A$1:$A$30"),0),MATCH('All Positional Stats'!F$16,INDIRECT("'"&amp;$A21&amp;"'!$A$1:$W$1"),0))</f>
        <v>35.4</v>
      </c>
      <c r="G21" s="1">
        <f t="shared" ca="1" si="37"/>
        <v>1</v>
      </c>
      <c r="H21" s="1">
        <f ca="1">INDEX(INDIRECT("'"&amp;$A21&amp;"'!$A$1:$W$30"),MATCH('All Positional Stats'!$A$17,INDIRECT("'"&amp;$A21&amp;"'!$A$1:$A$30"),0),MATCH('All Positional Stats'!H$16,INDIRECT("'"&amp;$A21&amp;"'!$A$1:$W$1"),0))</f>
        <v>31</v>
      </c>
      <c r="I21" s="1">
        <f t="shared" ca="1" si="37"/>
        <v>2</v>
      </c>
      <c r="J21" s="1">
        <f ca="1">INDEX(INDIRECT("'"&amp;$A21&amp;"'!$A$1:$W$30"),MATCH('All Positional Stats'!$A$17,INDIRECT("'"&amp;$A21&amp;"'!$A$1:$A$30"),0),MATCH('All Positional Stats'!J$16,INDIRECT("'"&amp;$A21&amp;"'!$A$1:$W$1"),0))</f>
        <v>4</v>
      </c>
      <c r="K21" s="1">
        <f t="shared" ca="1" si="37"/>
        <v>11</v>
      </c>
      <c r="L21" s="1">
        <f ca="1">INDEX(INDIRECT("'"&amp;$A21&amp;"'!$A$1:$W$30"),MATCH('All Positional Stats'!$A$17,INDIRECT("'"&amp;$A21&amp;"'!$A$1:$A$30"),0),MATCH('All Positional Stats'!L$16,INDIRECT("'"&amp;$A21&amp;"'!$A$1:$W$1"),0))</f>
        <v>12.5</v>
      </c>
      <c r="M21" s="1">
        <f t="shared" ca="1" si="37"/>
        <v>7</v>
      </c>
      <c r="N21" s="1">
        <f ca="1">INDEX(INDIRECT("'"&amp;$A21&amp;"'!$A$1:$W$30"),MATCH('All Positional Stats'!$A$17,INDIRECT("'"&amp;$A21&amp;"'!$A$1:$A$30"),0),MATCH('All Positional Stats'!N$16,INDIRECT("'"&amp;$A21&amp;"'!$A$1:$W$1"),0))</f>
        <v>23.4</v>
      </c>
      <c r="O21" s="1">
        <f t="shared" ca="1" si="37"/>
        <v>3</v>
      </c>
      <c r="P21" s="1">
        <f ca="1">INDEX(INDIRECT("'"&amp;$A21&amp;"'!$A$1:$W$30"),MATCH('All Positional Stats'!$A$17,INDIRECT("'"&amp;$A21&amp;"'!$A$1:$A$30"),0),MATCH('All Positional Stats'!P$16,INDIRECT("'"&amp;$A21&amp;"'!$A$1:$W$1"),0))</f>
        <v>7.3</v>
      </c>
      <c r="Q21" s="1">
        <f t="shared" ca="1" si="37"/>
        <v>9</v>
      </c>
      <c r="R21" s="1">
        <f ca="1">INDEX(INDIRECT("'"&amp;$A21&amp;"'!$A$1:$W$30"),MATCH('All Positional Stats'!$A$17,INDIRECT("'"&amp;$A21&amp;"'!$A$1:$A$30"),0),MATCH('All Positional Stats'!R$16,INDIRECT("'"&amp;$A21&amp;"'!$A$1:$W$1"),0))</f>
        <v>23.4</v>
      </c>
      <c r="S21" s="1">
        <f t="shared" ca="1" si="37"/>
        <v>1</v>
      </c>
      <c r="T21" s="1">
        <f ca="1">INDEX(INDIRECT("'"&amp;$A21&amp;"'!$A$1:$W$30"),MATCH('All Positional Stats'!$A$17,INDIRECT("'"&amp;$A21&amp;"'!$A$1:$A$30"),0),MATCH('All Positional Stats'!T$16,INDIRECT("'"&amp;$A21&amp;"'!$A$1:$W$1"),0))</f>
        <v>16.600000000000001</v>
      </c>
      <c r="U21" s="1">
        <f t="shared" ca="1" si="37"/>
        <v>2</v>
      </c>
      <c r="V21" s="1">
        <f ca="1">INDEX(INDIRECT("'"&amp;$A21&amp;"'!$A$1:$W$30"),MATCH('All Positional Stats'!$A$17,INDIRECT("'"&amp;$A21&amp;"'!$A$1:$A$30"),0),MATCH('All Positional Stats'!V$16,INDIRECT("'"&amp;$A21&amp;"'!$A$1:$W$1"),0))</f>
        <v>13.1</v>
      </c>
      <c r="W21" s="1">
        <f t="shared" ca="1" si="37"/>
        <v>7</v>
      </c>
      <c r="X21" s="1">
        <f ca="1">INDEX(INDIRECT("'"&amp;$A21&amp;"'!$A$1:$W$30"),MATCH('All Positional Stats'!$A$17,INDIRECT("'"&amp;$A21&amp;"'!$A$1:$A$30"),0),MATCH('All Positional Stats'!X$16,INDIRECT("'"&amp;$A21&amp;"'!$A$1:$W$1"),0))</f>
        <v>14.8</v>
      </c>
      <c r="Y21" s="1">
        <f t="shared" ca="1" si="37"/>
        <v>2</v>
      </c>
      <c r="Z21" s="1">
        <f ca="1">INDEX(INDIRECT("'"&amp;$A21&amp;"'!$A$1:$W$30"),MATCH('All Positional Stats'!$A$17,INDIRECT("'"&amp;$A21&amp;"'!$A$1:$A$30"),0),MATCH('All Positional Stats'!Z$16,INDIRECT("'"&amp;$A21&amp;"'!$A$1:$W$1"),0))</f>
        <v>18.8</v>
      </c>
      <c r="AA21" s="1">
        <f t="shared" ca="1" si="37"/>
        <v>4</v>
      </c>
      <c r="AB21" s="1">
        <f ca="1">INDEX(INDIRECT("'"&amp;$A21&amp;"'!$A$1:$W$30"),MATCH('All Positional Stats'!$A$17,INDIRECT("'"&amp;$A21&amp;"'!$A$1:$A$30"),0),MATCH('All Positional Stats'!AB$16,INDIRECT("'"&amp;$A21&amp;"'!$A$1:$W$1"),0))</f>
        <v>27</v>
      </c>
      <c r="AC21" s="1">
        <f t="shared" ca="1" si="37"/>
        <v>3</v>
      </c>
      <c r="AD21" s="1">
        <f ca="1">INDEX(INDIRECT("'"&amp;$A21&amp;"'!$A$1:$W$30"),MATCH('All Positional Stats'!$A$17,INDIRECT("'"&amp;$A21&amp;"'!$A$1:$A$30"),0),MATCH('All Positional Stats'!AD$16,INDIRECT("'"&amp;$A21&amp;"'!$A$1:$W$1"),0))</f>
        <v>43.5</v>
      </c>
      <c r="AE21" s="1">
        <f t="shared" ca="1" si="37"/>
        <v>1</v>
      </c>
      <c r="AF21" s="1">
        <f ca="1">INDEX(INDIRECT("'"&amp;$A21&amp;"'!$A$1:$W$30"),MATCH('All Positional Stats'!$A$17,INDIRECT("'"&amp;$A21&amp;"'!$A$1:$A$30"),0),MATCH('All Positional Stats'!AF$16,INDIRECT("'"&amp;$A21&amp;"'!$A$1:$W$1"),0))</f>
        <v>44.6</v>
      </c>
      <c r="AG21" s="1">
        <f t="shared" ca="1" si="37"/>
        <v>1</v>
      </c>
      <c r="AH21" s="1">
        <f ca="1">INDEX(INDIRECT("'"&amp;$A21&amp;"'!$A$1:$W$30"),MATCH('All Positional Stats'!$A$17,INDIRECT("'"&amp;$A21&amp;"'!$A$1:$A$30"),0),MATCH('All Positional Stats'!AH$16,INDIRECT("'"&amp;$A21&amp;"'!$A$1:$W$1"),0))</f>
        <v>4</v>
      </c>
      <c r="AI21" s="1">
        <f ca="1">INDEX(INDIRECT("'"&amp;$A21&amp;"'!$A$1:$W$30"),MATCH('All Positional Stats'!$A$17,INDIRECT("'"&amp;$A21&amp;"'!$A$1:$A$30"),0),MATCH('All Positional Stats'!AI$16,INDIRECT("'"&amp;$A21&amp;"'!$A$1:$W$1"),0))</f>
        <v>44.6</v>
      </c>
      <c r="AJ21" s="7">
        <f ca="1">INDEX(INDIRECT("'"&amp;$A21&amp;"'!$A$1:$W$30"),MATCH('All Positional Stats'!$A$17,INDIRECT("'"&amp;$A21&amp;"'!$A$1:$A$30"),0),MATCH('All Positional Stats'!AJ$16,INDIRECT("'"&amp;$A21&amp;"'!$A$1:$W$1"),0))</f>
        <v>22.412500000000001</v>
      </c>
      <c r="AK21" s="7">
        <f ca="1">INDEX(INDIRECT("'"&amp;$A21&amp;"'!$A$1:$W$30"),MATCH('All Positional Stats'!$A$17,INDIRECT("'"&amp;$A21&amp;"'!$A$1:$A$30"),0),MATCH('All Positional Stats'!AK$16,INDIRECT("'"&amp;$A21&amp;"'!$A$1:$W$1"),0))</f>
        <v>11.416483423103628</v>
      </c>
      <c r="AL21" s="7">
        <f ca="1">INDEX(INDIRECT("'"&amp;$A21&amp;"'!$A$1:$W$30"),MATCH('All Positional Stats'!$A$17,INDIRECT("'"&amp;$A21&amp;"'!$A$1:$A$30"),0),MATCH('All Positional Stats'!AL$16,INDIRECT("'"&amp;$A21&amp;"'!$A$1:$W$1"),0))</f>
        <v>358.6</v>
      </c>
      <c r="AM21" s="6">
        <f ca="1">INDEX(INDIRECT("'"&amp;$A21&amp;"'!$A$1:$W$30"),MATCH('All Positional Stats'!$A$17,INDIRECT("'"&amp;$A21&amp;"'!$A$1:$A$30"),0),MATCH('All Positional Stats'!AM$16,INDIRECT("'"&amp;$A21&amp;"'!$A$1:$W$1"),0))</f>
        <v>0.2308484614394232</v>
      </c>
      <c r="AN21" s="9">
        <f t="shared" ca="1" si="35"/>
        <v>243.50000000000003</v>
      </c>
      <c r="AO21" s="8">
        <f t="shared" ca="1" si="36"/>
        <v>1</v>
      </c>
    </row>
    <row r="22" spans="1:41" ht="16.25" thickTop="1" thickBot="1" x14ac:dyDescent="0.9">
      <c r="A22" s="1" t="s">
        <v>5</v>
      </c>
      <c r="B22" s="1">
        <f ca="1">INDEX(INDIRECT("'"&amp;$A22&amp;"'!$A$1:$W$30"),MATCH('All Positional Stats'!$A$17,INDIRECT("'"&amp;$A22&amp;"'!$A$1:$A$30"),0),MATCH('All Positional Stats'!B$16,INDIRECT("'"&amp;$A22&amp;"'!$A$1:$W$1"),0))</f>
        <v>10</v>
      </c>
      <c r="C22" s="1">
        <f t="shared" ca="1" si="34"/>
        <v>9</v>
      </c>
      <c r="D22" s="1">
        <f ca="1">INDEX(INDIRECT("'"&amp;$A22&amp;"'!$A$1:$W$30"),MATCH('All Positional Stats'!$A$17,INDIRECT("'"&amp;$A22&amp;"'!$A$1:$A$30"),0),MATCH('All Positional Stats'!D$16,INDIRECT("'"&amp;$A22&amp;"'!$A$1:$W$1"),0))</f>
        <v>4.5999999999999996</v>
      </c>
      <c r="E22" s="1">
        <f t="shared" ca="1" si="37"/>
        <v>9</v>
      </c>
      <c r="F22" s="1">
        <f ca="1">INDEX(INDIRECT("'"&amp;$A22&amp;"'!$A$1:$W$30"),MATCH('All Positional Stats'!$A$17,INDIRECT("'"&amp;$A22&amp;"'!$A$1:$A$30"),0),MATCH('All Positional Stats'!F$16,INDIRECT("'"&amp;$A22&amp;"'!$A$1:$W$1"),0))</f>
        <v>10.4</v>
      </c>
      <c r="G22" s="1">
        <f t="shared" ca="1" si="37"/>
        <v>9</v>
      </c>
      <c r="H22" s="1">
        <f ca="1">INDEX(INDIRECT("'"&amp;$A22&amp;"'!$A$1:$W$30"),MATCH('All Positional Stats'!$A$17,INDIRECT("'"&amp;$A22&amp;"'!$A$1:$A$30"),0),MATCH('All Positional Stats'!H$16,INDIRECT("'"&amp;$A22&amp;"'!$A$1:$W$1"),0))</f>
        <v>6.8</v>
      </c>
      <c r="I22" s="1">
        <f t="shared" ca="1" si="37"/>
        <v>10</v>
      </c>
      <c r="J22" s="1">
        <f ca="1">INDEX(INDIRECT("'"&amp;$A22&amp;"'!$A$1:$W$30"),MATCH('All Positional Stats'!$A$17,INDIRECT("'"&amp;$A22&amp;"'!$A$1:$A$30"),0),MATCH('All Positional Stats'!J$16,INDIRECT("'"&amp;$A22&amp;"'!$A$1:$W$1"),0))</f>
        <v>11.1</v>
      </c>
      <c r="K22" s="1">
        <f t="shared" ca="1" si="37"/>
        <v>7</v>
      </c>
      <c r="L22" s="1">
        <f ca="1">INDEX(INDIRECT("'"&amp;$A22&amp;"'!$A$1:$W$30"),MATCH('All Positional Stats'!$A$17,INDIRECT("'"&amp;$A22&amp;"'!$A$1:$A$30"),0),MATCH('All Positional Stats'!L$16,INDIRECT("'"&amp;$A22&amp;"'!$A$1:$W$1"),0))</f>
        <v>10.1</v>
      </c>
      <c r="M22" s="1">
        <f t="shared" ca="1" si="37"/>
        <v>8</v>
      </c>
      <c r="N22" s="1">
        <f ca="1">INDEX(INDIRECT("'"&amp;$A22&amp;"'!$A$1:$W$30"),MATCH('All Positional Stats'!$A$17,INDIRECT("'"&amp;$A22&amp;"'!$A$1:$A$30"),0),MATCH('All Positional Stats'!N$16,INDIRECT("'"&amp;$A22&amp;"'!$A$1:$W$1"),0))</f>
        <v>1.6</v>
      </c>
      <c r="O22" s="1">
        <f t="shared" ca="1" si="37"/>
        <v>10</v>
      </c>
      <c r="P22" s="1">
        <f ca="1">INDEX(INDIRECT("'"&amp;$A22&amp;"'!$A$1:$W$30"),MATCH('All Positional Stats'!$A$17,INDIRECT("'"&amp;$A22&amp;"'!$A$1:$A$30"),0),MATCH('All Positional Stats'!P$16,INDIRECT("'"&amp;$A22&amp;"'!$A$1:$W$1"),0))</f>
        <v>10.9</v>
      </c>
      <c r="Q22" s="1">
        <f t="shared" ca="1" si="37"/>
        <v>6</v>
      </c>
      <c r="R22" s="1">
        <f ca="1">INDEX(INDIRECT("'"&amp;$A22&amp;"'!$A$1:$W$30"),MATCH('All Positional Stats'!$A$17,INDIRECT("'"&amp;$A22&amp;"'!$A$1:$A$30"),0),MATCH('All Positional Stats'!R$16,INDIRECT("'"&amp;$A22&amp;"'!$A$1:$W$1"),0))</f>
        <v>8.9</v>
      </c>
      <c r="S22" s="1">
        <f t="shared" ca="1" si="37"/>
        <v>7</v>
      </c>
      <c r="T22" s="1">
        <f ca="1">INDEX(INDIRECT("'"&amp;$A22&amp;"'!$A$1:$W$30"),MATCH('All Positional Stats'!$A$17,INDIRECT("'"&amp;$A22&amp;"'!$A$1:$A$30"),0),MATCH('All Positional Stats'!T$16,INDIRECT("'"&amp;$A22&amp;"'!$A$1:$W$1"),0))</f>
        <v>5.7</v>
      </c>
      <c r="U22" s="1">
        <f t="shared" ca="1" si="37"/>
        <v>8</v>
      </c>
      <c r="V22" s="1">
        <f ca="1">INDEX(INDIRECT("'"&amp;$A22&amp;"'!$A$1:$W$30"),MATCH('All Positional Stats'!$A$17,INDIRECT("'"&amp;$A22&amp;"'!$A$1:$A$30"),0),MATCH('All Positional Stats'!V$16,INDIRECT("'"&amp;$A22&amp;"'!$A$1:$W$1"),0))</f>
        <v>8.5</v>
      </c>
      <c r="W22" s="1">
        <f t="shared" ca="1" si="37"/>
        <v>9</v>
      </c>
      <c r="X22" s="1">
        <f ca="1">INDEX(INDIRECT("'"&amp;$A22&amp;"'!$A$1:$W$30"),MATCH('All Positional Stats'!$A$17,INDIRECT("'"&amp;$A22&amp;"'!$A$1:$A$30"),0),MATCH('All Positional Stats'!X$16,INDIRECT("'"&amp;$A22&amp;"'!$A$1:$W$1"),0))</f>
        <v>5.9</v>
      </c>
      <c r="Y22" s="1">
        <f t="shared" ca="1" si="37"/>
        <v>9</v>
      </c>
      <c r="Z22" s="1">
        <f ca="1">INDEX(INDIRECT("'"&amp;$A22&amp;"'!$A$1:$W$30"),MATCH('All Positional Stats'!$A$17,INDIRECT("'"&amp;$A22&amp;"'!$A$1:$A$30"),0),MATCH('All Positional Stats'!Z$16,INDIRECT("'"&amp;$A22&amp;"'!$A$1:$W$1"),0))</f>
        <v>19.3</v>
      </c>
      <c r="AA22" s="1">
        <f t="shared" ca="1" si="37"/>
        <v>2</v>
      </c>
      <c r="AB22" s="1">
        <f ca="1">INDEX(INDIRECT("'"&amp;$A22&amp;"'!$A$1:$W$30"),MATCH('All Positional Stats'!$A$17,INDIRECT("'"&amp;$A22&amp;"'!$A$1:$A$30"),0),MATCH('All Positional Stats'!AB$16,INDIRECT("'"&amp;$A22&amp;"'!$A$1:$W$1"),0))</f>
        <v>27.3</v>
      </c>
      <c r="AC22" s="1">
        <f t="shared" ca="1" si="37"/>
        <v>2</v>
      </c>
      <c r="AD22" s="1">
        <f ca="1">INDEX(INDIRECT("'"&amp;$A22&amp;"'!$A$1:$W$30"),MATCH('All Positional Stats'!$A$17,INDIRECT("'"&amp;$A22&amp;"'!$A$1:$A$30"),0),MATCH('All Positional Stats'!AD$16,INDIRECT("'"&amp;$A22&amp;"'!$A$1:$W$1"),0))</f>
        <v>3</v>
      </c>
      <c r="AE22" s="1">
        <f t="shared" ca="1" si="37"/>
        <v>12</v>
      </c>
      <c r="AF22" s="1">
        <f ca="1">INDEX(INDIRECT("'"&amp;$A22&amp;"'!$A$1:$W$30"),MATCH('All Positional Stats'!$A$17,INDIRECT("'"&amp;$A22&amp;"'!$A$1:$A$30"),0),MATCH('All Positional Stats'!AF$16,INDIRECT("'"&amp;$A22&amp;"'!$A$1:$W$1"),0))</f>
        <v>5.8</v>
      </c>
      <c r="AG22" s="1">
        <f t="shared" ca="1" si="37"/>
        <v>11</v>
      </c>
      <c r="AH22" s="1">
        <f ca="1">INDEX(INDIRECT("'"&amp;$A22&amp;"'!$A$1:$W$30"),MATCH('All Positional Stats'!$A$17,INDIRECT("'"&amp;$A22&amp;"'!$A$1:$A$30"),0),MATCH('All Positional Stats'!AH$16,INDIRECT("'"&amp;$A22&amp;"'!$A$1:$W$1"),0))</f>
        <v>1.6</v>
      </c>
      <c r="AI22" s="1">
        <f ca="1">INDEX(INDIRECT("'"&amp;$A22&amp;"'!$A$1:$W$30"),MATCH('All Positional Stats'!$A$17,INDIRECT("'"&amp;$A22&amp;"'!$A$1:$A$30"),0),MATCH('All Positional Stats'!AI$16,INDIRECT("'"&amp;$A22&amp;"'!$A$1:$W$1"),0))</f>
        <v>27.3</v>
      </c>
      <c r="AJ22" s="7">
        <f ca="1">INDEX(INDIRECT("'"&amp;$A22&amp;"'!$A$1:$W$30"),MATCH('All Positional Stats'!$A$17,INDIRECT("'"&amp;$A22&amp;"'!$A$1:$A$30"),0),MATCH('All Positional Stats'!AJ$16,INDIRECT("'"&amp;$A22&amp;"'!$A$1:$W$1"),0))</f>
        <v>9.3687500000000021</v>
      </c>
      <c r="AK22" s="7">
        <f ca="1">INDEX(INDIRECT("'"&amp;$A22&amp;"'!$A$1:$W$30"),MATCH('All Positional Stats'!$A$17,INDIRECT("'"&amp;$A22&amp;"'!$A$1:$A$30"),0),MATCH('All Positional Stats'!AK$16,INDIRECT("'"&amp;$A22&amp;"'!$A$1:$W$1"),0))</f>
        <v>6.1081624436077311</v>
      </c>
      <c r="AL22" s="7">
        <f ca="1">INDEX(INDIRECT("'"&amp;$A22&amp;"'!$A$1:$W$30"),MATCH('All Positional Stats'!$A$17,INDIRECT("'"&amp;$A22&amp;"'!$A$1:$A$30"),0),MATCH('All Positional Stats'!AL$16,INDIRECT("'"&amp;$A22&amp;"'!$A$1:$W$1"),0))</f>
        <v>149.90000000000003</v>
      </c>
      <c r="AM22" s="6">
        <f ca="1">INDEX(INDIRECT("'"&amp;$A22&amp;"'!$A$1:$W$30"),MATCH('All Positional Stats'!$A$17,INDIRECT("'"&amp;$A22&amp;"'!$A$1:$A$30"),0),MATCH('All Positional Stats'!AM$16,INDIRECT("'"&amp;$A22&amp;"'!$A$1:$W$1"),0))</f>
        <v>9.7871506920867074E-2</v>
      </c>
      <c r="AN22" s="9">
        <f t="shared" ca="1" si="35"/>
        <v>113.80000000000001</v>
      </c>
      <c r="AO22" s="8">
        <f t="shared" ca="1" si="36"/>
        <v>12</v>
      </c>
    </row>
    <row r="23" spans="1:41" ht="16.25" thickTop="1" thickBot="1" x14ac:dyDescent="0.9">
      <c r="A23" s="1" t="s">
        <v>6</v>
      </c>
      <c r="B23" s="1">
        <f ca="1">INDEX(INDIRECT("'"&amp;$A23&amp;"'!$A$1:$W$30"),MATCH('All Positional Stats'!$A$17,INDIRECT("'"&amp;$A23&amp;"'!$A$1:$A$30"),0),MATCH('All Positional Stats'!B$16,INDIRECT("'"&amp;$A23&amp;"'!$A$1:$W$1"),0))</f>
        <v>9.6999999999999993</v>
      </c>
      <c r="C23" s="1">
        <f t="shared" ca="1" si="34"/>
        <v>10</v>
      </c>
      <c r="D23" s="1">
        <f ca="1">INDEX(INDIRECT("'"&amp;$A23&amp;"'!$A$1:$W$30"),MATCH('All Positional Stats'!$A$17,INDIRECT("'"&amp;$A23&amp;"'!$A$1:$A$30"),0),MATCH('All Positional Stats'!D$16,INDIRECT("'"&amp;$A23&amp;"'!$A$1:$W$1"),0))</f>
        <v>11.4</v>
      </c>
      <c r="E23" s="1">
        <f t="shared" ca="1" si="37"/>
        <v>6</v>
      </c>
      <c r="F23" s="1">
        <f ca="1">INDEX(INDIRECT("'"&amp;$A23&amp;"'!$A$1:$W$30"),MATCH('All Positional Stats'!$A$17,INDIRECT("'"&amp;$A23&amp;"'!$A$1:$A$30"),0),MATCH('All Positional Stats'!F$16,INDIRECT("'"&amp;$A23&amp;"'!$A$1:$W$1"),0))</f>
        <v>3.1</v>
      </c>
      <c r="G23" s="1">
        <f t="shared" ca="1" si="37"/>
        <v>12</v>
      </c>
      <c r="H23" s="1">
        <f ca="1">INDEX(INDIRECT("'"&amp;$A23&amp;"'!$A$1:$W$30"),MATCH('All Positional Stats'!$A$17,INDIRECT("'"&amp;$A23&amp;"'!$A$1:$A$30"),0),MATCH('All Positional Stats'!H$16,INDIRECT("'"&amp;$A23&amp;"'!$A$1:$W$1"),0))</f>
        <v>1.2</v>
      </c>
      <c r="I23" s="1">
        <f t="shared" ca="1" si="37"/>
        <v>12</v>
      </c>
      <c r="J23" s="1">
        <f ca="1">INDEX(INDIRECT("'"&amp;$A23&amp;"'!$A$1:$W$30"),MATCH('All Positional Stats'!$A$17,INDIRECT("'"&amp;$A23&amp;"'!$A$1:$A$30"),0),MATCH('All Positional Stats'!J$16,INDIRECT("'"&amp;$A23&amp;"'!$A$1:$W$1"),0))</f>
        <v>11.8</v>
      </c>
      <c r="K23" s="1">
        <f t="shared" ca="1" si="37"/>
        <v>6</v>
      </c>
      <c r="L23" s="1">
        <f ca="1">INDEX(INDIRECT("'"&amp;$A23&amp;"'!$A$1:$W$30"),MATCH('All Positional Stats'!$A$17,INDIRECT("'"&amp;$A23&amp;"'!$A$1:$A$30"),0),MATCH('All Positional Stats'!L$16,INDIRECT("'"&amp;$A23&amp;"'!$A$1:$W$1"),0))</f>
        <v>6.3</v>
      </c>
      <c r="M23" s="1">
        <f t="shared" ca="1" si="37"/>
        <v>11</v>
      </c>
      <c r="N23" s="1">
        <f ca="1">INDEX(INDIRECT("'"&amp;$A23&amp;"'!$A$1:$W$30"),MATCH('All Positional Stats'!$A$17,INDIRECT("'"&amp;$A23&amp;"'!$A$1:$A$30"),0),MATCH('All Positional Stats'!N$16,INDIRECT("'"&amp;$A23&amp;"'!$A$1:$W$1"),0))</f>
        <v>0.9</v>
      </c>
      <c r="O23" s="1">
        <f t="shared" ca="1" si="37"/>
        <v>11</v>
      </c>
      <c r="P23" s="1">
        <f ca="1">INDEX(INDIRECT("'"&amp;$A23&amp;"'!$A$1:$W$30"),MATCH('All Positional Stats'!$A$17,INDIRECT("'"&amp;$A23&amp;"'!$A$1:$A$30"),0),MATCH('All Positional Stats'!P$16,INDIRECT("'"&amp;$A23&amp;"'!$A$1:$W$1"),0))</f>
        <v>8.1999999999999993</v>
      </c>
      <c r="Q23" s="1">
        <f t="shared" ca="1" si="37"/>
        <v>7</v>
      </c>
      <c r="R23" s="1">
        <f ca="1">INDEX(INDIRECT("'"&amp;$A23&amp;"'!$A$1:$W$30"),MATCH('All Positional Stats'!$A$17,INDIRECT("'"&amp;$A23&amp;"'!$A$1:$A$30"),0),MATCH('All Positional Stats'!R$16,INDIRECT("'"&amp;$A23&amp;"'!$A$1:$W$1"),0))</f>
        <v>19.3</v>
      </c>
      <c r="S23" s="1">
        <f t="shared" ca="1" si="37"/>
        <v>2</v>
      </c>
      <c r="T23" s="1">
        <f ca="1">INDEX(INDIRECT("'"&amp;$A23&amp;"'!$A$1:$W$30"),MATCH('All Positional Stats'!$A$17,INDIRECT("'"&amp;$A23&amp;"'!$A$1:$A$30"),0),MATCH('All Positional Stats'!T$16,INDIRECT("'"&amp;$A23&amp;"'!$A$1:$W$1"),0))</f>
        <v>1.7</v>
      </c>
      <c r="U23" s="1">
        <f t="shared" ca="1" si="37"/>
        <v>11</v>
      </c>
      <c r="V23" s="1">
        <f ca="1">INDEX(INDIRECT("'"&amp;$A23&amp;"'!$A$1:$W$30"),MATCH('All Positional Stats'!$A$17,INDIRECT("'"&amp;$A23&amp;"'!$A$1:$A$30"),0),MATCH('All Positional Stats'!V$16,INDIRECT("'"&amp;$A23&amp;"'!$A$1:$W$1"),0))</f>
        <v>8.1999999999999993</v>
      </c>
      <c r="W23" s="1">
        <f t="shared" ca="1" si="37"/>
        <v>10</v>
      </c>
      <c r="X23" s="1">
        <f ca="1">INDEX(INDIRECT("'"&amp;$A23&amp;"'!$A$1:$W$30"),MATCH('All Positional Stats'!$A$17,INDIRECT("'"&amp;$A23&amp;"'!$A$1:$A$30"),0),MATCH('All Positional Stats'!X$16,INDIRECT("'"&amp;$A23&amp;"'!$A$1:$W$1"),0))</f>
        <v>18.5</v>
      </c>
      <c r="Y23" s="1">
        <f t="shared" ca="1" si="37"/>
        <v>1</v>
      </c>
      <c r="Z23" s="1">
        <f ca="1">INDEX(INDIRECT("'"&amp;$A23&amp;"'!$A$1:$W$30"),MATCH('All Positional Stats'!$A$17,INDIRECT("'"&amp;$A23&amp;"'!$A$1:$A$30"),0),MATCH('All Positional Stats'!Z$16,INDIRECT("'"&amp;$A23&amp;"'!$A$1:$W$1"),0))</f>
        <v>19.100000000000001</v>
      </c>
      <c r="AA23" s="1">
        <f t="shared" ca="1" si="37"/>
        <v>3</v>
      </c>
      <c r="AB23" s="1">
        <f ca="1">INDEX(INDIRECT("'"&amp;$A23&amp;"'!$A$1:$W$30"),MATCH('All Positional Stats'!$A$17,INDIRECT("'"&amp;$A23&amp;"'!$A$1:$A$30"),0),MATCH('All Positional Stats'!AB$16,INDIRECT("'"&amp;$A23&amp;"'!$A$1:$W$1"),0))</f>
        <v>12.9</v>
      </c>
      <c r="AC23" s="1">
        <f t="shared" ca="1" si="37"/>
        <v>8</v>
      </c>
      <c r="AD23" s="1">
        <f ca="1">INDEX(INDIRECT("'"&amp;$A23&amp;"'!$A$1:$W$30"),MATCH('All Positional Stats'!$A$17,INDIRECT("'"&amp;$A23&amp;"'!$A$1:$A$30"),0),MATCH('All Positional Stats'!AD$16,INDIRECT("'"&amp;$A23&amp;"'!$A$1:$W$1"),0))</f>
        <v>10.7</v>
      </c>
      <c r="AE23" s="1">
        <f t="shared" ca="1" si="37"/>
        <v>8</v>
      </c>
      <c r="AF23" s="1">
        <f ca="1">INDEX(INDIRECT("'"&amp;$A23&amp;"'!$A$1:$W$30"),MATCH('All Positional Stats'!$A$17,INDIRECT("'"&amp;$A23&amp;"'!$A$1:$A$30"),0),MATCH('All Positional Stats'!AF$16,INDIRECT("'"&amp;$A23&amp;"'!$A$1:$W$1"),0))</f>
        <v>8.1999999999999993</v>
      </c>
      <c r="AG23" s="1">
        <f t="shared" ca="1" si="37"/>
        <v>7</v>
      </c>
      <c r="AH23" s="1">
        <f ca="1">INDEX(INDIRECT("'"&amp;$A23&amp;"'!$A$1:$W$30"),MATCH('All Positional Stats'!$A$17,INDIRECT("'"&amp;$A23&amp;"'!$A$1:$A$30"),0),MATCH('All Positional Stats'!AH$16,INDIRECT("'"&amp;$A23&amp;"'!$A$1:$W$1"),0))</f>
        <v>0.9</v>
      </c>
      <c r="AI23" s="1">
        <f ca="1">INDEX(INDIRECT("'"&amp;$A23&amp;"'!$A$1:$W$30"),MATCH('All Positional Stats'!$A$17,INDIRECT("'"&amp;$A23&amp;"'!$A$1:$A$30"),0),MATCH('All Positional Stats'!AI$16,INDIRECT("'"&amp;$A23&amp;"'!$A$1:$W$1"),0))</f>
        <v>19.3</v>
      </c>
      <c r="AJ23" s="7">
        <f ca="1">INDEX(INDIRECT("'"&amp;$A23&amp;"'!$A$1:$W$30"),MATCH('All Positional Stats'!$A$17,INDIRECT("'"&amp;$A23&amp;"'!$A$1:$A$30"),0),MATCH('All Positional Stats'!AJ$16,INDIRECT("'"&amp;$A23&amp;"'!$A$1:$W$1"),0))</f>
        <v>9.4499999999999993</v>
      </c>
      <c r="AK23" s="7">
        <f ca="1">INDEX(INDIRECT("'"&amp;$A23&amp;"'!$A$1:$W$30"),MATCH('All Positional Stats'!$A$17,INDIRECT("'"&amp;$A23&amp;"'!$A$1:$A$30"),0),MATCH('All Positional Stats'!AK$16,INDIRECT("'"&amp;$A23&amp;"'!$A$1:$W$1"),0))</f>
        <v>5.8686667991972454</v>
      </c>
      <c r="AL23" s="7">
        <f ca="1">INDEX(INDIRECT("'"&amp;$A23&amp;"'!$A$1:$W$30"),MATCH('All Positional Stats'!$A$17,INDIRECT("'"&amp;$A23&amp;"'!$A$1:$A$30"),0),MATCH('All Positional Stats'!AL$16,INDIRECT("'"&amp;$A23&amp;"'!$A$1:$W$1"),0))</f>
        <v>151.19999999999999</v>
      </c>
      <c r="AM23" s="6">
        <f ca="1">INDEX(INDIRECT("'"&amp;$A23&amp;"'!$A$1:$W$30"),MATCH('All Positional Stats'!$A$17,INDIRECT("'"&amp;$A23&amp;"'!$A$1:$A$30"),0),MATCH('All Positional Stats'!AM$16,INDIRECT("'"&amp;$A23&amp;"'!$A$1:$W$1"),0))</f>
        <v>9.6097622982077011E-2</v>
      </c>
      <c r="AN23" s="9">
        <f t="shared" ca="1" si="35"/>
        <v>119.4</v>
      </c>
      <c r="AO23" s="8">
        <f t="shared" ca="1" si="36"/>
        <v>11</v>
      </c>
    </row>
    <row r="24" spans="1:41" ht="16.25" thickTop="1" thickBot="1" x14ac:dyDescent="0.9">
      <c r="A24" s="1" t="s">
        <v>7</v>
      </c>
      <c r="B24" s="1">
        <f ca="1">INDEX(INDIRECT("'"&amp;$A24&amp;"'!$A$1:$W$30"),MATCH('All Positional Stats'!$A$17,INDIRECT("'"&amp;$A24&amp;"'!$A$1:$A$30"),0),MATCH('All Positional Stats'!B$16,INDIRECT("'"&amp;$A24&amp;"'!$A$1:$W$1"),0))</f>
        <v>16.5</v>
      </c>
      <c r="C24" s="1">
        <f t="shared" ca="1" si="34"/>
        <v>5</v>
      </c>
      <c r="D24" s="1">
        <f ca="1">INDEX(INDIRECT("'"&amp;$A24&amp;"'!$A$1:$W$30"),MATCH('All Positional Stats'!$A$17,INDIRECT("'"&amp;$A24&amp;"'!$A$1:$A$30"),0),MATCH('All Positional Stats'!D$16,INDIRECT("'"&amp;$A24&amp;"'!$A$1:$W$1"),0))</f>
        <v>4.2</v>
      </c>
      <c r="E24" s="1">
        <f t="shared" ca="1" si="37"/>
        <v>10</v>
      </c>
      <c r="F24" s="1">
        <f ca="1">INDEX(INDIRECT("'"&amp;$A24&amp;"'!$A$1:$W$30"),MATCH('All Positional Stats'!$A$17,INDIRECT("'"&amp;$A24&amp;"'!$A$1:$A$30"),0),MATCH('All Positional Stats'!F$16,INDIRECT("'"&amp;$A24&amp;"'!$A$1:$W$1"),0))</f>
        <v>16.899999999999999</v>
      </c>
      <c r="G24" s="1">
        <f t="shared" ca="1" si="37"/>
        <v>5</v>
      </c>
      <c r="H24" s="1">
        <f ca="1">INDEX(INDIRECT("'"&amp;$A24&amp;"'!$A$1:$W$30"),MATCH('All Positional Stats'!$A$17,INDIRECT("'"&amp;$A24&amp;"'!$A$1:$A$30"),0),MATCH('All Positional Stats'!H$16,INDIRECT("'"&amp;$A24&amp;"'!$A$1:$W$1"),0))</f>
        <v>27.9</v>
      </c>
      <c r="I24" s="1">
        <f t="shared" ca="1" si="37"/>
        <v>3</v>
      </c>
      <c r="J24" s="1">
        <f ca="1">INDEX(INDIRECT("'"&amp;$A24&amp;"'!$A$1:$W$30"),MATCH('All Positional Stats'!$A$17,INDIRECT("'"&amp;$A24&amp;"'!$A$1:$A$30"),0),MATCH('All Positional Stats'!J$16,INDIRECT("'"&amp;$A24&amp;"'!$A$1:$W$1"),0))</f>
        <v>13.7</v>
      </c>
      <c r="K24" s="1">
        <f t="shared" ca="1" si="37"/>
        <v>4</v>
      </c>
      <c r="L24" s="1">
        <f ca="1">INDEX(INDIRECT("'"&amp;$A24&amp;"'!$A$1:$W$30"),MATCH('All Positional Stats'!$A$17,INDIRECT("'"&amp;$A24&amp;"'!$A$1:$A$30"),0),MATCH('All Positional Stats'!L$16,INDIRECT("'"&amp;$A24&amp;"'!$A$1:$W$1"),0))</f>
        <v>8.3000000000000007</v>
      </c>
      <c r="M24" s="1">
        <f t="shared" ca="1" si="37"/>
        <v>10</v>
      </c>
      <c r="N24" s="1">
        <f ca="1">INDEX(INDIRECT("'"&amp;$A24&amp;"'!$A$1:$W$30"),MATCH('All Positional Stats'!$A$17,INDIRECT("'"&amp;$A24&amp;"'!$A$1:$A$30"),0),MATCH('All Positional Stats'!N$16,INDIRECT("'"&amp;$A24&amp;"'!$A$1:$W$1"),0))</f>
        <v>40.4</v>
      </c>
      <c r="O24" s="1">
        <f t="shared" ca="1" si="37"/>
        <v>1</v>
      </c>
      <c r="P24" s="1">
        <f ca="1">INDEX(INDIRECT("'"&amp;$A24&amp;"'!$A$1:$W$30"),MATCH('All Positional Stats'!$A$17,INDIRECT("'"&amp;$A24&amp;"'!$A$1:$A$30"),0),MATCH('All Positional Stats'!P$16,INDIRECT("'"&amp;$A24&amp;"'!$A$1:$W$1"),0))</f>
        <v>25.9</v>
      </c>
      <c r="Q24" s="1">
        <f t="shared" ca="1" si="37"/>
        <v>2</v>
      </c>
      <c r="R24" s="1">
        <f ca="1">INDEX(INDIRECT("'"&amp;$A24&amp;"'!$A$1:$W$30"),MATCH('All Positional Stats'!$A$17,INDIRECT("'"&amp;$A24&amp;"'!$A$1:$A$30"),0),MATCH('All Positional Stats'!R$16,INDIRECT("'"&amp;$A24&amp;"'!$A$1:$W$1"),0))</f>
        <v>15.3</v>
      </c>
      <c r="S24" s="1">
        <f t="shared" ca="1" si="37"/>
        <v>3</v>
      </c>
      <c r="T24" s="1">
        <f ca="1">INDEX(INDIRECT("'"&amp;$A24&amp;"'!$A$1:$W$30"),MATCH('All Positional Stats'!$A$17,INDIRECT("'"&amp;$A24&amp;"'!$A$1:$A$30"),0),MATCH('All Positional Stats'!T$16,INDIRECT("'"&amp;$A24&amp;"'!$A$1:$W$1"),0))</f>
        <v>11.8</v>
      </c>
      <c r="U24" s="1">
        <f t="shared" ca="1" si="37"/>
        <v>4</v>
      </c>
      <c r="V24" s="1">
        <f ca="1">INDEX(INDIRECT("'"&amp;$A24&amp;"'!$A$1:$W$30"),MATCH('All Positional Stats'!$A$17,INDIRECT("'"&amp;$A24&amp;"'!$A$1:$A$30"),0),MATCH('All Positional Stats'!V$16,INDIRECT("'"&amp;$A24&amp;"'!$A$1:$W$1"),0))</f>
        <v>16</v>
      </c>
      <c r="W24" s="1">
        <f t="shared" ca="1" si="37"/>
        <v>5</v>
      </c>
      <c r="X24" s="1">
        <f ca="1">INDEX(INDIRECT("'"&amp;$A24&amp;"'!$A$1:$W$30"),MATCH('All Positional Stats'!$A$17,INDIRECT("'"&amp;$A24&amp;"'!$A$1:$A$30"),0),MATCH('All Positional Stats'!X$16,INDIRECT("'"&amp;$A24&amp;"'!$A$1:$W$1"),0))</f>
        <v>5.4</v>
      </c>
      <c r="Y24" s="1">
        <f t="shared" ca="1" si="37"/>
        <v>11</v>
      </c>
      <c r="Z24" s="1">
        <f ca="1">INDEX(INDIRECT("'"&amp;$A24&amp;"'!$A$1:$W$30"),MATCH('All Positional Stats'!$A$17,INDIRECT("'"&amp;$A24&amp;"'!$A$1:$A$30"),0),MATCH('All Positional Stats'!Z$16,INDIRECT("'"&amp;$A24&amp;"'!$A$1:$W$1"),0))</f>
        <v>21.6</v>
      </c>
      <c r="AA24" s="1">
        <f t="shared" ca="1" si="37"/>
        <v>1</v>
      </c>
      <c r="AB24" s="1">
        <f ca="1">INDEX(INDIRECT("'"&amp;$A24&amp;"'!$A$1:$W$30"),MATCH('All Positional Stats'!$A$17,INDIRECT("'"&amp;$A24&amp;"'!$A$1:$A$30"),0),MATCH('All Positional Stats'!AB$16,INDIRECT("'"&amp;$A24&amp;"'!$A$1:$W$1"),0))</f>
        <v>7.2</v>
      </c>
      <c r="AC24" s="1">
        <f t="shared" ca="1" si="37"/>
        <v>9</v>
      </c>
      <c r="AD24" s="1">
        <f ca="1">INDEX(INDIRECT("'"&amp;$A24&amp;"'!$A$1:$W$30"),MATCH('All Positional Stats'!$A$17,INDIRECT("'"&amp;$A24&amp;"'!$A$1:$A$30"),0),MATCH('All Positional Stats'!AD$16,INDIRECT("'"&amp;$A24&amp;"'!$A$1:$W$1"),0))</f>
        <v>20.3</v>
      </c>
      <c r="AE24" s="1">
        <f t="shared" ca="1" si="37"/>
        <v>6</v>
      </c>
      <c r="AF24" s="1">
        <f ca="1">INDEX(INDIRECT("'"&amp;$A24&amp;"'!$A$1:$W$30"),MATCH('All Positional Stats'!$A$17,INDIRECT("'"&amp;$A24&amp;"'!$A$1:$A$30"),0),MATCH('All Positional Stats'!AF$16,INDIRECT("'"&amp;$A24&amp;"'!$A$1:$W$1"),0))</f>
        <v>13.8</v>
      </c>
      <c r="AG24" s="1">
        <f t="shared" ca="1" si="37"/>
        <v>6</v>
      </c>
      <c r="AH24" s="1">
        <f ca="1">INDEX(INDIRECT("'"&amp;$A24&amp;"'!$A$1:$W$30"),MATCH('All Positional Stats'!$A$17,INDIRECT("'"&amp;$A24&amp;"'!$A$1:$A$30"),0),MATCH('All Positional Stats'!AH$16,INDIRECT("'"&amp;$A24&amp;"'!$A$1:$W$1"),0))</f>
        <v>4.2</v>
      </c>
      <c r="AI24" s="1">
        <f ca="1">INDEX(INDIRECT("'"&amp;$A24&amp;"'!$A$1:$W$30"),MATCH('All Positional Stats'!$A$17,INDIRECT("'"&amp;$A24&amp;"'!$A$1:$A$30"),0),MATCH('All Positional Stats'!AI$16,INDIRECT("'"&amp;$A24&amp;"'!$A$1:$W$1"),0))</f>
        <v>40.4</v>
      </c>
      <c r="AJ24" s="7">
        <f ca="1">INDEX(INDIRECT("'"&amp;$A24&amp;"'!$A$1:$W$30"),MATCH('All Positional Stats'!$A$17,INDIRECT("'"&amp;$A24&amp;"'!$A$1:$A$30"),0),MATCH('All Positional Stats'!AJ$16,INDIRECT("'"&amp;$A24&amp;"'!$A$1:$W$1"),0))</f>
        <v>16.575000000000003</v>
      </c>
      <c r="AK24" s="7">
        <f ca="1">INDEX(INDIRECT("'"&amp;$A24&amp;"'!$A$1:$W$30"),MATCH('All Positional Stats'!$A$17,INDIRECT("'"&amp;$A24&amp;"'!$A$1:$A$30"),0),MATCH('All Positional Stats'!AK$16,INDIRECT("'"&amp;$A24&amp;"'!$A$1:$W$1"),0))</f>
        <v>9.0041309963815976</v>
      </c>
      <c r="AL24" s="7">
        <f ca="1">INDEX(INDIRECT("'"&amp;$A24&amp;"'!$A$1:$W$30"),MATCH('All Positional Stats'!$A$17,INDIRECT("'"&amp;$A24&amp;"'!$A$1:$A$30"),0),MATCH('All Positional Stats'!AL$16,INDIRECT("'"&amp;$A24&amp;"'!$A$1:$W$1"),0))</f>
        <v>265.20000000000005</v>
      </c>
      <c r="AM24" s="6">
        <f ca="1">INDEX(INDIRECT("'"&amp;$A24&amp;"'!$A$1:$W$30"),MATCH('All Positional Stats'!$A$17,INDIRECT("'"&amp;$A24&amp;"'!$A$1:$A$30"),0),MATCH('All Positional Stats'!AM$16,INDIRECT("'"&amp;$A24&amp;"'!$A$1:$W$1"),0))</f>
        <v>0.17650582362728787</v>
      </c>
      <c r="AN24" s="9">
        <f t="shared" ca="1" si="35"/>
        <v>223.90000000000003</v>
      </c>
      <c r="AO24" s="8">
        <f t="shared" ca="1" si="36"/>
        <v>2</v>
      </c>
    </row>
    <row r="25" spans="1:41" ht="16.25" thickTop="1" thickBot="1" x14ac:dyDescent="0.9">
      <c r="A25" s="1" t="s">
        <v>8</v>
      </c>
      <c r="B25" s="1">
        <f ca="1">INDEX(INDIRECT("'"&amp;$A25&amp;"'!$A$1:$W$30"),MATCH('All Positional Stats'!$A$17,INDIRECT("'"&amp;$A25&amp;"'!$A$1:$A$30"),0),MATCH('All Positional Stats'!B$16,INDIRECT("'"&amp;$A25&amp;"'!$A$1:$W$1"),0))</f>
        <v>10.9</v>
      </c>
      <c r="C25" s="1">
        <f t="shared" ca="1" si="34"/>
        <v>8</v>
      </c>
      <c r="D25" s="1">
        <f ca="1">INDEX(INDIRECT("'"&amp;$A25&amp;"'!$A$1:$W$30"),MATCH('All Positional Stats'!$A$17,INDIRECT("'"&amp;$A25&amp;"'!$A$1:$A$30"),0),MATCH('All Positional Stats'!D$16,INDIRECT("'"&amp;$A25&amp;"'!$A$1:$W$1"),0))</f>
        <v>23</v>
      </c>
      <c r="E25" s="1">
        <f t="shared" ca="1" si="37"/>
        <v>2</v>
      </c>
      <c r="F25" s="1">
        <f ca="1">INDEX(INDIRECT("'"&amp;$A25&amp;"'!$A$1:$W$30"),MATCH('All Positional Stats'!$A$17,INDIRECT("'"&amp;$A25&amp;"'!$A$1:$A$30"),0),MATCH('All Positional Stats'!F$16,INDIRECT("'"&amp;$A25&amp;"'!$A$1:$W$1"),0))</f>
        <v>21.3</v>
      </c>
      <c r="G25" s="1">
        <f t="shared" ca="1" si="37"/>
        <v>3</v>
      </c>
      <c r="H25" s="1">
        <f ca="1">INDEX(INDIRECT("'"&amp;$A25&amp;"'!$A$1:$W$30"),MATCH('All Positional Stats'!$A$17,INDIRECT("'"&amp;$A25&amp;"'!$A$1:$A$30"),0),MATCH('All Positional Stats'!H$16,INDIRECT("'"&amp;$A25&amp;"'!$A$1:$W$1"),0))</f>
        <v>14.8</v>
      </c>
      <c r="I25" s="1">
        <f t="shared" ca="1" si="37"/>
        <v>5</v>
      </c>
      <c r="J25" s="1">
        <f ca="1">INDEX(INDIRECT("'"&amp;$A25&amp;"'!$A$1:$W$30"),MATCH('All Positional Stats'!$A$17,INDIRECT("'"&amp;$A25&amp;"'!$A$1:$A$30"),0),MATCH('All Positional Stats'!J$16,INDIRECT("'"&amp;$A25&amp;"'!$A$1:$W$1"),0))</f>
        <v>2.2999999999999998</v>
      </c>
      <c r="K25" s="1">
        <f t="shared" ca="1" si="37"/>
        <v>12</v>
      </c>
      <c r="L25" s="1">
        <f ca="1">INDEX(INDIRECT("'"&amp;$A25&amp;"'!$A$1:$W$30"),MATCH('All Positional Stats'!$A$17,INDIRECT("'"&amp;$A25&amp;"'!$A$1:$A$30"),0),MATCH('All Positional Stats'!L$16,INDIRECT("'"&amp;$A25&amp;"'!$A$1:$W$1"),0))</f>
        <v>8.9</v>
      </c>
      <c r="M25" s="1">
        <f t="shared" ca="1" si="37"/>
        <v>9</v>
      </c>
      <c r="N25" s="1">
        <f ca="1">INDEX(INDIRECT("'"&amp;$A25&amp;"'!$A$1:$W$30"),MATCH('All Positional Stats'!$A$17,INDIRECT("'"&amp;$A25&amp;"'!$A$1:$A$30"),0),MATCH('All Positional Stats'!N$16,INDIRECT("'"&amp;$A25&amp;"'!$A$1:$W$1"),0))</f>
        <v>10.5</v>
      </c>
      <c r="O25" s="1">
        <f t="shared" ca="1" si="37"/>
        <v>5</v>
      </c>
      <c r="P25" s="1">
        <f ca="1">INDEX(INDIRECT("'"&amp;$A25&amp;"'!$A$1:$W$30"),MATCH('All Positional Stats'!$A$17,INDIRECT("'"&amp;$A25&amp;"'!$A$1:$A$30"),0),MATCH('All Positional Stats'!P$16,INDIRECT("'"&amp;$A25&amp;"'!$A$1:$W$1"),0))</f>
        <v>6.6</v>
      </c>
      <c r="Q25" s="1">
        <f t="shared" ca="1" si="37"/>
        <v>10</v>
      </c>
      <c r="R25" s="1">
        <f ca="1">INDEX(INDIRECT("'"&amp;$A25&amp;"'!$A$1:$W$30"),MATCH('All Positional Stats'!$A$17,INDIRECT("'"&amp;$A25&amp;"'!$A$1:$A$30"),0),MATCH('All Positional Stats'!R$16,INDIRECT("'"&amp;$A25&amp;"'!$A$1:$W$1"),0))</f>
        <v>8.4</v>
      </c>
      <c r="S25" s="1">
        <f t="shared" ca="1" si="37"/>
        <v>8</v>
      </c>
      <c r="T25" s="1">
        <f ca="1">INDEX(INDIRECT("'"&amp;$A25&amp;"'!$A$1:$W$30"),MATCH('All Positional Stats'!$A$17,INDIRECT("'"&amp;$A25&amp;"'!$A$1:$A$30"),0),MATCH('All Positional Stats'!T$16,INDIRECT("'"&amp;$A25&amp;"'!$A$1:$W$1"),0))</f>
        <v>0.3</v>
      </c>
      <c r="U25" s="1">
        <f t="shared" ca="1" si="37"/>
        <v>12</v>
      </c>
      <c r="V25" s="1">
        <f ca="1">INDEX(INDIRECT("'"&amp;$A25&amp;"'!$A$1:$W$30"),MATCH('All Positional Stats'!$A$17,INDIRECT("'"&amp;$A25&amp;"'!$A$1:$A$30"),0),MATCH('All Positional Stats'!V$16,INDIRECT("'"&amp;$A25&amp;"'!$A$1:$W$1"),0))</f>
        <v>5.7</v>
      </c>
      <c r="W25" s="1">
        <f t="shared" ca="1" si="37"/>
        <v>12</v>
      </c>
      <c r="X25" s="1">
        <f ca="1">INDEX(INDIRECT("'"&amp;$A25&amp;"'!$A$1:$W$30"),MATCH('All Positional Stats'!$A$17,INDIRECT("'"&amp;$A25&amp;"'!$A$1:$A$30"),0),MATCH('All Positional Stats'!X$16,INDIRECT("'"&amp;$A25&amp;"'!$A$1:$W$1"),0))</f>
        <v>10.3</v>
      </c>
      <c r="Y25" s="1">
        <f t="shared" ca="1" si="37"/>
        <v>6</v>
      </c>
      <c r="Z25" s="1">
        <f ca="1">INDEX(INDIRECT("'"&amp;$A25&amp;"'!$A$1:$W$30"),MATCH('All Positional Stats'!$A$17,INDIRECT("'"&amp;$A25&amp;"'!$A$1:$A$30"),0),MATCH('All Positional Stats'!Z$16,INDIRECT("'"&amp;$A25&amp;"'!$A$1:$W$1"),0))</f>
        <v>8.6</v>
      </c>
      <c r="AA25" s="1">
        <f t="shared" ca="1" si="37"/>
        <v>11</v>
      </c>
      <c r="AB25" s="1">
        <f ca="1">INDEX(INDIRECT("'"&amp;$A25&amp;"'!$A$1:$W$30"),MATCH('All Positional Stats'!$A$17,INDIRECT("'"&amp;$A25&amp;"'!$A$1:$A$30"),0),MATCH('All Positional Stats'!AB$16,INDIRECT("'"&amp;$A25&amp;"'!$A$1:$W$1"),0))</f>
        <v>15.1</v>
      </c>
      <c r="AC25" s="1">
        <f t="shared" ca="1" si="37"/>
        <v>6</v>
      </c>
      <c r="AD25" s="1">
        <f ca="1">INDEX(INDIRECT("'"&amp;$A25&amp;"'!$A$1:$W$30"),MATCH('All Positional Stats'!$A$17,INDIRECT("'"&amp;$A25&amp;"'!$A$1:$A$30"),0),MATCH('All Positional Stats'!AD$16,INDIRECT("'"&amp;$A25&amp;"'!$A$1:$W$1"),0))</f>
        <v>27.9</v>
      </c>
      <c r="AE25" s="1">
        <f t="shared" ca="1" si="37"/>
        <v>2</v>
      </c>
      <c r="AF25" s="1">
        <f ca="1">INDEX(INDIRECT("'"&amp;$A25&amp;"'!$A$1:$W$30"),MATCH('All Positional Stats'!$A$17,INDIRECT("'"&amp;$A25&amp;"'!$A$1:$A$30"),0),MATCH('All Positional Stats'!AF$16,INDIRECT("'"&amp;$A25&amp;"'!$A$1:$W$1"),0))</f>
        <v>4.5999999999999996</v>
      </c>
      <c r="AG25" s="1">
        <f t="shared" ca="1" si="37"/>
        <v>12</v>
      </c>
      <c r="AH25" s="1">
        <f ca="1">INDEX(INDIRECT("'"&amp;$A25&amp;"'!$A$1:$W$30"),MATCH('All Positional Stats'!$A$17,INDIRECT("'"&amp;$A25&amp;"'!$A$1:$A$30"),0),MATCH('All Positional Stats'!AH$16,INDIRECT("'"&amp;$A25&amp;"'!$A$1:$W$1"),0))</f>
        <v>0.3</v>
      </c>
      <c r="AI25" s="1">
        <f ca="1">INDEX(INDIRECT("'"&amp;$A25&amp;"'!$A$1:$W$30"),MATCH('All Positional Stats'!$A$17,INDIRECT("'"&amp;$A25&amp;"'!$A$1:$A$30"),0),MATCH('All Positional Stats'!AI$16,INDIRECT("'"&amp;$A25&amp;"'!$A$1:$W$1"),0))</f>
        <v>27.9</v>
      </c>
      <c r="AJ25" s="7">
        <f ca="1">INDEX(INDIRECT("'"&amp;$A25&amp;"'!$A$1:$W$30"),MATCH('All Positional Stats'!$A$17,INDIRECT("'"&amp;$A25&amp;"'!$A$1:$A$30"),0),MATCH('All Positional Stats'!AJ$16,INDIRECT("'"&amp;$A25&amp;"'!$A$1:$W$1"),0))</f>
        <v>11.2</v>
      </c>
      <c r="AK25" s="7">
        <f ca="1">INDEX(INDIRECT("'"&amp;$A25&amp;"'!$A$1:$W$30"),MATCH('All Positional Stats'!$A$17,INDIRECT("'"&amp;$A25&amp;"'!$A$1:$A$30"),0),MATCH('All Positional Stats'!AK$16,INDIRECT("'"&amp;$A25&amp;"'!$A$1:$W$1"),0))</f>
        <v>7.3424280725111615</v>
      </c>
      <c r="AL25" s="7">
        <f ca="1">INDEX(INDIRECT("'"&amp;$A25&amp;"'!$A$1:$W$30"),MATCH('All Positional Stats'!$A$17,INDIRECT("'"&amp;$A25&amp;"'!$A$1:$A$30"),0),MATCH('All Positional Stats'!AL$16,INDIRECT("'"&amp;$A25&amp;"'!$A$1:$W$1"),0))</f>
        <v>179.2</v>
      </c>
      <c r="AM25" s="6">
        <f ca="1">INDEX(INDIRECT("'"&amp;$A25&amp;"'!$A$1:$W$30"),MATCH('All Positional Stats'!$A$17,INDIRECT("'"&amp;$A25&amp;"'!$A$1:$A$30"),0),MATCH('All Positional Stats'!AM$16,INDIRECT("'"&amp;$A25&amp;"'!$A$1:$W$1"),0))</f>
        <v>0.12212908062427584</v>
      </c>
      <c r="AN25" s="9">
        <f t="shared" ca="1" si="35"/>
        <v>131.6</v>
      </c>
      <c r="AO25" s="8">
        <f t="shared" ca="1" si="36"/>
        <v>9</v>
      </c>
    </row>
    <row r="26" spans="1:41" ht="16.25" thickTop="1" thickBot="1" x14ac:dyDescent="0.9">
      <c r="A26" s="1" t="s">
        <v>9</v>
      </c>
      <c r="B26" s="1">
        <f ca="1">INDEX(INDIRECT("'"&amp;$A26&amp;"'!$A$1:$W$30"),MATCH('All Positional Stats'!$A$17,INDIRECT("'"&amp;$A26&amp;"'!$A$1:$A$30"),0),MATCH('All Positional Stats'!B$16,INDIRECT("'"&amp;$A26&amp;"'!$A$1:$W$1"),0))</f>
        <v>19.899999999999999</v>
      </c>
      <c r="C26" s="1">
        <f t="shared" ca="1" si="34"/>
        <v>2</v>
      </c>
      <c r="D26" s="1">
        <f ca="1">INDEX(INDIRECT("'"&amp;$A26&amp;"'!$A$1:$W$30"),MATCH('All Positional Stats'!$A$17,INDIRECT("'"&amp;$A26&amp;"'!$A$1:$A$30"),0),MATCH('All Positional Stats'!D$16,INDIRECT("'"&amp;$A26&amp;"'!$A$1:$W$1"),0))</f>
        <v>13.1</v>
      </c>
      <c r="E26" s="1">
        <f t="shared" ca="1" si="37"/>
        <v>5</v>
      </c>
      <c r="F26" s="1">
        <f ca="1">INDEX(INDIRECT("'"&amp;$A26&amp;"'!$A$1:$W$30"),MATCH('All Positional Stats'!$A$17,INDIRECT("'"&amp;$A26&amp;"'!$A$1:$A$30"),0),MATCH('All Positional Stats'!F$16,INDIRECT("'"&amp;$A26&amp;"'!$A$1:$W$1"),0))</f>
        <v>15.5</v>
      </c>
      <c r="G26" s="1">
        <f t="shared" ca="1" si="37"/>
        <v>7</v>
      </c>
      <c r="H26" s="1">
        <f ca="1">INDEX(INDIRECT("'"&amp;$A26&amp;"'!$A$1:$W$30"),MATCH('All Positional Stats'!$A$17,INDIRECT("'"&amp;$A26&amp;"'!$A$1:$A$30"),0),MATCH('All Positional Stats'!H$16,INDIRECT("'"&amp;$A26&amp;"'!$A$1:$W$1"),0))</f>
        <v>22.5</v>
      </c>
      <c r="I26" s="1">
        <f t="shared" ca="1" si="37"/>
        <v>4</v>
      </c>
      <c r="J26" s="1">
        <f ca="1">INDEX(INDIRECT("'"&amp;$A26&amp;"'!$A$1:$W$30"),MATCH('All Positional Stats'!$A$17,INDIRECT("'"&amp;$A26&amp;"'!$A$1:$A$30"),0),MATCH('All Positional Stats'!J$16,INDIRECT("'"&amp;$A26&amp;"'!$A$1:$W$1"),0))</f>
        <v>30.9</v>
      </c>
      <c r="K26" s="1">
        <f t="shared" ca="1" si="37"/>
        <v>2</v>
      </c>
      <c r="L26" s="1">
        <f ca="1">INDEX(INDIRECT("'"&amp;$A26&amp;"'!$A$1:$W$30"),MATCH('All Positional Stats'!$A$17,INDIRECT("'"&amp;$A26&amp;"'!$A$1:$A$30"),0),MATCH('All Positional Stats'!L$16,INDIRECT("'"&amp;$A26&amp;"'!$A$1:$W$1"),0))</f>
        <v>20.8</v>
      </c>
      <c r="M26" s="1">
        <f t="shared" ca="1" si="37"/>
        <v>3</v>
      </c>
      <c r="N26" s="1">
        <f ca="1">INDEX(INDIRECT("'"&amp;$A26&amp;"'!$A$1:$W$30"),MATCH('All Positional Stats'!$A$17,INDIRECT("'"&amp;$A26&amp;"'!$A$1:$A$30"),0),MATCH('All Positional Stats'!N$16,INDIRECT("'"&amp;$A26&amp;"'!$A$1:$W$1"),0))</f>
        <v>0</v>
      </c>
      <c r="O26" s="1">
        <f t="shared" ca="1" si="37"/>
        <v>12</v>
      </c>
      <c r="P26" s="1">
        <f ca="1">INDEX(INDIRECT("'"&amp;$A26&amp;"'!$A$1:$W$30"),MATCH('All Positional Stats'!$A$17,INDIRECT("'"&amp;$A26&amp;"'!$A$1:$A$30"),0),MATCH('All Positional Stats'!P$16,INDIRECT("'"&amp;$A26&amp;"'!$A$1:$W$1"),0))</f>
        <v>5.3</v>
      </c>
      <c r="Q26" s="1">
        <f t="shared" ca="1" si="37"/>
        <v>11</v>
      </c>
      <c r="R26" s="1">
        <f ca="1">INDEX(INDIRECT("'"&amp;$A26&amp;"'!$A$1:$W$30"),MATCH('All Positional Stats'!$A$17,INDIRECT("'"&amp;$A26&amp;"'!$A$1:$A$30"),0),MATCH('All Positional Stats'!R$16,INDIRECT("'"&amp;$A26&amp;"'!$A$1:$W$1"),0))</f>
        <v>10.199999999999999</v>
      </c>
      <c r="S26" s="1">
        <f t="shared" ca="1" si="37"/>
        <v>6</v>
      </c>
      <c r="T26" s="1">
        <f ca="1">INDEX(INDIRECT("'"&amp;$A26&amp;"'!$A$1:$W$30"),MATCH('All Positional Stats'!$A$17,INDIRECT("'"&amp;$A26&amp;"'!$A$1:$A$30"),0),MATCH('All Positional Stats'!T$16,INDIRECT("'"&amp;$A26&amp;"'!$A$1:$W$1"),0))</f>
        <v>5.6</v>
      </c>
      <c r="U26" s="1">
        <f t="shared" ca="1" si="37"/>
        <v>9</v>
      </c>
      <c r="V26" s="1">
        <f ca="1">INDEX(INDIRECT("'"&amp;$A26&amp;"'!$A$1:$W$30"),MATCH('All Positional Stats'!$A$17,INDIRECT("'"&amp;$A26&amp;"'!$A$1:$A$30"),0),MATCH('All Positional Stats'!V$16,INDIRECT("'"&amp;$A26&amp;"'!$A$1:$W$1"),0))</f>
        <v>10.5</v>
      </c>
      <c r="W26" s="1">
        <f t="shared" ca="1" si="37"/>
        <v>8</v>
      </c>
      <c r="X26" s="1">
        <f ca="1">INDEX(INDIRECT("'"&amp;$A26&amp;"'!$A$1:$W$30"),MATCH('All Positional Stats'!$A$17,INDIRECT("'"&amp;$A26&amp;"'!$A$1:$A$30"),0),MATCH('All Positional Stats'!X$16,INDIRECT("'"&amp;$A26&amp;"'!$A$1:$W$1"),0))</f>
        <v>5.7</v>
      </c>
      <c r="Y26" s="1">
        <f t="shared" ca="1" si="37"/>
        <v>10</v>
      </c>
      <c r="Z26" s="1">
        <f ca="1">INDEX(INDIRECT("'"&amp;$A26&amp;"'!$A$1:$W$30"),MATCH('All Positional Stats'!$A$17,INDIRECT("'"&amp;$A26&amp;"'!$A$1:$A$30"),0),MATCH('All Positional Stats'!Z$16,INDIRECT("'"&amp;$A26&amp;"'!$A$1:$W$1"),0))</f>
        <v>15.4</v>
      </c>
      <c r="AA26" s="1">
        <f t="shared" ca="1" si="37"/>
        <v>5</v>
      </c>
      <c r="AB26" s="1">
        <f ca="1">INDEX(INDIRECT("'"&amp;$A26&amp;"'!$A$1:$W$30"),MATCH('All Positional Stats'!$A$17,INDIRECT("'"&amp;$A26&amp;"'!$A$1:$A$30"),0),MATCH('All Positional Stats'!AB$16,INDIRECT("'"&amp;$A26&amp;"'!$A$1:$W$1"),0))</f>
        <v>19.899999999999999</v>
      </c>
      <c r="AC26" s="1">
        <f t="shared" ca="1" si="37"/>
        <v>5</v>
      </c>
      <c r="AD26" s="1">
        <f ca="1">INDEX(INDIRECT("'"&amp;$A26&amp;"'!$A$1:$W$30"),MATCH('All Positional Stats'!$A$17,INDIRECT("'"&amp;$A26&amp;"'!$A$1:$A$30"),0),MATCH('All Positional Stats'!AD$16,INDIRECT("'"&amp;$A26&amp;"'!$A$1:$W$1"),0))</f>
        <v>10.4</v>
      </c>
      <c r="AE26" s="1">
        <f t="shared" ca="1" si="37"/>
        <v>9</v>
      </c>
      <c r="AF26" s="1">
        <f ca="1">INDEX(INDIRECT("'"&amp;$A26&amp;"'!$A$1:$W$30"),MATCH('All Positional Stats'!$A$17,INDIRECT("'"&amp;$A26&amp;"'!$A$1:$A$30"),0),MATCH('All Positional Stats'!AF$16,INDIRECT("'"&amp;$A26&amp;"'!$A$1:$W$1"),0))</f>
        <v>14.5</v>
      </c>
      <c r="AG26" s="1">
        <f t="shared" ca="1" si="37"/>
        <v>5</v>
      </c>
      <c r="AH26" s="1">
        <f ca="1">INDEX(INDIRECT("'"&amp;$A26&amp;"'!$A$1:$W$30"),MATCH('All Positional Stats'!$A$17,INDIRECT("'"&amp;$A26&amp;"'!$A$1:$A$30"),0),MATCH('All Positional Stats'!AH$16,INDIRECT("'"&amp;$A26&amp;"'!$A$1:$W$1"),0))</f>
        <v>0</v>
      </c>
      <c r="AI26" s="1">
        <f ca="1">INDEX(INDIRECT("'"&amp;$A26&amp;"'!$A$1:$W$30"),MATCH('All Positional Stats'!$A$17,INDIRECT("'"&amp;$A26&amp;"'!$A$1:$A$30"),0),MATCH('All Positional Stats'!AI$16,INDIRECT("'"&amp;$A26&amp;"'!$A$1:$W$1"),0))</f>
        <v>30.9</v>
      </c>
      <c r="AJ26" s="7">
        <f ca="1">INDEX(INDIRECT("'"&amp;$A26&amp;"'!$A$1:$W$30"),MATCH('All Positional Stats'!$A$17,INDIRECT("'"&amp;$A26&amp;"'!$A$1:$A$30"),0),MATCH('All Positional Stats'!AJ$16,INDIRECT("'"&amp;$A26&amp;"'!$A$1:$W$1"),0))</f>
        <v>13.762499999999999</v>
      </c>
      <c r="AK26" s="7">
        <f ca="1">INDEX(INDIRECT("'"&amp;$A26&amp;"'!$A$1:$W$30"),MATCH('All Positional Stats'!$A$17,INDIRECT("'"&amp;$A26&amp;"'!$A$1:$A$30"),0),MATCH('All Positional Stats'!AK$16,INDIRECT("'"&amp;$A26&amp;"'!$A$1:$W$1"),0))</f>
        <v>7.6193729236729171</v>
      </c>
      <c r="AL26" s="7">
        <f ca="1">INDEX(INDIRECT("'"&amp;$A26&amp;"'!$A$1:$W$30"),MATCH('All Positional Stats'!$A$17,INDIRECT("'"&amp;$A26&amp;"'!$A$1:$A$30"),0),MATCH('All Positional Stats'!AL$16,INDIRECT("'"&amp;$A26&amp;"'!$A$1:$W$1"),0))</f>
        <v>220.2</v>
      </c>
      <c r="AM26" s="6">
        <f ca="1">INDEX(INDIRECT("'"&amp;$A26&amp;"'!$A$1:$W$30"),MATCH('All Positional Stats'!$A$17,INDIRECT("'"&amp;$A26&amp;"'!$A$1:$A$30"),0),MATCH('All Positional Stats'!AM$16,INDIRECT("'"&amp;$A26&amp;"'!$A$1:$W$1"),0))</f>
        <v>0.15858840475333091</v>
      </c>
      <c r="AN26" s="9">
        <f t="shared" ca="1" si="35"/>
        <v>175.39999999999998</v>
      </c>
      <c r="AO26" s="8">
        <f t="shared" ca="1" si="36"/>
        <v>6</v>
      </c>
    </row>
    <row r="27" spans="1:41" ht="16.25" thickTop="1" thickBot="1" x14ac:dyDescent="0.9">
      <c r="A27" s="1" t="s">
        <v>10</v>
      </c>
      <c r="B27" s="1">
        <f ca="1">INDEX(INDIRECT("'"&amp;$A27&amp;"'!$A$1:$W$30"),MATCH('All Positional Stats'!$A$17,INDIRECT("'"&amp;$A27&amp;"'!$A$1:$A$30"),0),MATCH('All Positional Stats'!B$16,INDIRECT("'"&amp;$A27&amp;"'!$A$1:$W$1"),0))</f>
        <v>7</v>
      </c>
      <c r="C27" s="1">
        <f t="shared" ca="1" si="34"/>
        <v>11</v>
      </c>
      <c r="D27" s="1">
        <f ca="1">INDEX(INDIRECT("'"&amp;$A27&amp;"'!$A$1:$W$30"),MATCH('All Positional Stats'!$A$17,INDIRECT("'"&amp;$A27&amp;"'!$A$1:$A$30"),0),MATCH('All Positional Stats'!D$16,INDIRECT("'"&amp;$A27&amp;"'!$A$1:$W$1"),0))</f>
        <v>3.3</v>
      </c>
      <c r="E27" s="1">
        <f t="shared" ca="1" si="37"/>
        <v>11</v>
      </c>
      <c r="F27" s="1">
        <f ca="1">INDEX(INDIRECT("'"&amp;$A27&amp;"'!$A$1:$W$30"),MATCH('All Positional Stats'!$A$17,INDIRECT("'"&amp;$A27&amp;"'!$A$1:$A$30"),0),MATCH('All Positional Stats'!F$16,INDIRECT("'"&amp;$A27&amp;"'!$A$1:$W$1"),0))</f>
        <v>16.2</v>
      </c>
      <c r="G27" s="1">
        <f t="shared" ca="1" si="37"/>
        <v>6</v>
      </c>
      <c r="H27" s="1">
        <f ca="1">INDEX(INDIRECT("'"&amp;$A27&amp;"'!$A$1:$W$30"),MATCH('All Positional Stats'!$A$17,INDIRECT("'"&amp;$A27&amp;"'!$A$1:$A$30"),0),MATCH('All Positional Stats'!H$16,INDIRECT("'"&amp;$A27&amp;"'!$A$1:$W$1"),0))</f>
        <v>6.9</v>
      </c>
      <c r="I27" s="1">
        <f t="shared" ca="1" si="37"/>
        <v>9</v>
      </c>
      <c r="J27" s="1">
        <f ca="1">INDEX(INDIRECT("'"&amp;$A27&amp;"'!$A$1:$W$30"),MATCH('All Positional Stats'!$A$17,INDIRECT("'"&amp;$A27&amp;"'!$A$1:$A$30"),0),MATCH('All Positional Stats'!J$16,INDIRECT("'"&amp;$A27&amp;"'!$A$1:$W$1"),0))</f>
        <v>6.9</v>
      </c>
      <c r="K27" s="1">
        <f t="shared" ca="1" si="37"/>
        <v>9</v>
      </c>
      <c r="L27" s="1">
        <f ca="1">INDEX(INDIRECT("'"&amp;$A27&amp;"'!$A$1:$W$30"),MATCH('All Positional Stats'!$A$17,INDIRECT("'"&amp;$A27&amp;"'!$A$1:$A$30"),0),MATCH('All Positional Stats'!L$16,INDIRECT("'"&amp;$A27&amp;"'!$A$1:$W$1"),0))</f>
        <v>16.7</v>
      </c>
      <c r="M27" s="1">
        <f t="shared" ca="1" si="37"/>
        <v>5</v>
      </c>
      <c r="N27" s="1">
        <f ca="1">INDEX(INDIRECT("'"&amp;$A27&amp;"'!$A$1:$W$30"),MATCH('All Positional Stats'!$A$17,INDIRECT("'"&amp;$A27&amp;"'!$A$1:$A$30"),0),MATCH('All Positional Stats'!N$16,INDIRECT("'"&amp;$A27&amp;"'!$A$1:$W$1"),0))</f>
        <v>8.1</v>
      </c>
      <c r="O27" s="1">
        <f t="shared" ca="1" si="37"/>
        <v>6</v>
      </c>
      <c r="P27" s="1">
        <f ca="1">INDEX(INDIRECT("'"&amp;$A27&amp;"'!$A$1:$W$30"),MATCH('All Positional Stats'!$A$17,INDIRECT("'"&amp;$A27&amp;"'!$A$1:$A$30"),0),MATCH('All Positional Stats'!P$16,INDIRECT("'"&amp;$A27&amp;"'!$A$1:$W$1"),0))</f>
        <v>7.7</v>
      </c>
      <c r="Q27" s="1">
        <f t="shared" ca="1" si="37"/>
        <v>8</v>
      </c>
      <c r="R27" s="1">
        <f ca="1">INDEX(INDIRECT("'"&amp;$A27&amp;"'!$A$1:$W$30"),MATCH('All Positional Stats'!$A$17,INDIRECT("'"&amp;$A27&amp;"'!$A$1:$A$30"),0),MATCH('All Positional Stats'!R$16,INDIRECT("'"&amp;$A27&amp;"'!$A$1:$W$1"),0))</f>
        <v>5.0999999999999996</v>
      </c>
      <c r="S27" s="1">
        <f t="shared" ca="1" si="37"/>
        <v>9</v>
      </c>
      <c r="T27" s="1">
        <f ca="1">INDEX(INDIRECT("'"&amp;$A27&amp;"'!$A$1:$W$30"),MATCH('All Positional Stats'!$A$17,INDIRECT("'"&amp;$A27&amp;"'!$A$1:$A$30"),0),MATCH('All Positional Stats'!T$16,INDIRECT("'"&amp;$A27&amp;"'!$A$1:$W$1"),0))</f>
        <v>18.5</v>
      </c>
      <c r="U27" s="1">
        <f t="shared" ca="1" si="37"/>
        <v>1</v>
      </c>
      <c r="V27" s="1">
        <f ca="1">INDEX(INDIRECT("'"&amp;$A27&amp;"'!$A$1:$W$30"),MATCH('All Positional Stats'!$A$17,INDIRECT("'"&amp;$A27&amp;"'!$A$1:$A$30"),0),MATCH('All Positional Stats'!V$16,INDIRECT("'"&amp;$A27&amp;"'!$A$1:$W$1"),0))</f>
        <v>7.2</v>
      </c>
      <c r="W27" s="1">
        <f t="shared" ca="1" si="37"/>
        <v>11</v>
      </c>
      <c r="X27" s="1">
        <f ca="1">INDEX(INDIRECT("'"&amp;$A27&amp;"'!$A$1:$W$30"),MATCH('All Positional Stats'!$A$17,INDIRECT("'"&amp;$A27&amp;"'!$A$1:$A$30"),0),MATCH('All Positional Stats'!X$16,INDIRECT("'"&amp;$A27&amp;"'!$A$1:$W$1"),0))</f>
        <v>11.7</v>
      </c>
      <c r="Y27" s="1">
        <f t="shared" ca="1" si="37"/>
        <v>5</v>
      </c>
      <c r="Z27" s="1">
        <f ca="1">INDEX(INDIRECT("'"&amp;$A27&amp;"'!$A$1:$W$30"),MATCH('All Positional Stats'!$A$17,INDIRECT("'"&amp;$A27&amp;"'!$A$1:$A$30"),0),MATCH('All Positional Stats'!Z$16,INDIRECT("'"&amp;$A27&amp;"'!$A$1:$W$1"),0))</f>
        <v>8.9</v>
      </c>
      <c r="AA27" s="1">
        <f t="shared" ca="1" si="37"/>
        <v>10</v>
      </c>
      <c r="AB27" s="1">
        <f ca="1">INDEX(INDIRECT("'"&amp;$A27&amp;"'!$A$1:$W$30"),MATCH('All Positional Stats'!$A$17,INDIRECT("'"&amp;$A27&amp;"'!$A$1:$A$30"),0),MATCH('All Positional Stats'!AB$16,INDIRECT("'"&amp;$A27&amp;"'!$A$1:$W$1"),0))</f>
        <v>5.7</v>
      </c>
      <c r="AC27" s="1">
        <f t="shared" ca="1" si="37"/>
        <v>11</v>
      </c>
      <c r="AD27" s="1">
        <f ca="1">INDEX(INDIRECT("'"&amp;$A27&amp;"'!$A$1:$W$30"),MATCH('All Positional Stats'!$A$17,INDIRECT("'"&amp;$A27&amp;"'!$A$1:$A$30"),0),MATCH('All Positional Stats'!AD$16,INDIRECT("'"&amp;$A27&amp;"'!$A$1:$W$1"),0))</f>
        <v>22.6</v>
      </c>
      <c r="AE27" s="1">
        <f t="shared" ca="1" si="37"/>
        <v>5</v>
      </c>
      <c r="AF27" s="1">
        <f ca="1">INDEX(INDIRECT("'"&amp;$A27&amp;"'!$A$1:$W$30"),MATCH('All Positional Stats'!$A$17,INDIRECT("'"&amp;$A27&amp;"'!$A$1:$A$30"),0),MATCH('All Positional Stats'!AF$16,INDIRECT("'"&amp;$A27&amp;"'!$A$1:$W$1"),0))</f>
        <v>6.8</v>
      </c>
      <c r="AG27" s="1">
        <f t="shared" ca="1" si="37"/>
        <v>10</v>
      </c>
      <c r="AH27" s="1">
        <f ca="1">INDEX(INDIRECT("'"&amp;$A27&amp;"'!$A$1:$W$30"),MATCH('All Positional Stats'!$A$17,INDIRECT("'"&amp;$A27&amp;"'!$A$1:$A$30"),0),MATCH('All Positional Stats'!AH$16,INDIRECT("'"&amp;$A27&amp;"'!$A$1:$W$1"),0))</f>
        <v>3.3</v>
      </c>
      <c r="AI27" s="1">
        <f ca="1">INDEX(INDIRECT("'"&amp;$A27&amp;"'!$A$1:$W$30"),MATCH('All Positional Stats'!$A$17,INDIRECT("'"&amp;$A27&amp;"'!$A$1:$A$30"),0),MATCH('All Positional Stats'!AI$16,INDIRECT("'"&amp;$A27&amp;"'!$A$1:$W$1"),0))</f>
        <v>22.6</v>
      </c>
      <c r="AJ27" s="7">
        <f ca="1">INDEX(INDIRECT("'"&amp;$A27&amp;"'!$A$1:$W$30"),MATCH('All Positional Stats'!$A$17,INDIRECT("'"&amp;$A27&amp;"'!$A$1:$A$30"),0),MATCH('All Positional Stats'!AJ$16,INDIRECT("'"&amp;$A27&amp;"'!$A$1:$W$1"),0))</f>
        <v>9.9562500000000007</v>
      </c>
      <c r="AK27" s="7">
        <f ca="1">INDEX(INDIRECT("'"&amp;$A27&amp;"'!$A$1:$W$30"),MATCH('All Positional Stats'!$A$17,INDIRECT("'"&amp;$A27&amp;"'!$A$1:$A$30"),0),MATCH('All Positional Stats'!AK$16,INDIRECT("'"&amp;$A27&amp;"'!$A$1:$W$1"),0))</f>
        <v>5.36772399975073</v>
      </c>
      <c r="AL27" s="7">
        <f ca="1">INDEX(INDIRECT("'"&amp;$A27&amp;"'!$A$1:$W$30"),MATCH('All Positional Stats'!$A$17,INDIRECT("'"&amp;$A27&amp;"'!$A$1:$A$30"),0),MATCH('All Positional Stats'!AL$16,INDIRECT("'"&amp;$A27&amp;"'!$A$1:$W$1"),0))</f>
        <v>159.30000000000001</v>
      </c>
      <c r="AM27" s="6">
        <f ca="1">INDEX(INDIRECT("'"&amp;$A27&amp;"'!$A$1:$W$30"),MATCH('All Positional Stats'!$A$17,INDIRECT("'"&amp;$A27&amp;"'!$A$1:$A$30"),0),MATCH('All Positional Stats'!AM$16,INDIRECT("'"&amp;$A27&amp;"'!$A$1:$W$1"),0))</f>
        <v>0.10661223397135591</v>
      </c>
      <c r="AN27" s="9">
        <f t="shared" ca="1" si="35"/>
        <v>124.2</v>
      </c>
      <c r="AO27" s="8">
        <f t="shared" ca="1" si="36"/>
        <v>10</v>
      </c>
    </row>
    <row r="28" spans="1:41" ht="16.25" thickTop="1" thickBot="1" x14ac:dyDescent="0.9">
      <c r="A28" s="1" t="s">
        <v>11</v>
      </c>
      <c r="B28" s="1">
        <f ca="1">INDEX(INDIRECT("'"&amp;$A28&amp;"'!$A$1:$W$30"),MATCH('All Positional Stats'!$A$17,INDIRECT("'"&amp;$A28&amp;"'!$A$1:$A$30"),0),MATCH('All Positional Stats'!B$16,INDIRECT("'"&amp;$A28&amp;"'!$A$1:$W$1"),0))</f>
        <v>18.399999999999999</v>
      </c>
      <c r="C28" s="1">
        <f t="shared" ca="1" si="34"/>
        <v>3</v>
      </c>
      <c r="D28" s="1">
        <f ca="1">INDEX(INDIRECT("'"&amp;$A28&amp;"'!$A$1:$W$30"),MATCH('All Positional Stats'!$A$17,INDIRECT("'"&amp;$A28&amp;"'!$A$1:$A$30"),0),MATCH('All Positional Stats'!D$16,INDIRECT("'"&amp;$A28&amp;"'!$A$1:$W$1"),0))</f>
        <v>7.3</v>
      </c>
      <c r="E28" s="1">
        <f t="shared" ca="1" si="37"/>
        <v>8</v>
      </c>
      <c r="F28" s="1">
        <f ca="1">INDEX(INDIRECT("'"&amp;$A28&amp;"'!$A$1:$W$30"),MATCH('All Positional Stats'!$A$17,INDIRECT("'"&amp;$A28&amp;"'!$A$1:$A$30"),0),MATCH('All Positional Stats'!F$16,INDIRECT("'"&amp;$A28&amp;"'!$A$1:$W$1"),0))</f>
        <v>10.4</v>
      </c>
      <c r="G28" s="1">
        <f t="shared" ca="1" si="37"/>
        <v>9</v>
      </c>
      <c r="H28" s="1">
        <f ca="1">INDEX(INDIRECT("'"&amp;$A28&amp;"'!$A$1:$W$30"),MATCH('All Positional Stats'!$A$17,INDIRECT("'"&amp;$A28&amp;"'!$A$1:$A$30"),0),MATCH('All Positional Stats'!H$16,INDIRECT("'"&amp;$A28&amp;"'!$A$1:$W$1"),0))</f>
        <v>12.3</v>
      </c>
      <c r="I28" s="1">
        <f t="shared" ca="1" si="37"/>
        <v>7</v>
      </c>
      <c r="J28" s="1">
        <f ca="1">INDEX(INDIRECT("'"&amp;$A28&amp;"'!$A$1:$W$30"),MATCH('All Positional Stats'!$A$17,INDIRECT("'"&amp;$A28&amp;"'!$A$1:$A$30"),0),MATCH('All Positional Stats'!J$16,INDIRECT("'"&amp;$A28&amp;"'!$A$1:$W$1"),0))</f>
        <v>11.9</v>
      </c>
      <c r="K28" s="1">
        <f t="shared" ca="1" si="37"/>
        <v>5</v>
      </c>
      <c r="L28" s="1">
        <f ca="1">INDEX(INDIRECT("'"&amp;$A28&amp;"'!$A$1:$W$30"),MATCH('All Positional Stats'!$A$17,INDIRECT("'"&amp;$A28&amp;"'!$A$1:$A$30"),0),MATCH('All Positional Stats'!L$16,INDIRECT("'"&amp;$A28&amp;"'!$A$1:$W$1"),0))</f>
        <v>13.5</v>
      </c>
      <c r="M28" s="1">
        <f t="shared" ca="1" si="37"/>
        <v>6</v>
      </c>
      <c r="N28" s="1">
        <f ca="1">INDEX(INDIRECT("'"&amp;$A28&amp;"'!$A$1:$W$30"),MATCH('All Positional Stats'!$A$17,INDIRECT("'"&amp;$A28&amp;"'!$A$1:$A$30"),0),MATCH('All Positional Stats'!N$16,INDIRECT("'"&amp;$A28&amp;"'!$A$1:$W$1"),0))</f>
        <v>24.7</v>
      </c>
      <c r="O28" s="1">
        <f t="shared" ca="1" si="37"/>
        <v>2</v>
      </c>
      <c r="P28" s="1">
        <f ca="1">INDEX(INDIRECT("'"&amp;$A28&amp;"'!$A$1:$W$30"),MATCH('All Positional Stats'!$A$17,INDIRECT("'"&amp;$A28&amp;"'!$A$1:$A$30"),0),MATCH('All Positional Stats'!P$16,INDIRECT("'"&amp;$A28&amp;"'!$A$1:$W$1"),0))</f>
        <v>26.3</v>
      </c>
      <c r="Q28" s="1">
        <f t="shared" ca="1" si="37"/>
        <v>1</v>
      </c>
      <c r="R28" s="1">
        <f ca="1">INDEX(INDIRECT("'"&amp;$A28&amp;"'!$A$1:$W$30"),MATCH('All Positional Stats'!$A$17,INDIRECT("'"&amp;$A28&amp;"'!$A$1:$A$30"),0),MATCH('All Positional Stats'!R$16,INDIRECT("'"&amp;$A28&amp;"'!$A$1:$W$1"),0))</f>
        <v>2.5</v>
      </c>
      <c r="S28" s="1">
        <f t="shared" ca="1" si="37"/>
        <v>10</v>
      </c>
      <c r="T28" s="1">
        <f ca="1">INDEX(INDIRECT("'"&amp;$A28&amp;"'!$A$1:$W$30"),MATCH('All Positional Stats'!$A$17,INDIRECT("'"&amp;$A28&amp;"'!$A$1:$A$30"),0),MATCH('All Positional Stats'!T$16,INDIRECT("'"&amp;$A28&amp;"'!$A$1:$W$1"),0))</f>
        <v>7.5</v>
      </c>
      <c r="U28" s="1">
        <f t="shared" ca="1" si="37"/>
        <v>6</v>
      </c>
      <c r="V28" s="1">
        <f ca="1">INDEX(INDIRECT("'"&amp;$A28&amp;"'!$A$1:$W$30"),MATCH('All Positional Stats'!$A$17,INDIRECT("'"&amp;$A28&amp;"'!$A$1:$A$30"),0),MATCH('All Positional Stats'!V$16,INDIRECT("'"&amp;$A28&amp;"'!$A$1:$W$1"),0))</f>
        <v>25.1</v>
      </c>
      <c r="W28" s="1">
        <f t="shared" ca="1" si="37"/>
        <v>1</v>
      </c>
      <c r="X28" s="1">
        <f ca="1">INDEX(INDIRECT("'"&amp;$A28&amp;"'!$A$1:$W$30"),MATCH('All Positional Stats'!$A$17,INDIRECT("'"&amp;$A28&amp;"'!$A$1:$A$30"),0),MATCH('All Positional Stats'!X$16,INDIRECT("'"&amp;$A28&amp;"'!$A$1:$W$1"),0))</f>
        <v>9.9</v>
      </c>
      <c r="Y28" s="1">
        <f t="shared" ca="1" si="37"/>
        <v>8</v>
      </c>
      <c r="Z28" s="1">
        <f ca="1">INDEX(INDIRECT("'"&amp;$A28&amp;"'!$A$1:$W$30"),MATCH('All Positional Stats'!$A$17,INDIRECT("'"&amp;$A28&amp;"'!$A$1:$A$30"),0),MATCH('All Positional Stats'!Z$16,INDIRECT("'"&amp;$A28&amp;"'!$A$1:$W$1"),0))</f>
        <v>11.2</v>
      </c>
      <c r="AA28" s="1">
        <f t="shared" ca="1" si="37"/>
        <v>8</v>
      </c>
      <c r="AB28" s="1">
        <f ca="1">INDEX(INDIRECT("'"&amp;$A28&amp;"'!$A$1:$W$30"),MATCH('All Positional Stats'!$A$17,INDIRECT("'"&amp;$A28&amp;"'!$A$1:$A$30"),0),MATCH('All Positional Stats'!AB$16,INDIRECT("'"&amp;$A28&amp;"'!$A$1:$W$1"),0))</f>
        <v>21.6</v>
      </c>
      <c r="AC28" s="1">
        <f t="shared" ca="1" si="37"/>
        <v>4</v>
      </c>
      <c r="AD28" s="1">
        <f ca="1">INDEX(INDIRECT("'"&amp;$A28&amp;"'!$A$1:$W$30"),MATCH('All Positional Stats'!$A$17,INDIRECT("'"&amp;$A28&amp;"'!$A$1:$A$30"),0),MATCH('All Positional Stats'!AD$16,INDIRECT("'"&amp;$A28&amp;"'!$A$1:$W$1"),0))</f>
        <v>23.6</v>
      </c>
      <c r="AE28" s="1">
        <f t="shared" ca="1" si="37"/>
        <v>4</v>
      </c>
      <c r="AF28" s="1">
        <f ca="1">INDEX(INDIRECT("'"&amp;$A28&amp;"'!$A$1:$W$30"),MATCH('All Positional Stats'!$A$17,INDIRECT("'"&amp;$A28&amp;"'!$A$1:$A$30"),0),MATCH('All Positional Stats'!AF$16,INDIRECT("'"&amp;$A28&amp;"'!$A$1:$W$1"),0))</f>
        <v>17.2</v>
      </c>
      <c r="AG28" s="1">
        <f t="shared" ca="1" si="37"/>
        <v>3</v>
      </c>
      <c r="AH28" s="1">
        <f ca="1">INDEX(INDIRECT("'"&amp;$A28&amp;"'!$A$1:$W$30"),MATCH('All Positional Stats'!$A$17,INDIRECT("'"&amp;$A28&amp;"'!$A$1:$A$30"),0),MATCH('All Positional Stats'!AH$16,INDIRECT("'"&amp;$A28&amp;"'!$A$1:$W$1"),0))</f>
        <v>2.5</v>
      </c>
      <c r="AI28" s="1">
        <f ca="1">INDEX(INDIRECT("'"&amp;$A28&amp;"'!$A$1:$W$30"),MATCH('All Positional Stats'!$A$17,INDIRECT("'"&amp;$A28&amp;"'!$A$1:$A$30"),0),MATCH('All Positional Stats'!AI$16,INDIRECT("'"&amp;$A28&amp;"'!$A$1:$W$1"),0))</f>
        <v>26.3</v>
      </c>
      <c r="AJ28" s="7">
        <f ca="1">INDEX(INDIRECT("'"&amp;$A28&amp;"'!$A$1:$W$30"),MATCH('All Positional Stats'!$A$17,INDIRECT("'"&amp;$A28&amp;"'!$A$1:$A$30"),0),MATCH('All Positional Stats'!AJ$16,INDIRECT("'"&amp;$A28&amp;"'!$A$1:$W$1"),0))</f>
        <v>15.2125</v>
      </c>
      <c r="AK28" s="7">
        <f ca="1">INDEX(INDIRECT("'"&amp;$A28&amp;"'!$A$1:$W$30"),MATCH('All Positional Stats'!$A$17,INDIRECT("'"&amp;$A28&amp;"'!$A$1:$A$30"),0),MATCH('All Positional Stats'!AK$16,INDIRECT("'"&amp;$A28&amp;"'!$A$1:$W$1"),0))</f>
        <v>7.1130931211393582</v>
      </c>
      <c r="AL28" s="7">
        <f ca="1">INDEX(INDIRECT("'"&amp;$A28&amp;"'!$A$1:$W$30"),MATCH('All Positional Stats'!$A$17,INDIRECT("'"&amp;$A28&amp;"'!$A$1:$A$30"),0),MATCH('All Positional Stats'!AL$16,INDIRECT("'"&amp;$A28&amp;"'!$A$1:$W$1"),0))</f>
        <v>243.4</v>
      </c>
      <c r="AM28" s="6">
        <f ca="1">INDEX(INDIRECT("'"&amp;$A28&amp;"'!$A$1:$W$30"),MATCH('All Positional Stats'!$A$17,INDIRECT("'"&amp;$A28&amp;"'!$A$1:$A$30"),0),MATCH('All Positional Stats'!AM$16,INDIRECT("'"&amp;$A28&amp;"'!$A$1:$W$1"),0))</f>
        <v>0.14402366863905325</v>
      </c>
      <c r="AN28" s="9">
        <f t="shared" ca="1" si="35"/>
        <v>181</v>
      </c>
      <c r="AO28" s="8">
        <f t="shared" ca="1" si="36"/>
        <v>4</v>
      </c>
    </row>
    <row r="29" spans="1:41" ht="16.25" thickTop="1" thickBot="1" x14ac:dyDescent="0.9">
      <c r="A29" s="1" t="s">
        <v>12</v>
      </c>
      <c r="B29" s="1">
        <f ca="1">INDEX(INDIRECT("'"&amp;$A29&amp;"'!$A$1:$W$30"),MATCH('All Positional Stats'!$A$17,INDIRECT("'"&amp;$A29&amp;"'!$A$1:$A$30"),0),MATCH('All Positional Stats'!B$16,INDIRECT("'"&amp;$A29&amp;"'!$A$1:$W$1"),0))</f>
        <v>16.399999999999999</v>
      </c>
      <c r="C29" s="1">
        <f t="shared" ca="1" si="34"/>
        <v>6</v>
      </c>
      <c r="D29" s="1">
        <f ca="1">INDEX(INDIRECT("'"&amp;$A29&amp;"'!$A$1:$W$30"),MATCH('All Positional Stats'!$A$17,INDIRECT("'"&amp;$A29&amp;"'!$A$1:$A$30"),0),MATCH('All Positional Stats'!D$16,INDIRECT("'"&amp;$A29&amp;"'!$A$1:$W$1"),0))</f>
        <v>17.3</v>
      </c>
      <c r="E29" s="1">
        <f t="shared" ca="1" si="37"/>
        <v>3</v>
      </c>
      <c r="F29" s="1">
        <f ca="1">INDEX(INDIRECT("'"&amp;$A29&amp;"'!$A$1:$W$30"),MATCH('All Positional Stats'!$A$17,INDIRECT("'"&amp;$A29&amp;"'!$A$1:$A$30"),0),MATCH('All Positional Stats'!F$16,INDIRECT("'"&amp;$A29&amp;"'!$A$1:$W$1"),0))</f>
        <v>13.9</v>
      </c>
      <c r="G29" s="1">
        <f t="shared" ca="1" si="37"/>
        <v>8</v>
      </c>
      <c r="H29" s="1">
        <f ca="1">INDEX(INDIRECT("'"&amp;$A29&amp;"'!$A$1:$W$30"),MATCH('All Positional Stats'!$A$17,INDIRECT("'"&amp;$A29&amp;"'!$A$1:$A$30"),0),MATCH('All Positional Stats'!H$16,INDIRECT("'"&amp;$A29&amp;"'!$A$1:$W$1"),0))</f>
        <v>3.4</v>
      </c>
      <c r="I29" s="1">
        <f t="shared" ca="1" si="37"/>
        <v>11</v>
      </c>
      <c r="J29" s="1">
        <f ca="1">INDEX(INDIRECT("'"&amp;$A29&amp;"'!$A$1:$W$30"),MATCH('All Positional Stats'!$A$17,INDIRECT("'"&amp;$A29&amp;"'!$A$1:$A$30"),0),MATCH('All Positional Stats'!J$16,INDIRECT("'"&amp;$A29&amp;"'!$A$1:$W$1"),0))</f>
        <v>31.3</v>
      </c>
      <c r="K29" s="1">
        <f t="shared" ca="1" si="37"/>
        <v>1</v>
      </c>
      <c r="L29" s="1">
        <f ca="1">INDEX(INDIRECT("'"&amp;$A29&amp;"'!$A$1:$W$30"),MATCH('All Positional Stats'!$A$17,INDIRECT("'"&amp;$A29&amp;"'!$A$1:$A$30"),0),MATCH('All Positional Stats'!L$16,INDIRECT("'"&amp;$A29&amp;"'!$A$1:$W$1"),0))</f>
        <v>31.5</v>
      </c>
      <c r="M29" s="1">
        <f t="shared" ca="1" si="37"/>
        <v>1</v>
      </c>
      <c r="N29" s="1">
        <f ca="1">INDEX(INDIRECT("'"&amp;$A29&amp;"'!$A$1:$W$30"),MATCH('All Positional Stats'!$A$17,INDIRECT("'"&amp;$A29&amp;"'!$A$1:$A$30"),0),MATCH('All Positional Stats'!N$16,INDIRECT("'"&amp;$A29&amp;"'!$A$1:$W$1"),0))</f>
        <v>4.9000000000000004</v>
      </c>
      <c r="O29" s="1">
        <f t="shared" ca="1" si="37"/>
        <v>8</v>
      </c>
      <c r="P29" s="1">
        <f ca="1">INDEX(INDIRECT("'"&amp;$A29&amp;"'!$A$1:$W$30"),MATCH('All Positional Stats'!$A$17,INDIRECT("'"&amp;$A29&amp;"'!$A$1:$A$30"),0),MATCH('All Positional Stats'!P$16,INDIRECT("'"&amp;$A29&amp;"'!$A$1:$W$1"),0))</f>
        <v>20.399999999999999</v>
      </c>
      <c r="Q29" s="1">
        <f t="shared" ca="1" si="37"/>
        <v>3</v>
      </c>
      <c r="R29" s="1">
        <f ca="1">INDEX(INDIRECT("'"&amp;$A29&amp;"'!$A$1:$W$30"),MATCH('All Positional Stats'!$A$17,INDIRECT("'"&amp;$A29&amp;"'!$A$1:$A$30"),0),MATCH('All Positional Stats'!R$16,INDIRECT("'"&amp;$A29&amp;"'!$A$1:$W$1"),0))</f>
        <v>-1.9</v>
      </c>
      <c r="S29" s="1">
        <f t="shared" ca="1" si="37"/>
        <v>12</v>
      </c>
      <c r="T29" s="1">
        <f ca="1">INDEX(INDIRECT("'"&amp;$A29&amp;"'!$A$1:$W$30"),MATCH('All Positional Stats'!$A$17,INDIRECT("'"&amp;$A29&amp;"'!$A$1:$A$30"),0),MATCH('All Positional Stats'!T$16,INDIRECT("'"&amp;$A29&amp;"'!$A$1:$W$1"),0))</f>
        <v>6.7</v>
      </c>
      <c r="U29" s="1">
        <f t="shared" ca="1" si="37"/>
        <v>7</v>
      </c>
      <c r="V29" s="1">
        <f ca="1">INDEX(INDIRECT("'"&amp;$A29&amp;"'!$A$1:$W$30"),MATCH('All Positional Stats'!$A$17,INDIRECT("'"&amp;$A29&amp;"'!$A$1:$A$30"),0),MATCH('All Positional Stats'!V$16,INDIRECT("'"&amp;$A29&amp;"'!$A$1:$W$1"),0))</f>
        <v>14</v>
      </c>
      <c r="W29" s="1">
        <f t="shared" ca="1" si="37"/>
        <v>6</v>
      </c>
      <c r="X29" s="1">
        <f ca="1">INDEX(INDIRECT("'"&amp;$A29&amp;"'!$A$1:$W$30"),MATCH('All Positional Stats'!$A$17,INDIRECT("'"&amp;$A29&amp;"'!$A$1:$A$30"),0),MATCH('All Positional Stats'!X$16,INDIRECT("'"&amp;$A29&amp;"'!$A$1:$W$1"),0))</f>
        <v>10.3</v>
      </c>
      <c r="Y29" s="1">
        <f t="shared" ca="1" si="37"/>
        <v>6</v>
      </c>
      <c r="Z29" s="1">
        <f ca="1">INDEX(INDIRECT("'"&amp;$A29&amp;"'!$A$1:$W$30"),MATCH('All Positional Stats'!$A$17,INDIRECT("'"&amp;$A29&amp;"'!$A$1:$A$30"),0),MATCH('All Positional Stats'!Z$16,INDIRECT("'"&amp;$A29&amp;"'!$A$1:$W$1"),0))</f>
        <v>12.6</v>
      </c>
      <c r="AA29" s="1">
        <f t="shared" ca="1" si="37"/>
        <v>6</v>
      </c>
      <c r="AB29" s="1">
        <f ca="1">INDEX(INDIRECT("'"&amp;$A29&amp;"'!$A$1:$W$30"),MATCH('All Positional Stats'!$A$17,INDIRECT("'"&amp;$A29&amp;"'!$A$1:$A$30"),0),MATCH('All Positional Stats'!AB$16,INDIRECT("'"&amp;$A29&amp;"'!$A$1:$W$1"),0))</f>
        <v>14.8</v>
      </c>
      <c r="AC29" s="1">
        <f t="shared" ca="1" si="37"/>
        <v>7</v>
      </c>
      <c r="AD29" s="1">
        <f ca="1">INDEX(INDIRECT("'"&amp;$A29&amp;"'!$A$1:$W$30"),MATCH('All Positional Stats'!$A$17,INDIRECT("'"&amp;$A29&amp;"'!$A$1:$A$30"),0),MATCH('All Positional Stats'!AD$16,INDIRECT("'"&amp;$A29&amp;"'!$A$1:$W$1"),0))</f>
        <v>25.9</v>
      </c>
      <c r="AE29" s="1">
        <f t="shared" ca="1" si="37"/>
        <v>3</v>
      </c>
      <c r="AF29" s="1">
        <f ca="1">INDEX(INDIRECT("'"&amp;$A29&amp;"'!$A$1:$W$30"),MATCH('All Positional Stats'!$A$17,INDIRECT("'"&amp;$A29&amp;"'!$A$1:$A$30"),0),MATCH('All Positional Stats'!AF$16,INDIRECT("'"&amp;$A29&amp;"'!$A$1:$W$1"),0))</f>
        <v>20.3</v>
      </c>
      <c r="AG29" s="1">
        <f t="shared" ca="1" si="37"/>
        <v>2</v>
      </c>
      <c r="AH29" s="1">
        <f ca="1">INDEX(INDIRECT("'"&amp;$A29&amp;"'!$A$1:$W$30"),MATCH('All Positional Stats'!$A$17,INDIRECT("'"&amp;$A29&amp;"'!$A$1:$A$30"),0),MATCH('All Positional Stats'!AH$16,INDIRECT("'"&amp;$A29&amp;"'!$A$1:$W$1"),0))</f>
        <v>-1.9</v>
      </c>
      <c r="AI29" s="1">
        <f ca="1">INDEX(INDIRECT("'"&amp;$A29&amp;"'!$A$1:$W$30"),MATCH('All Positional Stats'!$A$17,INDIRECT("'"&amp;$A29&amp;"'!$A$1:$A$30"),0),MATCH('All Positional Stats'!AI$16,INDIRECT("'"&amp;$A29&amp;"'!$A$1:$W$1"),0))</f>
        <v>31.5</v>
      </c>
      <c r="AJ29" s="7">
        <f ca="1">INDEX(INDIRECT("'"&amp;$A29&amp;"'!$A$1:$W$30"),MATCH('All Positional Stats'!$A$17,INDIRECT("'"&amp;$A29&amp;"'!$A$1:$A$30"),0),MATCH('All Positional Stats'!AJ$16,INDIRECT("'"&amp;$A29&amp;"'!$A$1:$W$1"),0))</f>
        <v>15.112500000000001</v>
      </c>
      <c r="AK29" s="7">
        <f ca="1">INDEX(INDIRECT("'"&amp;$A29&amp;"'!$A$1:$W$30"),MATCH('All Positional Stats'!$A$17,INDIRECT("'"&amp;$A29&amp;"'!$A$1:$A$30"),0),MATCH('All Positional Stats'!AK$16,INDIRECT("'"&amp;$A29&amp;"'!$A$1:$W$1"),0))</f>
        <v>9.1590716642026546</v>
      </c>
      <c r="AL29" s="7">
        <f ca="1">INDEX(INDIRECT("'"&amp;$A29&amp;"'!$A$1:$W$30"),MATCH('All Positional Stats'!$A$17,INDIRECT("'"&amp;$A29&amp;"'!$A$1:$A$30"),0),MATCH('All Positional Stats'!AL$16,INDIRECT("'"&amp;$A29&amp;"'!$A$1:$W$1"),0))</f>
        <v>241.8</v>
      </c>
      <c r="AM29" s="6">
        <f ca="1">INDEX(INDIRECT("'"&amp;$A29&amp;"'!$A$1:$W$30"),MATCH('All Positional Stats'!$A$17,INDIRECT("'"&amp;$A29&amp;"'!$A$1:$A$30"),0),MATCH('All Positional Stats'!AM$16,INDIRECT("'"&amp;$A29&amp;"'!$A$1:$W$1"),0))</f>
        <v>0.17298612104736019</v>
      </c>
      <c r="AN29" s="9">
        <f t="shared" ca="1" si="35"/>
        <v>180.79999999999998</v>
      </c>
      <c r="AO29" s="8">
        <f t="shared" ca="1" si="36"/>
        <v>5</v>
      </c>
    </row>
    <row r="30" spans="1:41" ht="16.25" thickTop="1" thickBot="1" x14ac:dyDescent="0.9"/>
    <row r="31" spans="1:41" ht="16.25" thickTop="1" thickBot="1" x14ac:dyDescent="0.9">
      <c r="B31" s="13" t="s">
        <v>13</v>
      </c>
      <c r="C31" s="15"/>
      <c r="D31" s="13" t="s">
        <v>14</v>
      </c>
      <c r="E31" s="15"/>
      <c r="F31" s="13" t="s">
        <v>15</v>
      </c>
      <c r="G31" s="15"/>
      <c r="H31" s="13" t="s">
        <v>16</v>
      </c>
      <c r="I31" s="15"/>
      <c r="J31" s="13" t="s">
        <v>17</v>
      </c>
      <c r="K31" s="15"/>
      <c r="L31" s="13" t="s">
        <v>18</v>
      </c>
      <c r="M31" s="15"/>
      <c r="N31" s="13" t="s">
        <v>19</v>
      </c>
      <c r="O31" s="15"/>
      <c r="P31" s="13" t="s">
        <v>20</v>
      </c>
      <c r="Q31" s="15"/>
      <c r="R31" s="13" t="s">
        <v>21</v>
      </c>
      <c r="S31" s="15"/>
      <c r="T31" s="13" t="s">
        <v>22</v>
      </c>
      <c r="U31" s="15"/>
      <c r="V31" s="13" t="s">
        <v>23</v>
      </c>
      <c r="W31" s="15"/>
      <c r="X31" s="13" t="s">
        <v>24</v>
      </c>
      <c r="Y31" s="15"/>
      <c r="Z31" s="13" t="s">
        <v>25</v>
      </c>
      <c r="AA31" s="15"/>
      <c r="AB31" s="13" t="s">
        <v>26</v>
      </c>
      <c r="AC31" s="15"/>
      <c r="AD31" s="13" t="s">
        <v>27</v>
      </c>
      <c r="AE31" s="15"/>
      <c r="AF31" s="13" t="s">
        <v>28</v>
      </c>
      <c r="AG31" s="15"/>
      <c r="AH31" s="16" t="s">
        <v>30</v>
      </c>
      <c r="AI31" s="16" t="s">
        <v>31</v>
      </c>
      <c r="AJ31" s="16" t="s">
        <v>32</v>
      </c>
      <c r="AK31" s="16" t="s">
        <v>33</v>
      </c>
      <c r="AL31" s="16" t="s">
        <v>34</v>
      </c>
      <c r="AM31" s="16" t="s">
        <v>35</v>
      </c>
      <c r="AN31" s="16" t="s">
        <v>64</v>
      </c>
      <c r="AO31" s="16" t="s">
        <v>63</v>
      </c>
    </row>
    <row r="32" spans="1:41" ht="16.25" thickTop="1" thickBot="1" x14ac:dyDescent="0.9">
      <c r="A32" t="s">
        <v>56</v>
      </c>
      <c r="B32" s="5" t="s">
        <v>29</v>
      </c>
      <c r="C32" s="5" t="s">
        <v>63</v>
      </c>
      <c r="D32" s="5" t="s">
        <v>29</v>
      </c>
      <c r="E32" s="5" t="s">
        <v>63</v>
      </c>
      <c r="F32" s="5" t="s">
        <v>29</v>
      </c>
      <c r="G32" s="5" t="s">
        <v>63</v>
      </c>
      <c r="H32" s="5" t="s">
        <v>29</v>
      </c>
      <c r="I32" s="5" t="s">
        <v>63</v>
      </c>
      <c r="J32" s="5" t="s">
        <v>29</v>
      </c>
      <c r="K32" s="5" t="s">
        <v>63</v>
      </c>
      <c r="L32" s="5" t="s">
        <v>29</v>
      </c>
      <c r="M32" s="5" t="s">
        <v>63</v>
      </c>
      <c r="N32" s="5" t="s">
        <v>29</v>
      </c>
      <c r="O32" s="5" t="s">
        <v>63</v>
      </c>
      <c r="P32" s="5" t="s">
        <v>29</v>
      </c>
      <c r="Q32" s="5" t="s">
        <v>63</v>
      </c>
      <c r="R32" s="5" t="s">
        <v>29</v>
      </c>
      <c r="S32" s="5" t="s">
        <v>63</v>
      </c>
      <c r="T32" s="5" t="s">
        <v>29</v>
      </c>
      <c r="U32" s="5" t="s">
        <v>63</v>
      </c>
      <c r="V32" s="5" t="s">
        <v>29</v>
      </c>
      <c r="W32" s="5" t="s">
        <v>63</v>
      </c>
      <c r="X32" s="5" t="s">
        <v>29</v>
      </c>
      <c r="Y32" s="5" t="s">
        <v>63</v>
      </c>
      <c r="Z32" s="5" t="s">
        <v>29</v>
      </c>
      <c r="AA32" s="5" t="s">
        <v>63</v>
      </c>
      <c r="AB32" s="5" t="s">
        <v>29</v>
      </c>
      <c r="AC32" s="5" t="s">
        <v>63</v>
      </c>
      <c r="AD32" s="5" t="s">
        <v>29</v>
      </c>
      <c r="AE32" s="5" t="s">
        <v>63</v>
      </c>
      <c r="AF32" s="5" t="s">
        <v>29</v>
      </c>
      <c r="AG32" s="5" t="s">
        <v>63</v>
      </c>
      <c r="AH32" s="17"/>
      <c r="AI32" s="17"/>
      <c r="AJ32" s="17"/>
      <c r="AK32" s="17"/>
      <c r="AL32" s="17"/>
      <c r="AM32" s="17"/>
      <c r="AN32" s="17"/>
      <c r="AO32" s="17"/>
    </row>
    <row r="33" spans="1:41" ht="16.25" thickTop="1" thickBot="1" x14ac:dyDescent="0.9">
      <c r="A33" s="1" t="s">
        <v>1</v>
      </c>
      <c r="B33" s="1">
        <f ca="1">INDEX(INDIRECT("'"&amp;$A33&amp;"'!$A$1:$W$30"),MATCH('All Positional Stats'!$A$32,INDIRECT("'"&amp;$A33&amp;"'!$A$1:$A$30"),0),MATCH('All Positional Stats'!B$31,INDIRECT("'"&amp;$A33&amp;"'!$A$1:$W$1"),0))</f>
        <v>2.9</v>
      </c>
      <c r="C33" s="1">
        <f ca="1">_xlfn.RANK.EQ(B33,B$33:B$44)</f>
        <v>12</v>
      </c>
      <c r="D33" s="1">
        <f ca="1">INDEX(INDIRECT("'"&amp;$A33&amp;"'!$A$1:$W$30"),MATCH('All Positional Stats'!$A$32,INDIRECT("'"&amp;$A33&amp;"'!$A$1:$A$30"),0),MATCH('All Positional Stats'!D$31,INDIRECT("'"&amp;$A33&amp;"'!$A$1:$W$1"),0))</f>
        <v>12.9</v>
      </c>
      <c r="E33" s="1">
        <f t="shared" ref="E33" ca="1" si="38">_xlfn.RANK.EQ(D33,D$33:D$44)</f>
        <v>5</v>
      </c>
      <c r="F33" s="1">
        <f ca="1">INDEX(INDIRECT("'"&amp;$A33&amp;"'!$A$1:$W$30"),MATCH('All Positional Stats'!$A$32,INDIRECT("'"&amp;$A33&amp;"'!$A$1:$A$30"),0),MATCH('All Positional Stats'!F$31,INDIRECT("'"&amp;$A33&amp;"'!$A$1:$W$1"),0))</f>
        <v>3.1</v>
      </c>
      <c r="G33" s="1">
        <f t="shared" ref="G33" ca="1" si="39">_xlfn.RANK.EQ(F33,F$33:F$44)</f>
        <v>10</v>
      </c>
      <c r="H33" s="1">
        <f ca="1">INDEX(INDIRECT("'"&amp;$A33&amp;"'!$A$1:$W$30"),MATCH('All Positional Stats'!$A$32,INDIRECT("'"&amp;$A33&amp;"'!$A$1:$A$30"),0),MATCH('All Positional Stats'!H$31,INDIRECT("'"&amp;$A33&amp;"'!$A$1:$W$1"),0))</f>
        <v>7.8</v>
      </c>
      <c r="I33" s="1">
        <f t="shared" ref="I33" ca="1" si="40">_xlfn.RANK.EQ(H33,H$33:H$44)</f>
        <v>9</v>
      </c>
      <c r="J33" s="1">
        <f ca="1">INDEX(INDIRECT("'"&amp;$A33&amp;"'!$A$1:$W$30"),MATCH('All Positional Stats'!$A$32,INDIRECT("'"&amp;$A33&amp;"'!$A$1:$A$30"),0),MATCH('All Positional Stats'!J$31,INDIRECT("'"&amp;$A33&amp;"'!$A$1:$W$1"),0))</f>
        <v>3.4</v>
      </c>
      <c r="K33" s="1">
        <f t="shared" ref="K33" ca="1" si="41">_xlfn.RANK.EQ(J33,J$33:J$44)</f>
        <v>11</v>
      </c>
      <c r="L33" s="1">
        <f ca="1">INDEX(INDIRECT("'"&amp;$A33&amp;"'!$A$1:$W$30"),MATCH('All Positional Stats'!$A$32,INDIRECT("'"&amp;$A33&amp;"'!$A$1:$A$30"),0),MATCH('All Positional Stats'!L$31,INDIRECT("'"&amp;$A33&amp;"'!$A$1:$W$1"),0))</f>
        <v>4.3</v>
      </c>
      <c r="M33" s="1">
        <f t="shared" ref="M33" ca="1" si="42">_xlfn.RANK.EQ(L33,L$33:L$44)</f>
        <v>9</v>
      </c>
      <c r="N33" s="1">
        <f ca="1">INDEX(INDIRECT("'"&amp;$A33&amp;"'!$A$1:$W$30"),MATCH('All Positional Stats'!$A$32,INDIRECT("'"&amp;$A33&amp;"'!$A$1:$A$30"),0),MATCH('All Positional Stats'!N$31,INDIRECT("'"&amp;$A33&amp;"'!$A$1:$W$1"),0))</f>
        <v>17.3</v>
      </c>
      <c r="O33" s="1">
        <f t="shared" ref="O33" ca="1" si="43">_xlfn.RANK.EQ(N33,N$33:N$44)</f>
        <v>2</v>
      </c>
      <c r="P33" s="1">
        <f ca="1">INDEX(INDIRECT("'"&amp;$A33&amp;"'!$A$1:$W$30"),MATCH('All Positional Stats'!$A$32,INDIRECT("'"&amp;$A33&amp;"'!$A$1:$A$30"),0),MATCH('All Positional Stats'!P$31,INDIRECT("'"&amp;$A33&amp;"'!$A$1:$W$1"),0))</f>
        <v>5.2</v>
      </c>
      <c r="Q33" s="1">
        <f t="shared" ref="Q33" ca="1" si="44">_xlfn.RANK.EQ(P33,P$33:P$44)</f>
        <v>12</v>
      </c>
      <c r="R33" s="1">
        <f ca="1">INDEX(INDIRECT("'"&amp;$A33&amp;"'!$A$1:$W$30"),MATCH('All Positional Stats'!$A$32,INDIRECT("'"&amp;$A33&amp;"'!$A$1:$A$30"),0),MATCH('All Positional Stats'!R$31,INDIRECT("'"&amp;$A33&amp;"'!$A$1:$W$1"),0))</f>
        <v>11.9</v>
      </c>
      <c r="S33" s="1">
        <f t="shared" ref="S33:AG34" ca="1" si="45">_xlfn.RANK.EQ(R33,R$33:R$44)</f>
        <v>6</v>
      </c>
      <c r="T33" s="1">
        <f ca="1">INDEX(INDIRECT("'"&amp;$A33&amp;"'!$A$1:$W$30"),MATCH('All Positional Stats'!$A$32,INDIRECT("'"&amp;$A33&amp;"'!$A$1:$A$30"),0),MATCH('All Positional Stats'!T$31,INDIRECT("'"&amp;$A33&amp;"'!$A$1:$W$1"),0))</f>
        <v>2.4</v>
      </c>
      <c r="U33" s="1">
        <f t="shared" ref="U33" ca="1" si="46">_xlfn.RANK.EQ(T33,T$33:T$44)</f>
        <v>10</v>
      </c>
      <c r="V33" s="1">
        <f ca="1">INDEX(INDIRECT("'"&amp;$A33&amp;"'!$A$1:$W$30"),MATCH('All Positional Stats'!$A$32,INDIRECT("'"&amp;$A33&amp;"'!$A$1:$A$30"),0),MATCH('All Positional Stats'!V$31,INDIRECT("'"&amp;$A33&amp;"'!$A$1:$W$1"),0))</f>
        <v>4.4000000000000004</v>
      </c>
      <c r="W33" s="1">
        <f t="shared" ref="W33" ca="1" si="47">_xlfn.RANK.EQ(V33,V$33:V$44)</f>
        <v>10</v>
      </c>
      <c r="X33" s="1">
        <f ca="1">INDEX(INDIRECT("'"&amp;$A33&amp;"'!$A$1:$W$30"),MATCH('All Positional Stats'!$A$32,INDIRECT("'"&amp;$A33&amp;"'!$A$1:$A$30"),0),MATCH('All Positional Stats'!X$31,INDIRECT("'"&amp;$A33&amp;"'!$A$1:$W$1"),0))</f>
        <v>3.5</v>
      </c>
      <c r="Y33" s="1">
        <f t="shared" ref="Y33" ca="1" si="48">_xlfn.RANK.EQ(X33,X$33:X$44)</f>
        <v>11</v>
      </c>
      <c r="Z33" s="1">
        <f ca="1">INDEX(INDIRECT("'"&amp;$A33&amp;"'!$A$1:$W$30"),MATCH('All Positional Stats'!$A$32,INDIRECT("'"&amp;$A33&amp;"'!$A$1:$A$30"),0),MATCH('All Positional Stats'!Z$31,INDIRECT("'"&amp;$A33&amp;"'!$A$1:$W$1"),0))</f>
        <v>14.7</v>
      </c>
      <c r="AA33" s="1">
        <f t="shared" ref="AA33" ca="1" si="49">_xlfn.RANK.EQ(Z33,Z$33:Z$44)</f>
        <v>4</v>
      </c>
      <c r="AB33" s="1">
        <f ca="1">INDEX(INDIRECT("'"&amp;$A33&amp;"'!$A$1:$W$30"),MATCH('All Positional Stats'!$A$32,INDIRECT("'"&amp;$A33&amp;"'!$A$1:$A$30"),0),MATCH('All Positional Stats'!AB$31,INDIRECT("'"&amp;$A33&amp;"'!$A$1:$W$1"),0))</f>
        <v>24.3</v>
      </c>
      <c r="AC33" s="1">
        <f t="shared" ref="AC33" ca="1" si="50">_xlfn.RANK.EQ(AB33,AB$33:AB$44)</f>
        <v>1</v>
      </c>
      <c r="AD33" s="1">
        <f ca="1">INDEX(INDIRECT("'"&amp;$A33&amp;"'!$A$1:$W$30"),MATCH('All Positional Stats'!$A$32,INDIRECT("'"&amp;$A33&amp;"'!$A$1:$A$30"),0),MATCH('All Positional Stats'!AD$31,INDIRECT("'"&amp;$A33&amp;"'!$A$1:$W$1"),0))</f>
        <v>5.6</v>
      </c>
      <c r="AE33" s="1">
        <f t="shared" ref="AE33" ca="1" si="51">_xlfn.RANK.EQ(AD33,AD$33:AD$44)</f>
        <v>11</v>
      </c>
      <c r="AF33" s="1">
        <f ca="1">INDEX(INDIRECT("'"&amp;$A33&amp;"'!$A$1:$W$30"),MATCH('All Positional Stats'!$A$32,INDIRECT("'"&amp;$A33&amp;"'!$A$1:$A$30"),0),MATCH('All Positional Stats'!AF$31,INDIRECT("'"&amp;$A33&amp;"'!$A$1:$W$1"),0))</f>
        <v>5.4</v>
      </c>
      <c r="AG33" s="1">
        <f t="shared" ref="AG33" ca="1" si="52">_xlfn.RANK.EQ(AF33,AF$33:AF$44)</f>
        <v>12</v>
      </c>
      <c r="AH33" s="1">
        <f ca="1">INDEX(INDIRECT("'"&amp;$A33&amp;"'!$A$1:$W$30"),MATCH('All Positional Stats'!$A$32,INDIRECT("'"&amp;$A33&amp;"'!$A$1:$A$30"),0),MATCH('All Positional Stats'!AH$31,INDIRECT("'"&amp;$A33&amp;"'!$A$1:$W$1"),0))</f>
        <v>2.4</v>
      </c>
      <c r="AI33" s="1">
        <f ca="1">INDEX(INDIRECT("'"&amp;$A33&amp;"'!$A$1:$W$30"),MATCH('All Positional Stats'!$A$32,INDIRECT("'"&amp;$A33&amp;"'!$A$1:$A$30"),0),MATCH('All Positional Stats'!AI$31,INDIRECT("'"&amp;$A33&amp;"'!$A$1:$W$1"),0))</f>
        <v>24.3</v>
      </c>
      <c r="AJ33" s="7">
        <f ca="1">INDEX(INDIRECT("'"&amp;$A33&amp;"'!$A$1:$W$30"),MATCH('All Positional Stats'!$A$32,INDIRECT("'"&amp;$A33&amp;"'!$A$1:$A$30"),0),MATCH('All Positional Stats'!AJ$31,INDIRECT("'"&amp;$A33&amp;"'!$A$1:$W$1"),0))</f>
        <v>8.0687500000000014</v>
      </c>
      <c r="AK33" s="7">
        <f ca="1">INDEX(INDIRECT("'"&amp;$A33&amp;"'!$A$1:$W$30"),MATCH('All Positional Stats'!$A$32,INDIRECT("'"&amp;$A33&amp;"'!$A$1:$A$30"),0),MATCH('All Positional Stats'!AK$31,INDIRECT("'"&amp;$A33&amp;"'!$A$1:$W$1"),0))</f>
        <v>6.1545429105255236</v>
      </c>
      <c r="AL33" s="7">
        <f ca="1">INDEX(INDIRECT("'"&amp;$A33&amp;"'!$A$1:$W$30"),MATCH('All Positional Stats'!$A$32,INDIRECT("'"&amp;$A33&amp;"'!$A$1:$A$30"),0),MATCH('All Positional Stats'!AL$31,INDIRECT("'"&amp;$A33&amp;"'!$A$1:$W$1"),0))</f>
        <v>129.10000000000002</v>
      </c>
      <c r="AM33" s="6">
        <f ca="1">INDEX(INDIRECT("'"&amp;$A33&amp;"'!$A$1:$W$30"),MATCH('All Positional Stats'!$A$32,INDIRECT("'"&amp;$A33&amp;"'!$A$1:$A$30"),0),MATCH('All Positional Stats'!AM$31,INDIRECT("'"&amp;$A33&amp;"'!$A$1:$W$1"),0))</f>
        <v>9.4738387025757723E-2</v>
      </c>
      <c r="AN33" s="9">
        <f ca="1">SUMIF($B$32:$AA$32, "Points", B33:AA33)</f>
        <v>93.800000000000026</v>
      </c>
      <c r="AO33" s="8">
        <f ca="1">_xlfn.RANK.EQ(AN33,$AN$33:$AN$44)</f>
        <v>12</v>
      </c>
    </row>
    <row r="34" spans="1:41" ht="16.25" thickTop="1" thickBot="1" x14ac:dyDescent="0.9">
      <c r="A34" s="1" t="s">
        <v>2</v>
      </c>
      <c r="B34" s="1">
        <f ca="1">INDEX(INDIRECT("'"&amp;$A34&amp;"'!$A$1:$W$30"),MATCH('All Positional Stats'!$A$32,INDIRECT("'"&amp;$A34&amp;"'!$A$1:$A$30"),0),MATCH('All Positional Stats'!B$31,INDIRECT("'"&amp;$A34&amp;"'!$A$1:$W$1"),0))</f>
        <v>9.3000000000000007</v>
      </c>
      <c r="C34" s="1">
        <f t="shared" ref="C34:Q44" ca="1" si="53">_xlfn.RANK.EQ(B34,B$33:B$44)</f>
        <v>6</v>
      </c>
      <c r="D34" s="1">
        <f ca="1">INDEX(INDIRECT("'"&amp;$A34&amp;"'!$A$1:$W$30"),MATCH('All Positional Stats'!$A$32,INDIRECT("'"&amp;$A34&amp;"'!$A$1:$A$30"),0),MATCH('All Positional Stats'!D$31,INDIRECT("'"&amp;$A34&amp;"'!$A$1:$W$1"),0))</f>
        <v>28.9</v>
      </c>
      <c r="E34" s="1">
        <f t="shared" ca="1" si="53"/>
        <v>1</v>
      </c>
      <c r="F34" s="1">
        <f ca="1">INDEX(INDIRECT("'"&amp;$A34&amp;"'!$A$1:$W$30"),MATCH('All Positional Stats'!$A$32,INDIRECT("'"&amp;$A34&amp;"'!$A$1:$A$30"),0),MATCH('All Positional Stats'!F$31,INDIRECT("'"&amp;$A34&amp;"'!$A$1:$W$1"),0))</f>
        <v>5.3</v>
      </c>
      <c r="G34" s="1">
        <f t="shared" ca="1" si="53"/>
        <v>8</v>
      </c>
      <c r="H34" s="1">
        <f ca="1">INDEX(INDIRECT("'"&amp;$A34&amp;"'!$A$1:$W$30"),MATCH('All Positional Stats'!$A$32,INDIRECT("'"&amp;$A34&amp;"'!$A$1:$A$30"),0),MATCH('All Positional Stats'!H$31,INDIRECT("'"&amp;$A34&amp;"'!$A$1:$W$1"),0))</f>
        <v>13.2</v>
      </c>
      <c r="I34" s="1">
        <f t="shared" ca="1" si="53"/>
        <v>5</v>
      </c>
      <c r="J34" s="1">
        <f ca="1">INDEX(INDIRECT("'"&amp;$A34&amp;"'!$A$1:$W$30"),MATCH('All Positional Stats'!$A$32,INDIRECT("'"&amp;$A34&amp;"'!$A$1:$A$30"),0),MATCH('All Positional Stats'!J$31,INDIRECT("'"&amp;$A34&amp;"'!$A$1:$W$1"),0))</f>
        <v>9.5</v>
      </c>
      <c r="K34" s="1">
        <f t="shared" ca="1" si="53"/>
        <v>6</v>
      </c>
      <c r="L34" s="1">
        <f ca="1">INDEX(INDIRECT("'"&amp;$A34&amp;"'!$A$1:$W$30"),MATCH('All Positional Stats'!$A$32,INDIRECT("'"&amp;$A34&amp;"'!$A$1:$A$30"),0),MATCH('All Positional Stats'!L$31,INDIRECT("'"&amp;$A34&amp;"'!$A$1:$W$1"),0))</f>
        <v>1.7</v>
      </c>
      <c r="M34" s="1">
        <f t="shared" ca="1" si="53"/>
        <v>12</v>
      </c>
      <c r="N34" s="1">
        <f ca="1">INDEX(INDIRECT("'"&amp;$A34&amp;"'!$A$1:$W$30"),MATCH('All Positional Stats'!$A$32,INDIRECT("'"&amp;$A34&amp;"'!$A$1:$A$30"),0),MATCH('All Positional Stats'!N$31,INDIRECT("'"&amp;$A34&amp;"'!$A$1:$W$1"),0))</f>
        <v>6.6</v>
      </c>
      <c r="O34" s="1">
        <f t="shared" ca="1" si="53"/>
        <v>10</v>
      </c>
      <c r="P34" s="1">
        <f ca="1">INDEX(INDIRECT("'"&amp;$A34&amp;"'!$A$1:$W$30"),MATCH('All Positional Stats'!$A$32,INDIRECT("'"&amp;$A34&amp;"'!$A$1:$A$30"),0),MATCH('All Positional Stats'!P$31,INDIRECT("'"&amp;$A34&amp;"'!$A$1:$W$1"),0))</f>
        <v>9</v>
      </c>
      <c r="Q34" s="1">
        <f t="shared" ca="1" si="53"/>
        <v>3</v>
      </c>
      <c r="R34" s="1">
        <f ca="1">INDEX(INDIRECT("'"&amp;$A34&amp;"'!$A$1:$W$30"),MATCH('All Positional Stats'!$A$32,INDIRECT("'"&amp;$A34&amp;"'!$A$1:$A$30"),0),MATCH('All Positional Stats'!R$31,INDIRECT("'"&amp;$A34&amp;"'!$A$1:$W$1"),0))</f>
        <v>4</v>
      </c>
      <c r="S34" s="1">
        <f t="shared" ca="1" si="45"/>
        <v>10</v>
      </c>
      <c r="T34" s="1">
        <f ca="1">INDEX(INDIRECT("'"&amp;$A34&amp;"'!$A$1:$W$30"),MATCH('All Positional Stats'!$A$32,INDIRECT("'"&amp;$A34&amp;"'!$A$1:$A$30"),0),MATCH('All Positional Stats'!T$31,INDIRECT("'"&amp;$A34&amp;"'!$A$1:$W$1"),0))</f>
        <v>9.3000000000000007</v>
      </c>
      <c r="U34" s="1">
        <f t="shared" ca="1" si="45"/>
        <v>5</v>
      </c>
      <c r="V34" s="1">
        <f ca="1">INDEX(INDIRECT("'"&amp;$A34&amp;"'!$A$1:$W$30"),MATCH('All Positional Stats'!$A$32,INDIRECT("'"&amp;$A34&amp;"'!$A$1:$A$30"),0),MATCH('All Positional Stats'!V$31,INDIRECT("'"&amp;$A34&amp;"'!$A$1:$W$1"),0))</f>
        <v>1.3</v>
      </c>
      <c r="W34" s="1">
        <f t="shared" ca="1" si="45"/>
        <v>12</v>
      </c>
      <c r="X34" s="1">
        <f ca="1">INDEX(INDIRECT("'"&amp;$A34&amp;"'!$A$1:$W$30"),MATCH('All Positional Stats'!$A$32,INDIRECT("'"&amp;$A34&amp;"'!$A$1:$A$30"),0),MATCH('All Positional Stats'!X$31,INDIRECT("'"&amp;$A34&amp;"'!$A$1:$W$1"),0))</f>
        <v>6.6</v>
      </c>
      <c r="Y34" s="1">
        <f t="shared" ca="1" si="45"/>
        <v>8</v>
      </c>
      <c r="Z34" s="1">
        <f ca="1">INDEX(INDIRECT("'"&amp;$A34&amp;"'!$A$1:$W$30"),MATCH('All Positional Stats'!$A$32,INDIRECT("'"&amp;$A34&amp;"'!$A$1:$A$30"),0),MATCH('All Positional Stats'!Z$31,INDIRECT("'"&amp;$A34&amp;"'!$A$1:$W$1"),0))</f>
        <v>1.3</v>
      </c>
      <c r="AA34" s="1">
        <f t="shared" ca="1" si="45"/>
        <v>12</v>
      </c>
      <c r="AB34" s="1">
        <f ca="1">INDEX(INDIRECT("'"&amp;$A34&amp;"'!$A$1:$W$30"),MATCH('All Positional Stats'!$A$32,INDIRECT("'"&amp;$A34&amp;"'!$A$1:$A$30"),0),MATCH('All Positional Stats'!AB$31,INDIRECT("'"&amp;$A34&amp;"'!$A$1:$W$1"),0))</f>
        <v>8.3000000000000007</v>
      </c>
      <c r="AC34" s="1">
        <f t="shared" ca="1" si="45"/>
        <v>11</v>
      </c>
      <c r="AD34" s="1">
        <f ca="1">INDEX(INDIRECT("'"&amp;$A34&amp;"'!$A$1:$W$30"),MATCH('All Positional Stats'!$A$32,INDIRECT("'"&amp;$A34&amp;"'!$A$1:$A$30"),0),MATCH('All Positional Stats'!AD$31,INDIRECT("'"&amp;$A34&amp;"'!$A$1:$W$1"),0))</f>
        <v>15.8</v>
      </c>
      <c r="AE34" s="1">
        <f t="shared" ca="1" si="45"/>
        <v>3</v>
      </c>
      <c r="AF34" s="1">
        <f ca="1">INDEX(INDIRECT("'"&amp;$A34&amp;"'!$A$1:$W$30"),MATCH('All Positional Stats'!$A$32,INDIRECT("'"&amp;$A34&amp;"'!$A$1:$A$30"),0),MATCH('All Positional Stats'!AF$31,INDIRECT("'"&amp;$A34&amp;"'!$A$1:$W$1"),0))</f>
        <v>24.8</v>
      </c>
      <c r="AG34" s="1">
        <f t="shared" ca="1" si="45"/>
        <v>2</v>
      </c>
      <c r="AH34" s="1">
        <f ca="1">INDEX(INDIRECT("'"&amp;$A34&amp;"'!$A$1:$W$30"),MATCH('All Positional Stats'!$A$32,INDIRECT("'"&amp;$A34&amp;"'!$A$1:$A$30"),0),MATCH('All Positional Stats'!AH$31,INDIRECT("'"&amp;$A34&amp;"'!$A$1:$W$1"),0))</f>
        <v>1.3</v>
      </c>
      <c r="AI34" s="1">
        <f ca="1">INDEX(INDIRECT("'"&amp;$A34&amp;"'!$A$1:$W$30"),MATCH('All Positional Stats'!$A$32,INDIRECT("'"&amp;$A34&amp;"'!$A$1:$A$30"),0),MATCH('All Positional Stats'!AI$31,INDIRECT("'"&amp;$A34&amp;"'!$A$1:$W$1"),0))</f>
        <v>28.9</v>
      </c>
      <c r="AJ34" s="7">
        <f ca="1">INDEX(INDIRECT("'"&amp;$A34&amp;"'!$A$1:$W$30"),MATCH('All Positional Stats'!$A$32,INDIRECT("'"&amp;$A34&amp;"'!$A$1:$A$30"),0),MATCH('All Positional Stats'!AJ$31,INDIRECT("'"&amp;$A34&amp;"'!$A$1:$W$1"),0))</f>
        <v>9.6812500000000004</v>
      </c>
      <c r="AK34" s="7">
        <f ca="1">INDEX(INDIRECT("'"&amp;$A34&amp;"'!$A$1:$W$30"),MATCH('All Positional Stats'!$A$32,INDIRECT("'"&amp;$A34&amp;"'!$A$1:$A$30"),0),MATCH('All Positional Stats'!AK$31,INDIRECT("'"&amp;$A34&amp;"'!$A$1:$W$1"),0))</f>
        <v>7.6038821293797039</v>
      </c>
      <c r="AL34" s="7">
        <f ca="1">INDEX(INDIRECT("'"&amp;$A34&amp;"'!$A$1:$W$30"),MATCH('All Positional Stats'!$A$32,INDIRECT("'"&amp;$A34&amp;"'!$A$1:$A$30"),0),MATCH('All Positional Stats'!AL$31,INDIRECT("'"&amp;$A34&amp;"'!$A$1:$W$1"),0))</f>
        <v>154.9</v>
      </c>
      <c r="AM34" s="6">
        <f ca="1">INDEX(INDIRECT("'"&amp;$A34&amp;"'!$A$1:$W$30"),MATCH('All Positional Stats'!$A$32,INDIRECT("'"&amp;$A34&amp;"'!$A$1:$A$30"),0),MATCH('All Positional Stats'!AM$31,INDIRECT("'"&amp;$A34&amp;"'!$A$1:$W$1"),0))</f>
        <v>0.10281428381786806</v>
      </c>
      <c r="AN34" s="9">
        <f t="shared" ref="AN34:AN44" ca="1" si="54">SUMIF($B$32:$AA$32, "Points", B34:AA34)</f>
        <v>105.99999999999999</v>
      </c>
      <c r="AO34" s="8">
        <f t="shared" ref="AO34:AO44" ca="1" si="55">_xlfn.RANK.EQ(AN34,$AN$33:$AN$44)</f>
        <v>9</v>
      </c>
    </row>
    <row r="35" spans="1:41" ht="16.25" thickTop="1" thickBot="1" x14ac:dyDescent="0.9">
      <c r="A35" s="1" t="s">
        <v>3</v>
      </c>
      <c r="B35" s="1">
        <f ca="1">INDEX(INDIRECT("'"&amp;$A35&amp;"'!$A$1:$W$30"),MATCH('All Positional Stats'!$A$32,INDIRECT("'"&amp;$A35&amp;"'!$A$1:$A$30"),0),MATCH('All Positional Stats'!B$31,INDIRECT("'"&amp;$A35&amp;"'!$A$1:$W$1"),0))</f>
        <v>10.6</v>
      </c>
      <c r="C35" s="1">
        <f t="shared" ca="1" si="53"/>
        <v>4</v>
      </c>
      <c r="D35" s="1">
        <f ca="1">INDEX(INDIRECT("'"&amp;$A35&amp;"'!$A$1:$W$30"),MATCH('All Positional Stats'!$A$32,INDIRECT("'"&amp;$A35&amp;"'!$A$1:$A$30"),0),MATCH('All Positional Stats'!D$31,INDIRECT("'"&amp;$A35&amp;"'!$A$1:$W$1"),0))</f>
        <v>10.199999999999999</v>
      </c>
      <c r="E35" s="1">
        <f t="shared" ref="E35:AG44" ca="1" si="56">_xlfn.RANK.EQ(D35,D$33:D$44)</f>
        <v>7</v>
      </c>
      <c r="F35" s="1">
        <f ca="1">INDEX(INDIRECT("'"&amp;$A35&amp;"'!$A$1:$W$30"),MATCH('All Positional Stats'!$A$32,INDIRECT("'"&amp;$A35&amp;"'!$A$1:$A$30"),0),MATCH('All Positional Stats'!F$31,INDIRECT("'"&amp;$A35&amp;"'!$A$1:$W$1"),0))</f>
        <v>6.8</v>
      </c>
      <c r="G35" s="1">
        <f t="shared" ca="1" si="56"/>
        <v>6</v>
      </c>
      <c r="H35" s="1">
        <f ca="1">INDEX(INDIRECT("'"&amp;$A35&amp;"'!$A$1:$W$30"),MATCH('All Positional Stats'!$A$32,INDIRECT("'"&amp;$A35&amp;"'!$A$1:$A$30"),0),MATCH('All Positional Stats'!H$31,INDIRECT("'"&amp;$A35&amp;"'!$A$1:$W$1"),0))</f>
        <v>8.1999999999999993</v>
      </c>
      <c r="I35" s="1">
        <f t="shared" ca="1" si="56"/>
        <v>8</v>
      </c>
      <c r="J35" s="1">
        <f ca="1">INDEX(INDIRECT("'"&amp;$A35&amp;"'!$A$1:$W$30"),MATCH('All Positional Stats'!$A$32,INDIRECT("'"&amp;$A35&amp;"'!$A$1:$A$30"),0),MATCH('All Positional Stats'!J$31,INDIRECT("'"&amp;$A35&amp;"'!$A$1:$W$1"),0))</f>
        <v>9.9</v>
      </c>
      <c r="K35" s="1">
        <f t="shared" ca="1" si="56"/>
        <v>5</v>
      </c>
      <c r="L35" s="1">
        <f ca="1">INDEX(INDIRECT("'"&amp;$A35&amp;"'!$A$1:$W$30"),MATCH('All Positional Stats'!$A$32,INDIRECT("'"&amp;$A35&amp;"'!$A$1:$A$30"),0),MATCH('All Positional Stats'!L$31,INDIRECT("'"&amp;$A35&amp;"'!$A$1:$W$1"),0))</f>
        <v>9.6</v>
      </c>
      <c r="M35" s="1">
        <f t="shared" ca="1" si="56"/>
        <v>7</v>
      </c>
      <c r="N35" s="1">
        <f ca="1">INDEX(INDIRECT("'"&amp;$A35&amp;"'!$A$1:$W$30"),MATCH('All Positional Stats'!$A$32,INDIRECT("'"&amp;$A35&amp;"'!$A$1:$A$30"),0),MATCH('All Positional Stats'!N$31,INDIRECT("'"&amp;$A35&amp;"'!$A$1:$W$1"),0))</f>
        <v>19</v>
      </c>
      <c r="O35" s="1">
        <f t="shared" ca="1" si="56"/>
        <v>1</v>
      </c>
      <c r="P35" s="1">
        <f ca="1">INDEX(INDIRECT("'"&amp;$A35&amp;"'!$A$1:$W$30"),MATCH('All Positional Stats'!$A$32,INDIRECT("'"&amp;$A35&amp;"'!$A$1:$A$30"),0),MATCH('All Positional Stats'!P$31,INDIRECT("'"&amp;$A35&amp;"'!$A$1:$W$1"),0))</f>
        <v>14.9</v>
      </c>
      <c r="Q35" s="1">
        <f t="shared" ca="1" si="56"/>
        <v>2</v>
      </c>
      <c r="R35" s="1">
        <f ca="1">INDEX(INDIRECT("'"&amp;$A35&amp;"'!$A$1:$W$30"),MATCH('All Positional Stats'!$A$32,INDIRECT("'"&amp;$A35&amp;"'!$A$1:$A$30"),0),MATCH('All Positional Stats'!R$31,INDIRECT("'"&amp;$A35&amp;"'!$A$1:$W$1"),0))</f>
        <v>8.4</v>
      </c>
      <c r="S35" s="1">
        <f t="shared" ca="1" si="56"/>
        <v>7</v>
      </c>
      <c r="T35" s="1">
        <f ca="1">INDEX(INDIRECT("'"&amp;$A35&amp;"'!$A$1:$W$30"),MATCH('All Positional Stats'!$A$32,INDIRECT("'"&amp;$A35&amp;"'!$A$1:$A$30"),0),MATCH('All Positional Stats'!T$31,INDIRECT("'"&amp;$A35&amp;"'!$A$1:$W$1"),0))</f>
        <v>31.1</v>
      </c>
      <c r="U35" s="1">
        <f t="shared" ca="1" si="56"/>
        <v>1</v>
      </c>
      <c r="V35" s="1">
        <f ca="1">INDEX(INDIRECT("'"&amp;$A35&amp;"'!$A$1:$W$30"),MATCH('All Positional Stats'!$A$32,INDIRECT("'"&amp;$A35&amp;"'!$A$1:$A$30"),0),MATCH('All Positional Stats'!V$31,INDIRECT("'"&amp;$A35&amp;"'!$A$1:$W$1"),0))</f>
        <v>23</v>
      </c>
      <c r="W35" s="1">
        <f t="shared" ca="1" si="56"/>
        <v>1</v>
      </c>
      <c r="X35" s="1">
        <f ca="1">INDEX(INDIRECT("'"&amp;$A35&amp;"'!$A$1:$W$30"),MATCH('All Positional Stats'!$A$32,INDIRECT("'"&amp;$A35&amp;"'!$A$1:$A$30"),0),MATCH('All Positional Stats'!X$31,INDIRECT("'"&amp;$A35&amp;"'!$A$1:$W$1"),0))</f>
        <v>4.5999999999999996</v>
      </c>
      <c r="Y35" s="1">
        <f t="shared" ca="1" si="56"/>
        <v>10</v>
      </c>
      <c r="Z35" s="1">
        <f ca="1">INDEX(INDIRECT("'"&amp;$A35&amp;"'!$A$1:$W$30"),MATCH('All Positional Stats'!$A$32,INDIRECT("'"&amp;$A35&amp;"'!$A$1:$A$30"),0),MATCH('All Positional Stats'!Z$31,INDIRECT("'"&amp;$A35&amp;"'!$A$1:$W$1"),0))</f>
        <v>21.2</v>
      </c>
      <c r="AA35" s="1">
        <f t="shared" ca="1" si="56"/>
        <v>3</v>
      </c>
      <c r="AB35" s="1">
        <f ca="1">INDEX(INDIRECT("'"&amp;$A35&amp;"'!$A$1:$W$30"),MATCH('All Positional Stats'!$A$32,INDIRECT("'"&amp;$A35&amp;"'!$A$1:$A$30"),0),MATCH('All Positional Stats'!AB$31,INDIRECT("'"&amp;$A35&amp;"'!$A$1:$W$1"),0))</f>
        <v>11.2</v>
      </c>
      <c r="AC35" s="1">
        <f t="shared" ca="1" si="56"/>
        <v>8</v>
      </c>
      <c r="AD35" s="1">
        <f ca="1">INDEX(INDIRECT("'"&amp;$A35&amp;"'!$A$1:$W$30"),MATCH('All Positional Stats'!$A$32,INDIRECT("'"&amp;$A35&amp;"'!$A$1:$A$30"),0),MATCH('All Positional Stats'!AD$31,INDIRECT("'"&amp;$A35&amp;"'!$A$1:$W$1"),0))</f>
        <v>29.6</v>
      </c>
      <c r="AE35" s="1">
        <f t="shared" ca="1" si="56"/>
        <v>2</v>
      </c>
      <c r="AF35" s="1">
        <f ca="1">INDEX(INDIRECT("'"&amp;$A35&amp;"'!$A$1:$W$30"),MATCH('All Positional Stats'!$A$32,INDIRECT("'"&amp;$A35&amp;"'!$A$1:$A$30"),0),MATCH('All Positional Stats'!AF$31,INDIRECT("'"&amp;$A35&amp;"'!$A$1:$W$1"),0))</f>
        <v>14.1</v>
      </c>
      <c r="AG35" s="1">
        <f t="shared" ca="1" si="56"/>
        <v>6</v>
      </c>
      <c r="AH35" s="1">
        <f ca="1">INDEX(INDIRECT("'"&amp;$A35&amp;"'!$A$1:$W$30"),MATCH('All Positional Stats'!$A$32,INDIRECT("'"&amp;$A35&amp;"'!$A$1:$A$30"),0),MATCH('All Positional Stats'!AH$31,INDIRECT("'"&amp;$A35&amp;"'!$A$1:$W$1"),0))</f>
        <v>4.5999999999999996</v>
      </c>
      <c r="AI35" s="1">
        <f ca="1">INDEX(INDIRECT("'"&amp;$A35&amp;"'!$A$1:$W$30"),MATCH('All Positional Stats'!$A$32,INDIRECT("'"&amp;$A35&amp;"'!$A$1:$A$30"),0),MATCH('All Positional Stats'!AI$31,INDIRECT("'"&amp;$A35&amp;"'!$A$1:$W$1"),0))</f>
        <v>31.1</v>
      </c>
      <c r="AJ35" s="7">
        <f ca="1">INDEX(INDIRECT("'"&amp;$A35&amp;"'!$A$1:$W$30"),MATCH('All Positional Stats'!$A$32,INDIRECT("'"&amp;$A35&amp;"'!$A$1:$A$30"),0),MATCH('All Positional Stats'!AJ$31,INDIRECT("'"&amp;$A35&amp;"'!$A$1:$W$1"),0))</f>
        <v>14.525</v>
      </c>
      <c r="AK35" s="7">
        <f ca="1">INDEX(INDIRECT("'"&amp;$A35&amp;"'!$A$1:$W$30"),MATCH('All Positional Stats'!$A$32,INDIRECT("'"&amp;$A35&amp;"'!$A$1:$A$30"),0),MATCH('All Positional Stats'!AK$31,INDIRECT("'"&amp;$A35&amp;"'!$A$1:$W$1"),0))</f>
        <v>7.7670377236112387</v>
      </c>
      <c r="AL35" s="7">
        <f ca="1">INDEX(INDIRECT("'"&amp;$A35&amp;"'!$A$1:$W$30"),MATCH('All Positional Stats'!$A$32,INDIRECT("'"&amp;$A35&amp;"'!$A$1:$A$30"),0),MATCH('All Positional Stats'!AL$31,INDIRECT("'"&amp;$A35&amp;"'!$A$1:$W$1"),0))</f>
        <v>232.4</v>
      </c>
      <c r="AM35" s="6">
        <f ca="1">INDEX(INDIRECT("'"&amp;$A35&amp;"'!$A$1:$W$30"),MATCH('All Positional Stats'!$A$32,INDIRECT("'"&amp;$A35&amp;"'!$A$1:$A$30"),0),MATCH('All Positional Stats'!AM$31,INDIRECT("'"&amp;$A35&amp;"'!$A$1:$W$1"),0))</f>
        <v>0.16067477876106195</v>
      </c>
      <c r="AN35" s="9">
        <f t="shared" ca="1" si="54"/>
        <v>177.5</v>
      </c>
      <c r="AO35" s="8">
        <f t="shared" ca="1" si="55"/>
        <v>2</v>
      </c>
    </row>
    <row r="36" spans="1:41" ht="16.25" thickTop="1" thickBot="1" x14ac:dyDescent="0.9">
      <c r="A36" s="1" t="s">
        <v>4</v>
      </c>
      <c r="B36" s="1">
        <f ca="1">INDEX(INDIRECT("'"&amp;$A36&amp;"'!$A$1:$W$30"),MATCH('All Positional Stats'!$A$32,INDIRECT("'"&amp;$A36&amp;"'!$A$1:$A$30"),0),MATCH('All Positional Stats'!B$31,INDIRECT("'"&amp;$A36&amp;"'!$A$1:$W$1"),0))</f>
        <v>5.2</v>
      </c>
      <c r="C36" s="1">
        <f t="shared" ca="1" si="53"/>
        <v>9</v>
      </c>
      <c r="D36" s="1">
        <f ca="1">INDEX(INDIRECT("'"&amp;$A36&amp;"'!$A$1:$W$30"),MATCH('All Positional Stats'!$A$32,INDIRECT("'"&amp;$A36&amp;"'!$A$1:$A$30"),0),MATCH('All Positional Stats'!D$31,INDIRECT("'"&amp;$A36&amp;"'!$A$1:$W$1"),0))</f>
        <v>8.8000000000000007</v>
      </c>
      <c r="E36" s="1">
        <f t="shared" ca="1" si="56"/>
        <v>9</v>
      </c>
      <c r="F36" s="1">
        <f ca="1">INDEX(INDIRECT("'"&amp;$A36&amp;"'!$A$1:$W$30"),MATCH('All Positional Stats'!$A$32,INDIRECT("'"&amp;$A36&amp;"'!$A$1:$A$30"),0),MATCH('All Positional Stats'!F$31,INDIRECT("'"&amp;$A36&amp;"'!$A$1:$W$1"),0))</f>
        <v>5.3</v>
      </c>
      <c r="G36" s="1">
        <f t="shared" ca="1" si="56"/>
        <v>8</v>
      </c>
      <c r="H36" s="1">
        <f ca="1">INDEX(INDIRECT("'"&amp;$A36&amp;"'!$A$1:$W$30"),MATCH('All Positional Stats'!$A$32,INDIRECT("'"&amp;$A36&amp;"'!$A$1:$A$30"),0),MATCH('All Positional Stats'!H$31,INDIRECT("'"&amp;$A36&amp;"'!$A$1:$W$1"),0))</f>
        <v>6.8</v>
      </c>
      <c r="I36" s="1">
        <f t="shared" ca="1" si="56"/>
        <v>10</v>
      </c>
      <c r="J36" s="1">
        <f ca="1">INDEX(INDIRECT("'"&amp;$A36&amp;"'!$A$1:$W$30"),MATCH('All Positional Stats'!$A$32,INDIRECT("'"&amp;$A36&amp;"'!$A$1:$A$30"),0),MATCH('All Positional Stats'!J$31,INDIRECT("'"&amp;$A36&amp;"'!$A$1:$W$1"),0))</f>
        <v>1.2</v>
      </c>
      <c r="K36" s="1">
        <f t="shared" ca="1" si="56"/>
        <v>12</v>
      </c>
      <c r="L36" s="1">
        <f ca="1">INDEX(INDIRECT("'"&amp;$A36&amp;"'!$A$1:$W$30"),MATCH('All Positional Stats'!$A$32,INDIRECT("'"&amp;$A36&amp;"'!$A$1:$A$30"),0),MATCH('All Positional Stats'!L$31,INDIRECT("'"&amp;$A36&amp;"'!$A$1:$W$1"),0))</f>
        <v>9.9</v>
      </c>
      <c r="M36" s="1">
        <f t="shared" ca="1" si="56"/>
        <v>6</v>
      </c>
      <c r="N36" s="1">
        <f ca="1">INDEX(INDIRECT("'"&amp;$A36&amp;"'!$A$1:$W$30"),MATCH('All Positional Stats'!$A$32,INDIRECT("'"&amp;$A36&amp;"'!$A$1:$A$30"),0),MATCH('All Positional Stats'!N$31,INDIRECT("'"&amp;$A36&amp;"'!$A$1:$W$1"),0))</f>
        <v>7.5</v>
      </c>
      <c r="O36" s="1">
        <f t="shared" ca="1" si="56"/>
        <v>8</v>
      </c>
      <c r="P36" s="1">
        <f ca="1">INDEX(INDIRECT("'"&amp;$A36&amp;"'!$A$1:$W$30"),MATCH('All Positional Stats'!$A$32,INDIRECT("'"&amp;$A36&amp;"'!$A$1:$A$30"),0),MATCH('All Positional Stats'!P$31,INDIRECT("'"&amp;$A36&amp;"'!$A$1:$W$1"),0))</f>
        <v>5.5</v>
      </c>
      <c r="Q36" s="1">
        <f t="shared" ca="1" si="56"/>
        <v>11</v>
      </c>
      <c r="R36" s="1">
        <f ca="1">INDEX(INDIRECT("'"&amp;$A36&amp;"'!$A$1:$W$30"),MATCH('All Positional Stats'!$A$32,INDIRECT("'"&amp;$A36&amp;"'!$A$1:$A$30"),0),MATCH('All Positional Stats'!R$31,INDIRECT("'"&amp;$A36&amp;"'!$A$1:$W$1"),0))</f>
        <v>16</v>
      </c>
      <c r="S36" s="1">
        <f t="shared" ca="1" si="56"/>
        <v>3</v>
      </c>
      <c r="T36" s="1">
        <f ca="1">INDEX(INDIRECT("'"&amp;$A36&amp;"'!$A$1:$W$30"),MATCH('All Positional Stats'!$A$32,INDIRECT("'"&amp;$A36&amp;"'!$A$1:$A$30"),0),MATCH('All Positional Stats'!T$31,INDIRECT("'"&amp;$A36&amp;"'!$A$1:$W$1"),0))</f>
        <v>1.6</v>
      </c>
      <c r="U36" s="1">
        <f t="shared" ca="1" si="56"/>
        <v>12</v>
      </c>
      <c r="V36" s="1">
        <f ca="1">INDEX(INDIRECT("'"&amp;$A36&amp;"'!$A$1:$W$30"),MATCH('All Positional Stats'!$A$32,INDIRECT("'"&amp;$A36&amp;"'!$A$1:$A$30"),0),MATCH('All Positional Stats'!V$31,INDIRECT("'"&amp;$A36&amp;"'!$A$1:$W$1"),0))</f>
        <v>16.8</v>
      </c>
      <c r="W36" s="1">
        <f t="shared" ca="1" si="56"/>
        <v>2</v>
      </c>
      <c r="X36" s="1">
        <f ca="1">INDEX(INDIRECT("'"&amp;$A36&amp;"'!$A$1:$W$30"),MATCH('All Positional Stats'!$A$32,INDIRECT("'"&amp;$A36&amp;"'!$A$1:$A$30"),0),MATCH('All Positional Stats'!X$31,INDIRECT("'"&amp;$A36&amp;"'!$A$1:$W$1"),0))</f>
        <v>11.8</v>
      </c>
      <c r="Y36" s="1">
        <f t="shared" ca="1" si="56"/>
        <v>5</v>
      </c>
      <c r="Z36" s="1">
        <f ca="1">INDEX(INDIRECT("'"&amp;$A36&amp;"'!$A$1:$W$30"),MATCH('All Positional Stats'!$A$32,INDIRECT("'"&amp;$A36&amp;"'!$A$1:$A$30"),0),MATCH('All Positional Stats'!Z$31,INDIRECT("'"&amp;$A36&amp;"'!$A$1:$W$1"),0))</f>
        <v>9.1999999999999993</v>
      </c>
      <c r="AA36" s="1">
        <f t="shared" ca="1" si="56"/>
        <v>7</v>
      </c>
      <c r="AB36" s="1">
        <f ca="1">INDEX(INDIRECT("'"&amp;$A36&amp;"'!$A$1:$W$30"),MATCH('All Positional Stats'!$A$32,INDIRECT("'"&amp;$A36&amp;"'!$A$1:$A$30"),0),MATCH('All Positional Stats'!AB$31,INDIRECT("'"&amp;$A36&amp;"'!$A$1:$W$1"),0))</f>
        <v>9.1999999999999993</v>
      </c>
      <c r="AC36" s="1">
        <f t="shared" ca="1" si="56"/>
        <v>10</v>
      </c>
      <c r="AD36" s="1">
        <f ca="1">INDEX(INDIRECT("'"&amp;$A36&amp;"'!$A$1:$W$30"),MATCH('All Positional Stats'!$A$32,INDIRECT("'"&amp;$A36&amp;"'!$A$1:$A$30"),0),MATCH('All Positional Stats'!AD$31,INDIRECT("'"&amp;$A36&amp;"'!$A$1:$W$1"),0))</f>
        <v>14.5</v>
      </c>
      <c r="AE36" s="1">
        <f t="shared" ca="1" si="56"/>
        <v>4</v>
      </c>
      <c r="AF36" s="1">
        <f ca="1">INDEX(INDIRECT("'"&amp;$A36&amp;"'!$A$1:$W$30"),MATCH('All Positional Stats'!$A$32,INDIRECT("'"&amp;$A36&amp;"'!$A$1:$A$30"),0),MATCH('All Positional Stats'!AF$31,INDIRECT("'"&amp;$A36&amp;"'!$A$1:$W$1"),0))</f>
        <v>29.8</v>
      </c>
      <c r="AG36" s="1">
        <f t="shared" ca="1" si="56"/>
        <v>1</v>
      </c>
      <c r="AH36" s="1">
        <f ca="1">INDEX(INDIRECT("'"&amp;$A36&amp;"'!$A$1:$W$30"),MATCH('All Positional Stats'!$A$32,INDIRECT("'"&amp;$A36&amp;"'!$A$1:$A$30"),0),MATCH('All Positional Stats'!AH$31,INDIRECT("'"&amp;$A36&amp;"'!$A$1:$W$1"),0))</f>
        <v>1.2</v>
      </c>
      <c r="AI36" s="1">
        <f ca="1">INDEX(INDIRECT("'"&amp;$A36&amp;"'!$A$1:$W$30"),MATCH('All Positional Stats'!$A$32,INDIRECT("'"&amp;$A36&amp;"'!$A$1:$A$30"),0),MATCH('All Positional Stats'!AI$31,INDIRECT("'"&amp;$A36&amp;"'!$A$1:$W$1"),0))</f>
        <v>29.8</v>
      </c>
      <c r="AJ36" s="7">
        <f ca="1">INDEX(INDIRECT("'"&amp;$A36&amp;"'!$A$1:$W$30"),MATCH('All Positional Stats'!$A$32,INDIRECT("'"&amp;$A36&amp;"'!$A$1:$A$30"),0),MATCH('All Positional Stats'!AJ$31,INDIRECT("'"&amp;$A36&amp;"'!$A$1:$W$1"),0))</f>
        <v>9.9437500000000014</v>
      </c>
      <c r="AK36" s="7">
        <f ca="1">INDEX(INDIRECT("'"&amp;$A36&amp;"'!$A$1:$W$30"),MATCH('All Positional Stats'!$A$32,INDIRECT("'"&amp;$A36&amp;"'!$A$1:$A$30"),0),MATCH('All Positional Stats'!AK$31,INDIRECT("'"&amp;$A36&amp;"'!$A$1:$W$1"),0))</f>
        <v>6.7561054563631524</v>
      </c>
      <c r="AL36" s="7">
        <f ca="1">INDEX(INDIRECT("'"&amp;$A36&amp;"'!$A$1:$W$30"),MATCH('All Positional Stats'!$A$32,INDIRECT("'"&amp;$A36&amp;"'!$A$1:$A$30"),0),MATCH('All Positional Stats'!AL$31,INDIRECT("'"&amp;$A36&amp;"'!$A$1:$W$1"),0))</f>
        <v>159.10000000000002</v>
      </c>
      <c r="AM36" s="6">
        <f ca="1">INDEX(INDIRECT("'"&amp;$A36&amp;"'!$A$1:$W$30"),MATCH('All Positional Stats'!$A$32,INDIRECT("'"&amp;$A36&amp;"'!$A$1:$A$30"),0),MATCH('All Positional Stats'!AM$31,INDIRECT("'"&amp;$A36&amp;"'!$A$1:$W$1"),0))</f>
        <v>0.1024204969743788</v>
      </c>
      <c r="AN36" s="9">
        <f t="shared" ca="1" si="54"/>
        <v>105.6</v>
      </c>
      <c r="AO36" s="8">
        <f t="shared" ca="1" si="55"/>
        <v>10</v>
      </c>
    </row>
    <row r="37" spans="1:41" ht="16.25" thickTop="1" thickBot="1" x14ac:dyDescent="0.9">
      <c r="A37" s="1" t="s">
        <v>5</v>
      </c>
      <c r="B37" s="1">
        <f ca="1">INDEX(INDIRECT("'"&amp;$A37&amp;"'!$A$1:$W$30"),MATCH('All Positional Stats'!$A$32,INDIRECT("'"&amp;$A37&amp;"'!$A$1:$A$30"),0),MATCH('All Positional Stats'!B$31,INDIRECT("'"&amp;$A37&amp;"'!$A$1:$W$1"),0))</f>
        <v>3.9</v>
      </c>
      <c r="C37" s="1">
        <f t="shared" ca="1" si="53"/>
        <v>10</v>
      </c>
      <c r="D37" s="1">
        <f ca="1">INDEX(INDIRECT("'"&amp;$A37&amp;"'!$A$1:$W$30"),MATCH('All Positional Stats'!$A$32,INDIRECT("'"&amp;$A37&amp;"'!$A$1:$A$30"),0),MATCH('All Positional Stats'!D$31,INDIRECT("'"&amp;$A37&amp;"'!$A$1:$W$1"),0))</f>
        <v>11.5</v>
      </c>
      <c r="E37" s="1">
        <f t="shared" ca="1" si="56"/>
        <v>6</v>
      </c>
      <c r="F37" s="1">
        <f ca="1">INDEX(INDIRECT("'"&amp;$A37&amp;"'!$A$1:$W$30"),MATCH('All Positional Stats'!$A$32,INDIRECT("'"&amp;$A37&amp;"'!$A$1:$A$30"),0),MATCH('All Positional Stats'!F$31,INDIRECT("'"&amp;$A37&amp;"'!$A$1:$W$1"),0))</f>
        <v>6.6</v>
      </c>
      <c r="G37" s="1">
        <f t="shared" ca="1" si="56"/>
        <v>7</v>
      </c>
      <c r="H37" s="1">
        <f ca="1">INDEX(INDIRECT("'"&amp;$A37&amp;"'!$A$1:$W$30"),MATCH('All Positional Stats'!$A$32,INDIRECT("'"&amp;$A37&amp;"'!$A$1:$A$30"),0),MATCH('All Positional Stats'!H$31,INDIRECT("'"&amp;$A37&amp;"'!$A$1:$W$1"),0))</f>
        <v>16.2</v>
      </c>
      <c r="I37" s="1">
        <f t="shared" ca="1" si="56"/>
        <v>3</v>
      </c>
      <c r="J37" s="1">
        <f ca="1">INDEX(INDIRECT("'"&amp;$A37&amp;"'!$A$1:$W$30"),MATCH('All Positional Stats'!$A$32,INDIRECT("'"&amp;$A37&amp;"'!$A$1:$A$30"),0),MATCH('All Positional Stats'!J$31,INDIRECT("'"&amp;$A37&amp;"'!$A$1:$W$1"),0))</f>
        <v>5.9</v>
      </c>
      <c r="K37" s="1">
        <f t="shared" ca="1" si="56"/>
        <v>9</v>
      </c>
      <c r="L37" s="1">
        <f ca="1">INDEX(INDIRECT("'"&amp;$A37&amp;"'!$A$1:$W$30"),MATCH('All Positional Stats'!$A$32,INDIRECT("'"&amp;$A37&amp;"'!$A$1:$A$30"),0),MATCH('All Positional Stats'!L$31,INDIRECT("'"&amp;$A37&amp;"'!$A$1:$W$1"),0))</f>
        <v>22.4</v>
      </c>
      <c r="M37" s="1">
        <f t="shared" ca="1" si="56"/>
        <v>1</v>
      </c>
      <c r="N37" s="1">
        <f ca="1">INDEX(INDIRECT("'"&amp;$A37&amp;"'!$A$1:$W$30"),MATCH('All Positional Stats'!$A$32,INDIRECT("'"&amp;$A37&amp;"'!$A$1:$A$30"),0),MATCH('All Positional Stats'!N$31,INDIRECT("'"&amp;$A37&amp;"'!$A$1:$W$1"),0))</f>
        <v>7.2</v>
      </c>
      <c r="O37" s="1">
        <f t="shared" ca="1" si="56"/>
        <v>9</v>
      </c>
      <c r="P37" s="1">
        <f ca="1">INDEX(INDIRECT("'"&amp;$A37&amp;"'!$A$1:$W$30"),MATCH('All Positional Stats'!$A$32,INDIRECT("'"&amp;$A37&amp;"'!$A$1:$A$30"),0),MATCH('All Positional Stats'!P$31,INDIRECT("'"&amp;$A37&amp;"'!$A$1:$W$1"),0))</f>
        <v>23.2</v>
      </c>
      <c r="Q37" s="1">
        <f t="shared" ca="1" si="56"/>
        <v>1</v>
      </c>
      <c r="R37" s="1">
        <f ca="1">INDEX(INDIRECT("'"&amp;$A37&amp;"'!$A$1:$W$30"),MATCH('All Positional Stats'!$A$32,INDIRECT("'"&amp;$A37&amp;"'!$A$1:$A$30"),0),MATCH('All Positional Stats'!R$31,INDIRECT("'"&amp;$A37&amp;"'!$A$1:$W$1"),0))</f>
        <v>15.7</v>
      </c>
      <c r="S37" s="1">
        <f t="shared" ca="1" si="56"/>
        <v>4</v>
      </c>
      <c r="T37" s="1">
        <f ca="1">INDEX(INDIRECT("'"&amp;$A37&amp;"'!$A$1:$W$30"),MATCH('All Positional Stats'!$A$32,INDIRECT("'"&amp;$A37&amp;"'!$A$1:$A$30"),0),MATCH('All Positional Stats'!T$31,INDIRECT("'"&amp;$A37&amp;"'!$A$1:$W$1"),0))</f>
        <v>2.7</v>
      </c>
      <c r="U37" s="1">
        <f t="shared" ca="1" si="56"/>
        <v>9</v>
      </c>
      <c r="V37" s="1">
        <f ca="1">INDEX(INDIRECT("'"&amp;$A37&amp;"'!$A$1:$W$30"),MATCH('All Positional Stats'!$A$32,INDIRECT("'"&amp;$A37&amp;"'!$A$1:$A$30"),0),MATCH('All Positional Stats'!V$31,INDIRECT("'"&amp;$A37&amp;"'!$A$1:$W$1"),0))</f>
        <v>11.5</v>
      </c>
      <c r="W37" s="1">
        <f t="shared" ca="1" si="56"/>
        <v>4</v>
      </c>
      <c r="X37" s="1">
        <f ca="1">INDEX(INDIRECT("'"&amp;$A37&amp;"'!$A$1:$W$30"),MATCH('All Positional Stats'!$A$32,INDIRECT("'"&amp;$A37&amp;"'!$A$1:$A$30"),0),MATCH('All Positional Stats'!X$31,INDIRECT("'"&amp;$A37&amp;"'!$A$1:$W$1"),0))</f>
        <v>12.7</v>
      </c>
      <c r="Y37" s="1">
        <f t="shared" ca="1" si="56"/>
        <v>4</v>
      </c>
      <c r="Z37" s="1">
        <f ca="1">INDEX(INDIRECT("'"&amp;$A37&amp;"'!$A$1:$W$30"),MATCH('All Positional Stats'!$A$32,INDIRECT("'"&amp;$A37&amp;"'!$A$1:$A$30"),0),MATCH('All Positional Stats'!Z$31,INDIRECT("'"&amp;$A37&amp;"'!$A$1:$W$1"),0))</f>
        <v>22.8</v>
      </c>
      <c r="AA37" s="1">
        <f t="shared" ca="1" si="56"/>
        <v>2</v>
      </c>
      <c r="AB37" s="1">
        <f ca="1">INDEX(INDIRECT("'"&amp;$A37&amp;"'!$A$1:$W$30"),MATCH('All Positional Stats'!$A$32,INDIRECT("'"&amp;$A37&amp;"'!$A$1:$A$30"),0),MATCH('All Positional Stats'!AB$31,INDIRECT("'"&amp;$A37&amp;"'!$A$1:$W$1"),0))</f>
        <v>23.6</v>
      </c>
      <c r="AC37" s="1">
        <f t="shared" ca="1" si="56"/>
        <v>2</v>
      </c>
      <c r="AD37" s="1">
        <f ca="1">INDEX(INDIRECT("'"&amp;$A37&amp;"'!$A$1:$W$30"),MATCH('All Positional Stats'!$A$32,INDIRECT("'"&amp;$A37&amp;"'!$A$1:$A$30"),0),MATCH('All Positional Stats'!AD$31,INDIRECT("'"&amp;$A37&amp;"'!$A$1:$W$1"),0))</f>
        <v>7.7</v>
      </c>
      <c r="AE37" s="1">
        <f t="shared" ca="1" si="56"/>
        <v>8</v>
      </c>
      <c r="AF37" s="1">
        <f ca="1">INDEX(INDIRECT("'"&amp;$A37&amp;"'!$A$1:$W$30"),MATCH('All Positional Stats'!$A$32,INDIRECT("'"&amp;$A37&amp;"'!$A$1:$A$30"),0),MATCH('All Positional Stats'!AF$31,INDIRECT("'"&amp;$A37&amp;"'!$A$1:$W$1"),0))</f>
        <v>8.1</v>
      </c>
      <c r="AG37" s="1">
        <f t="shared" ca="1" si="56"/>
        <v>10</v>
      </c>
      <c r="AH37" s="1">
        <f ca="1">INDEX(INDIRECT("'"&amp;$A37&amp;"'!$A$1:$W$30"),MATCH('All Positional Stats'!$A$32,INDIRECT("'"&amp;$A37&amp;"'!$A$1:$A$30"),0),MATCH('All Positional Stats'!AH$31,INDIRECT("'"&amp;$A37&amp;"'!$A$1:$W$1"),0))</f>
        <v>2.7</v>
      </c>
      <c r="AI37" s="1">
        <f ca="1">INDEX(INDIRECT("'"&amp;$A37&amp;"'!$A$1:$W$30"),MATCH('All Positional Stats'!$A$32,INDIRECT("'"&amp;$A37&amp;"'!$A$1:$A$30"),0),MATCH('All Positional Stats'!AI$31,INDIRECT("'"&amp;$A37&amp;"'!$A$1:$W$1"),0))</f>
        <v>23.6</v>
      </c>
      <c r="AJ37" s="7">
        <f ca="1">INDEX(INDIRECT("'"&amp;$A37&amp;"'!$A$1:$W$30"),MATCH('All Positional Stats'!$A$32,INDIRECT("'"&amp;$A37&amp;"'!$A$1:$A$30"),0),MATCH('All Positional Stats'!AJ$31,INDIRECT("'"&amp;$A37&amp;"'!$A$1:$W$1"),0))</f>
        <v>12.606249999999999</v>
      </c>
      <c r="AK37" s="7">
        <f ca="1">INDEX(INDIRECT("'"&amp;$A37&amp;"'!$A$1:$W$30"),MATCH('All Positional Stats'!$A$32,INDIRECT("'"&amp;$A37&amp;"'!$A$1:$A$30"),0),MATCH('All Positional Stats'!AK$31,INDIRECT("'"&amp;$A37&amp;"'!$A$1:$W$1"),0))</f>
        <v>7.0109261825738853</v>
      </c>
      <c r="AL37" s="7">
        <f ca="1">INDEX(INDIRECT("'"&amp;$A37&amp;"'!$A$1:$W$30"),MATCH('All Positional Stats'!$A$32,INDIRECT("'"&amp;$A37&amp;"'!$A$1:$A$30"),0),MATCH('All Positional Stats'!AL$31,INDIRECT("'"&amp;$A37&amp;"'!$A$1:$W$1"),0))</f>
        <v>201.7</v>
      </c>
      <c r="AM37" s="6">
        <f ca="1">INDEX(INDIRECT("'"&amp;$A37&amp;"'!$A$1:$W$30"),MATCH('All Positional Stats'!$A$32,INDIRECT("'"&amp;$A37&amp;"'!$A$1:$A$30"),0),MATCH('All Positional Stats'!AM$31,INDIRECT("'"&amp;$A37&amp;"'!$A$1:$W$1"),0))</f>
        <v>0.13169234787150691</v>
      </c>
      <c r="AN37" s="9">
        <f t="shared" ca="1" si="54"/>
        <v>162.30000000000001</v>
      </c>
      <c r="AO37" s="8">
        <f t="shared" ca="1" si="55"/>
        <v>4</v>
      </c>
    </row>
    <row r="38" spans="1:41" ht="16.25" thickTop="1" thickBot="1" x14ac:dyDescent="0.9">
      <c r="A38" s="1" t="s">
        <v>6</v>
      </c>
      <c r="B38" s="1">
        <f ca="1">INDEX(INDIRECT("'"&amp;$A38&amp;"'!$A$1:$W$30"),MATCH('All Positional Stats'!$A$32,INDIRECT("'"&amp;$A38&amp;"'!$A$1:$A$30"),0),MATCH('All Positional Stats'!B$31,INDIRECT("'"&amp;$A38&amp;"'!$A$1:$W$1"),0))</f>
        <v>17.3</v>
      </c>
      <c r="C38" s="1">
        <f t="shared" ca="1" si="53"/>
        <v>2</v>
      </c>
      <c r="D38" s="1">
        <f ca="1">INDEX(INDIRECT("'"&amp;$A38&amp;"'!$A$1:$W$30"),MATCH('All Positional Stats'!$A$32,INDIRECT("'"&amp;$A38&amp;"'!$A$1:$A$30"),0),MATCH('All Positional Stats'!D$31,INDIRECT("'"&amp;$A38&amp;"'!$A$1:$W$1"),0))</f>
        <v>26</v>
      </c>
      <c r="E38" s="1">
        <f t="shared" ca="1" si="56"/>
        <v>2</v>
      </c>
      <c r="F38" s="1">
        <f ca="1">INDEX(INDIRECT("'"&amp;$A38&amp;"'!$A$1:$W$30"),MATCH('All Positional Stats'!$A$32,INDIRECT("'"&amp;$A38&amp;"'!$A$1:$A$30"),0),MATCH('All Positional Stats'!F$31,INDIRECT("'"&amp;$A38&amp;"'!$A$1:$W$1"),0))</f>
        <v>9</v>
      </c>
      <c r="G38" s="1">
        <f t="shared" ca="1" si="56"/>
        <v>5</v>
      </c>
      <c r="H38" s="1">
        <f ca="1">INDEX(INDIRECT("'"&amp;$A38&amp;"'!$A$1:$W$30"),MATCH('All Positional Stats'!$A$32,INDIRECT("'"&amp;$A38&amp;"'!$A$1:$A$30"),0),MATCH('All Positional Stats'!H$31,INDIRECT("'"&amp;$A38&amp;"'!$A$1:$W$1"),0))</f>
        <v>2.8</v>
      </c>
      <c r="I38" s="1">
        <f t="shared" ca="1" si="56"/>
        <v>12</v>
      </c>
      <c r="J38" s="1">
        <f ca="1">INDEX(INDIRECT("'"&amp;$A38&amp;"'!$A$1:$W$30"),MATCH('All Positional Stats'!$A$32,INDIRECT("'"&amp;$A38&amp;"'!$A$1:$A$30"),0),MATCH('All Positional Stats'!J$31,INDIRECT("'"&amp;$A38&amp;"'!$A$1:$W$1"),0))</f>
        <v>19.899999999999999</v>
      </c>
      <c r="K38" s="1">
        <f t="shared" ca="1" si="56"/>
        <v>1</v>
      </c>
      <c r="L38" s="1">
        <f ca="1">INDEX(INDIRECT("'"&amp;$A38&amp;"'!$A$1:$W$30"),MATCH('All Positional Stats'!$A$32,INDIRECT("'"&amp;$A38&amp;"'!$A$1:$A$30"),0),MATCH('All Positional Stats'!L$31,INDIRECT("'"&amp;$A38&amp;"'!$A$1:$W$1"),0))</f>
        <v>3.6</v>
      </c>
      <c r="M38" s="1">
        <f t="shared" ca="1" si="56"/>
        <v>10</v>
      </c>
      <c r="N38" s="1">
        <f ca="1">INDEX(INDIRECT("'"&amp;$A38&amp;"'!$A$1:$W$30"),MATCH('All Positional Stats'!$A$32,INDIRECT("'"&amp;$A38&amp;"'!$A$1:$A$30"),0),MATCH('All Positional Stats'!N$31,INDIRECT("'"&amp;$A38&amp;"'!$A$1:$W$1"),0))</f>
        <v>2</v>
      </c>
      <c r="O38" s="1">
        <f t="shared" ca="1" si="56"/>
        <v>12</v>
      </c>
      <c r="P38" s="1">
        <f ca="1">INDEX(INDIRECT("'"&amp;$A38&amp;"'!$A$1:$W$30"),MATCH('All Positional Stats'!$A$32,INDIRECT("'"&amp;$A38&amp;"'!$A$1:$A$30"),0),MATCH('All Positional Stats'!P$31,INDIRECT("'"&amp;$A38&amp;"'!$A$1:$W$1"),0))</f>
        <v>6.1</v>
      </c>
      <c r="Q38" s="1">
        <f t="shared" ca="1" si="56"/>
        <v>9</v>
      </c>
      <c r="R38" s="1">
        <f ca="1">INDEX(INDIRECT("'"&amp;$A38&amp;"'!$A$1:$W$30"),MATCH('All Positional Stats'!$A$32,INDIRECT("'"&amp;$A38&amp;"'!$A$1:$A$30"),0),MATCH('All Positional Stats'!R$31,INDIRECT("'"&amp;$A38&amp;"'!$A$1:$W$1"),0))</f>
        <v>2.1</v>
      </c>
      <c r="S38" s="1">
        <f t="shared" ca="1" si="56"/>
        <v>11</v>
      </c>
      <c r="T38" s="1">
        <f ca="1">INDEX(INDIRECT("'"&amp;$A38&amp;"'!$A$1:$W$30"),MATCH('All Positional Stats'!$A$32,INDIRECT("'"&amp;$A38&amp;"'!$A$1:$A$30"),0),MATCH('All Positional Stats'!T$31,INDIRECT("'"&amp;$A38&amp;"'!$A$1:$W$1"),0))</f>
        <v>7.8</v>
      </c>
      <c r="U38" s="1">
        <f t="shared" ca="1" si="56"/>
        <v>6</v>
      </c>
      <c r="V38" s="1">
        <f ca="1">INDEX(INDIRECT("'"&amp;$A38&amp;"'!$A$1:$W$30"),MATCH('All Positional Stats'!$A$32,INDIRECT("'"&amp;$A38&amp;"'!$A$1:$A$30"),0),MATCH('All Positional Stats'!V$31,INDIRECT("'"&amp;$A38&amp;"'!$A$1:$W$1"),0))</f>
        <v>5.7</v>
      </c>
      <c r="W38" s="1">
        <f t="shared" ca="1" si="56"/>
        <v>8</v>
      </c>
      <c r="X38" s="1">
        <f ca="1">INDEX(INDIRECT("'"&amp;$A38&amp;"'!$A$1:$W$30"),MATCH('All Positional Stats'!$A$32,INDIRECT("'"&amp;$A38&amp;"'!$A$1:$A$30"),0),MATCH('All Positional Stats'!X$31,INDIRECT("'"&amp;$A38&amp;"'!$A$1:$W$1"),0))</f>
        <v>18.3</v>
      </c>
      <c r="Y38" s="1">
        <f t="shared" ca="1" si="56"/>
        <v>1</v>
      </c>
      <c r="Z38" s="1">
        <f ca="1">INDEX(INDIRECT("'"&amp;$A38&amp;"'!$A$1:$W$30"),MATCH('All Positional Stats'!$A$32,INDIRECT("'"&amp;$A38&amp;"'!$A$1:$A$30"),0),MATCH('All Positional Stats'!Z$31,INDIRECT("'"&amp;$A38&amp;"'!$A$1:$W$1"),0))</f>
        <v>23.8</v>
      </c>
      <c r="AA38" s="1">
        <f t="shared" ca="1" si="56"/>
        <v>1</v>
      </c>
      <c r="AB38" s="1">
        <f ca="1">INDEX(INDIRECT("'"&amp;$A38&amp;"'!$A$1:$W$30"),MATCH('All Positional Stats'!$A$32,INDIRECT("'"&amp;$A38&amp;"'!$A$1:$A$30"),0),MATCH('All Positional Stats'!AB$31,INDIRECT("'"&amp;$A38&amp;"'!$A$1:$W$1"),0))</f>
        <v>13.8</v>
      </c>
      <c r="AC38" s="1">
        <f t="shared" ca="1" si="56"/>
        <v>5</v>
      </c>
      <c r="AD38" s="1">
        <f ca="1">INDEX(INDIRECT("'"&amp;$A38&amp;"'!$A$1:$W$30"),MATCH('All Positional Stats'!$A$32,INDIRECT("'"&amp;$A38&amp;"'!$A$1:$A$30"),0),MATCH('All Positional Stats'!AD$31,INDIRECT("'"&amp;$A38&amp;"'!$A$1:$W$1"),0))</f>
        <v>8.1999999999999993</v>
      </c>
      <c r="AE38" s="1">
        <f t="shared" ca="1" si="56"/>
        <v>7</v>
      </c>
      <c r="AF38" s="1">
        <f ca="1">INDEX(INDIRECT("'"&amp;$A38&amp;"'!$A$1:$W$30"),MATCH('All Positional Stats'!$A$32,INDIRECT("'"&amp;$A38&amp;"'!$A$1:$A$30"),0),MATCH('All Positional Stats'!AF$31,INDIRECT("'"&amp;$A38&amp;"'!$A$1:$W$1"),0))</f>
        <v>13.2</v>
      </c>
      <c r="AG38" s="1">
        <f t="shared" ca="1" si="56"/>
        <v>8</v>
      </c>
      <c r="AH38" s="1">
        <f ca="1">INDEX(INDIRECT("'"&amp;$A38&amp;"'!$A$1:$W$30"),MATCH('All Positional Stats'!$A$32,INDIRECT("'"&amp;$A38&amp;"'!$A$1:$A$30"),0),MATCH('All Positional Stats'!AH$31,INDIRECT("'"&amp;$A38&amp;"'!$A$1:$W$1"),0))</f>
        <v>2</v>
      </c>
      <c r="AI38" s="1">
        <f ca="1">INDEX(INDIRECT("'"&amp;$A38&amp;"'!$A$1:$W$30"),MATCH('All Positional Stats'!$A$32,INDIRECT("'"&amp;$A38&amp;"'!$A$1:$A$30"),0),MATCH('All Positional Stats'!AI$31,INDIRECT("'"&amp;$A38&amp;"'!$A$1:$W$1"),0))</f>
        <v>26</v>
      </c>
      <c r="AJ38" s="7">
        <f ca="1">INDEX(INDIRECT("'"&amp;$A38&amp;"'!$A$1:$W$30"),MATCH('All Positional Stats'!$A$32,INDIRECT("'"&amp;$A38&amp;"'!$A$1:$A$30"),0),MATCH('All Positional Stats'!AJ$31,INDIRECT("'"&amp;$A38&amp;"'!$A$1:$W$1"),0))</f>
        <v>11.224999999999998</v>
      </c>
      <c r="AK38" s="7">
        <f ca="1">INDEX(INDIRECT("'"&amp;$A38&amp;"'!$A$1:$W$30"),MATCH('All Positional Stats'!$A$32,INDIRECT("'"&amp;$A38&amp;"'!$A$1:$A$30"),0),MATCH('All Positional Stats'!AK$31,INDIRECT("'"&amp;$A38&amp;"'!$A$1:$W$1"),0))</f>
        <v>7.6210645581834573</v>
      </c>
      <c r="AL38" s="7">
        <f ca="1">INDEX(INDIRECT("'"&amp;$A38&amp;"'!$A$1:$W$30"),MATCH('All Positional Stats'!$A$32,INDIRECT("'"&amp;$A38&amp;"'!$A$1:$A$30"),0),MATCH('All Positional Stats'!AL$31,INDIRECT("'"&amp;$A38&amp;"'!$A$1:$W$1"),0))</f>
        <v>179.59999999999997</v>
      </c>
      <c r="AM38" s="6">
        <f ca="1">INDEX(INDIRECT("'"&amp;$A38&amp;"'!$A$1:$W$30"),MATCH('All Positional Stats'!$A$32,INDIRECT("'"&amp;$A38&amp;"'!$A$1:$A$30"),0),MATCH('All Positional Stats'!AM$31,INDIRECT("'"&amp;$A38&amp;"'!$A$1:$W$1"),0))</f>
        <v>0.11414770560569464</v>
      </c>
      <c r="AN38" s="9">
        <f t="shared" ca="1" si="54"/>
        <v>144.39999999999998</v>
      </c>
      <c r="AO38" s="8">
        <f t="shared" ca="1" si="55"/>
        <v>5</v>
      </c>
    </row>
    <row r="39" spans="1:41" ht="16.25" thickTop="1" thickBot="1" x14ac:dyDescent="0.9">
      <c r="A39" s="1" t="s">
        <v>7</v>
      </c>
      <c r="B39" s="1">
        <f ca="1">INDEX(INDIRECT("'"&amp;$A39&amp;"'!$A$1:$W$30"),MATCH('All Positional Stats'!$A$32,INDIRECT("'"&amp;$A39&amp;"'!$A$1:$A$30"),0),MATCH('All Positional Stats'!B$31,INDIRECT("'"&amp;$A39&amp;"'!$A$1:$W$1"),0))</f>
        <v>9.6</v>
      </c>
      <c r="C39" s="1">
        <f t="shared" ca="1" si="53"/>
        <v>5</v>
      </c>
      <c r="D39" s="1">
        <f ca="1">INDEX(INDIRECT("'"&amp;$A39&amp;"'!$A$1:$W$30"),MATCH('All Positional Stats'!$A$32,INDIRECT("'"&amp;$A39&amp;"'!$A$1:$A$30"),0),MATCH('All Positional Stats'!D$31,INDIRECT("'"&amp;$A39&amp;"'!$A$1:$W$1"),0))</f>
        <v>7.4</v>
      </c>
      <c r="E39" s="1">
        <f t="shared" ca="1" si="56"/>
        <v>11</v>
      </c>
      <c r="F39" s="1">
        <f ca="1">INDEX(INDIRECT("'"&amp;$A39&amp;"'!$A$1:$W$30"),MATCH('All Positional Stats'!$A$32,INDIRECT("'"&amp;$A39&amp;"'!$A$1:$A$30"),0),MATCH('All Positional Stats'!F$31,INDIRECT("'"&amp;$A39&amp;"'!$A$1:$W$1"),0))</f>
        <v>25.4</v>
      </c>
      <c r="G39" s="1">
        <f t="shared" ca="1" si="56"/>
        <v>1</v>
      </c>
      <c r="H39" s="1">
        <f ca="1">INDEX(INDIRECT("'"&amp;$A39&amp;"'!$A$1:$W$30"),MATCH('All Positional Stats'!$A$32,INDIRECT("'"&amp;$A39&amp;"'!$A$1:$A$30"),0),MATCH('All Positional Stats'!H$31,INDIRECT("'"&amp;$A39&amp;"'!$A$1:$W$1"),0))</f>
        <v>11.9</v>
      </c>
      <c r="I39" s="1">
        <f t="shared" ca="1" si="56"/>
        <v>7</v>
      </c>
      <c r="J39" s="1">
        <f ca="1">INDEX(INDIRECT("'"&amp;$A39&amp;"'!$A$1:$W$30"),MATCH('All Positional Stats'!$A$32,INDIRECT("'"&amp;$A39&amp;"'!$A$1:$A$30"),0),MATCH('All Positional Stats'!J$31,INDIRECT("'"&amp;$A39&amp;"'!$A$1:$W$1"),0))</f>
        <v>7.7</v>
      </c>
      <c r="K39" s="1">
        <f t="shared" ca="1" si="56"/>
        <v>7</v>
      </c>
      <c r="L39" s="1">
        <f ca="1">INDEX(INDIRECT("'"&amp;$A39&amp;"'!$A$1:$W$30"),MATCH('All Positional Stats'!$A$32,INDIRECT("'"&amp;$A39&amp;"'!$A$1:$A$30"),0),MATCH('All Positional Stats'!L$31,INDIRECT("'"&amp;$A39&amp;"'!$A$1:$W$1"),0))</f>
        <v>2.2000000000000002</v>
      </c>
      <c r="M39" s="1">
        <f t="shared" ca="1" si="56"/>
        <v>11</v>
      </c>
      <c r="N39" s="1">
        <f ca="1">INDEX(INDIRECT("'"&amp;$A39&amp;"'!$A$1:$W$30"),MATCH('All Positional Stats'!$A$32,INDIRECT("'"&amp;$A39&amp;"'!$A$1:$A$30"),0),MATCH('All Positional Stats'!N$31,INDIRECT("'"&amp;$A39&amp;"'!$A$1:$W$1"),0))</f>
        <v>8.6999999999999993</v>
      </c>
      <c r="O39" s="1">
        <f t="shared" ca="1" si="56"/>
        <v>7</v>
      </c>
      <c r="P39" s="1">
        <f ca="1">INDEX(INDIRECT("'"&amp;$A39&amp;"'!$A$1:$W$30"),MATCH('All Positional Stats'!$A$32,INDIRECT("'"&amp;$A39&amp;"'!$A$1:$A$30"),0),MATCH('All Positional Stats'!P$31,INDIRECT("'"&amp;$A39&amp;"'!$A$1:$W$1"),0))</f>
        <v>6.4</v>
      </c>
      <c r="Q39" s="1">
        <f t="shared" ca="1" si="56"/>
        <v>7</v>
      </c>
      <c r="R39" s="1">
        <f ca="1">INDEX(INDIRECT("'"&amp;$A39&amp;"'!$A$1:$W$30"),MATCH('All Positional Stats'!$A$32,INDIRECT("'"&amp;$A39&amp;"'!$A$1:$A$30"),0),MATCH('All Positional Stats'!R$31,INDIRECT("'"&amp;$A39&amp;"'!$A$1:$W$1"),0))</f>
        <v>5.0999999999999996</v>
      </c>
      <c r="S39" s="1">
        <f t="shared" ca="1" si="56"/>
        <v>9</v>
      </c>
      <c r="T39" s="1">
        <f ca="1">INDEX(INDIRECT("'"&amp;$A39&amp;"'!$A$1:$W$30"),MATCH('All Positional Stats'!$A$32,INDIRECT("'"&amp;$A39&amp;"'!$A$1:$A$30"),0),MATCH('All Positional Stats'!T$31,INDIRECT("'"&amp;$A39&amp;"'!$A$1:$W$1"),0))</f>
        <v>5.3</v>
      </c>
      <c r="U39" s="1">
        <f t="shared" ca="1" si="56"/>
        <v>7</v>
      </c>
      <c r="V39" s="1">
        <f ca="1">INDEX(INDIRECT("'"&amp;$A39&amp;"'!$A$1:$W$30"),MATCH('All Positional Stats'!$A$32,INDIRECT("'"&amp;$A39&amp;"'!$A$1:$A$30"),0),MATCH('All Positional Stats'!V$31,INDIRECT("'"&amp;$A39&amp;"'!$A$1:$W$1"),0))</f>
        <v>1.9</v>
      </c>
      <c r="W39" s="1">
        <f t="shared" ca="1" si="56"/>
        <v>11</v>
      </c>
      <c r="X39" s="1">
        <f ca="1">INDEX(INDIRECT("'"&amp;$A39&amp;"'!$A$1:$W$30"),MATCH('All Positional Stats'!$A$32,INDIRECT("'"&amp;$A39&amp;"'!$A$1:$A$30"),0),MATCH('All Positional Stats'!X$31,INDIRECT("'"&amp;$A39&amp;"'!$A$1:$W$1"),0))</f>
        <v>14.5</v>
      </c>
      <c r="Y39" s="1">
        <f t="shared" ca="1" si="56"/>
        <v>3</v>
      </c>
      <c r="Z39" s="1">
        <f ca="1">INDEX(INDIRECT("'"&amp;$A39&amp;"'!$A$1:$W$30"),MATCH('All Positional Stats'!$A$32,INDIRECT("'"&amp;$A39&amp;"'!$A$1:$A$30"),0),MATCH('All Positional Stats'!Z$31,INDIRECT("'"&amp;$A39&amp;"'!$A$1:$W$1"),0))</f>
        <v>8.4</v>
      </c>
      <c r="AA39" s="1">
        <f t="shared" ca="1" si="56"/>
        <v>8</v>
      </c>
      <c r="AB39" s="1">
        <f ca="1">INDEX(INDIRECT("'"&amp;$A39&amp;"'!$A$1:$W$30"),MATCH('All Positional Stats'!$A$32,INDIRECT("'"&amp;$A39&amp;"'!$A$1:$A$30"),0),MATCH('All Positional Stats'!AB$31,INDIRECT("'"&amp;$A39&amp;"'!$A$1:$W$1"),0))</f>
        <v>16</v>
      </c>
      <c r="AC39" s="1">
        <f t="shared" ca="1" si="56"/>
        <v>4</v>
      </c>
      <c r="AD39" s="1">
        <f ca="1">INDEX(INDIRECT("'"&amp;$A39&amp;"'!$A$1:$W$30"),MATCH('All Positional Stats'!$A$32,INDIRECT("'"&amp;$A39&amp;"'!$A$1:$A$30"),0),MATCH('All Positional Stats'!AD$31,INDIRECT("'"&amp;$A39&amp;"'!$A$1:$W$1"),0))</f>
        <v>7.6</v>
      </c>
      <c r="AE39" s="1">
        <f t="shared" ca="1" si="56"/>
        <v>9</v>
      </c>
      <c r="AF39" s="1">
        <f ca="1">INDEX(INDIRECT("'"&amp;$A39&amp;"'!$A$1:$W$30"),MATCH('All Positional Stats'!$A$32,INDIRECT("'"&amp;$A39&amp;"'!$A$1:$A$30"),0),MATCH('All Positional Stats'!AF$31,INDIRECT("'"&amp;$A39&amp;"'!$A$1:$W$1"),0))</f>
        <v>5.7</v>
      </c>
      <c r="AG39" s="1">
        <f t="shared" ca="1" si="56"/>
        <v>11</v>
      </c>
      <c r="AH39" s="1">
        <f ca="1">INDEX(INDIRECT("'"&amp;$A39&amp;"'!$A$1:$W$30"),MATCH('All Positional Stats'!$A$32,INDIRECT("'"&amp;$A39&amp;"'!$A$1:$A$30"),0),MATCH('All Positional Stats'!AH$31,INDIRECT("'"&amp;$A39&amp;"'!$A$1:$W$1"),0))</f>
        <v>1.9</v>
      </c>
      <c r="AI39" s="1">
        <f ca="1">INDEX(INDIRECT("'"&amp;$A39&amp;"'!$A$1:$W$30"),MATCH('All Positional Stats'!$A$32,INDIRECT("'"&amp;$A39&amp;"'!$A$1:$A$30"),0),MATCH('All Positional Stats'!AI$31,INDIRECT("'"&amp;$A39&amp;"'!$A$1:$W$1"),0))</f>
        <v>25.4</v>
      </c>
      <c r="AJ39" s="7">
        <f ca="1">INDEX(INDIRECT("'"&amp;$A39&amp;"'!$A$1:$W$30"),MATCH('All Positional Stats'!$A$32,INDIRECT("'"&amp;$A39&amp;"'!$A$1:$A$30"),0),MATCH('All Positional Stats'!AJ$31,INDIRECT("'"&amp;$A39&amp;"'!$A$1:$W$1"),0))</f>
        <v>8.9874999999999989</v>
      </c>
      <c r="AK39" s="7">
        <f ca="1">INDEX(INDIRECT("'"&amp;$A39&amp;"'!$A$1:$W$30"),MATCH('All Positional Stats'!$A$32,INDIRECT("'"&amp;$A39&amp;"'!$A$1:$A$30"),0),MATCH('All Positional Stats'!AK$31,INDIRECT("'"&amp;$A39&amp;"'!$A$1:$W$1"),0))</f>
        <v>5.6282629425072175</v>
      </c>
      <c r="AL39" s="7">
        <f ca="1">INDEX(INDIRECT("'"&amp;$A39&amp;"'!$A$1:$W$30"),MATCH('All Positional Stats'!$A$32,INDIRECT("'"&amp;$A39&amp;"'!$A$1:$A$30"),0),MATCH('All Positional Stats'!AL$31,INDIRECT("'"&amp;$A39&amp;"'!$A$1:$W$1"),0))</f>
        <v>143.79999999999998</v>
      </c>
      <c r="AM39" s="6">
        <f ca="1">INDEX(INDIRECT("'"&amp;$A39&amp;"'!$A$1:$W$30"),MATCH('All Positional Stats'!$A$32,INDIRECT("'"&amp;$A39&amp;"'!$A$1:$A$30"),0),MATCH('All Positional Stats'!AM$31,INDIRECT("'"&amp;$A39&amp;"'!$A$1:$W$1"),0))</f>
        <v>9.5707154742096498E-2</v>
      </c>
      <c r="AN39" s="9">
        <f t="shared" ca="1" si="54"/>
        <v>114.50000000000001</v>
      </c>
      <c r="AO39" s="8">
        <f t="shared" ca="1" si="55"/>
        <v>8</v>
      </c>
    </row>
    <row r="40" spans="1:41" ht="16.25" thickTop="1" thickBot="1" x14ac:dyDescent="0.9">
      <c r="A40" s="1" t="s">
        <v>8</v>
      </c>
      <c r="B40" s="1">
        <f ca="1">INDEX(INDIRECT("'"&amp;$A40&amp;"'!$A$1:$W$30"),MATCH('All Positional Stats'!$A$32,INDIRECT("'"&amp;$A40&amp;"'!$A$1:$A$30"),0),MATCH('All Positional Stats'!B$31,INDIRECT("'"&amp;$A40&amp;"'!$A$1:$W$1"),0))</f>
        <v>10.7</v>
      </c>
      <c r="C40" s="1">
        <f t="shared" ca="1" si="53"/>
        <v>3</v>
      </c>
      <c r="D40" s="1">
        <f ca="1">INDEX(INDIRECT("'"&amp;$A40&amp;"'!$A$1:$W$30"),MATCH('All Positional Stats'!$A$32,INDIRECT("'"&amp;$A40&amp;"'!$A$1:$A$30"),0),MATCH('All Positional Stats'!D$31,INDIRECT("'"&amp;$A40&amp;"'!$A$1:$W$1"),0))</f>
        <v>15.8</v>
      </c>
      <c r="E40" s="1">
        <f t="shared" ca="1" si="56"/>
        <v>4</v>
      </c>
      <c r="F40" s="1">
        <f ca="1">INDEX(INDIRECT("'"&amp;$A40&amp;"'!$A$1:$W$30"),MATCH('All Positional Stats'!$A$32,INDIRECT("'"&amp;$A40&amp;"'!$A$1:$A$30"),0),MATCH('All Positional Stats'!F$31,INDIRECT("'"&amp;$A40&amp;"'!$A$1:$W$1"),0))</f>
        <v>22.9</v>
      </c>
      <c r="G40" s="1">
        <f t="shared" ca="1" si="56"/>
        <v>3</v>
      </c>
      <c r="H40" s="1">
        <f ca="1">INDEX(INDIRECT("'"&amp;$A40&amp;"'!$A$1:$W$30"),MATCH('All Positional Stats'!$A$32,INDIRECT("'"&amp;$A40&amp;"'!$A$1:$A$30"),0),MATCH('All Positional Stats'!H$31,INDIRECT("'"&amp;$A40&amp;"'!$A$1:$W$1"),0))</f>
        <v>12</v>
      </c>
      <c r="I40" s="1">
        <f t="shared" ca="1" si="56"/>
        <v>6</v>
      </c>
      <c r="J40" s="1">
        <f ca="1">INDEX(INDIRECT("'"&amp;$A40&amp;"'!$A$1:$W$30"),MATCH('All Positional Stats'!$A$32,INDIRECT("'"&amp;$A40&amp;"'!$A$1:$A$30"),0),MATCH('All Positional Stats'!J$31,INDIRECT("'"&amp;$A40&amp;"'!$A$1:$W$1"),0))</f>
        <v>10.1</v>
      </c>
      <c r="K40" s="1">
        <f t="shared" ca="1" si="56"/>
        <v>4</v>
      </c>
      <c r="L40" s="1">
        <f ca="1">INDEX(INDIRECT("'"&amp;$A40&amp;"'!$A$1:$W$30"),MATCH('All Positional Stats'!$A$32,INDIRECT("'"&amp;$A40&amp;"'!$A$1:$A$30"),0),MATCH('All Positional Stats'!L$31,INDIRECT("'"&amp;$A40&amp;"'!$A$1:$W$1"),0))</f>
        <v>22</v>
      </c>
      <c r="M40" s="1">
        <f t="shared" ca="1" si="56"/>
        <v>2</v>
      </c>
      <c r="N40" s="1">
        <f ca="1">INDEX(INDIRECT("'"&amp;$A40&amp;"'!$A$1:$W$30"),MATCH('All Positional Stats'!$A$32,INDIRECT("'"&amp;$A40&amp;"'!$A$1:$A$30"),0),MATCH('All Positional Stats'!N$31,INDIRECT("'"&amp;$A40&amp;"'!$A$1:$W$1"),0))</f>
        <v>10.8</v>
      </c>
      <c r="O40" s="1">
        <f t="shared" ca="1" si="56"/>
        <v>4</v>
      </c>
      <c r="P40" s="1">
        <f ca="1">INDEX(INDIRECT("'"&amp;$A40&amp;"'!$A$1:$W$30"),MATCH('All Positional Stats'!$A$32,INDIRECT("'"&amp;$A40&amp;"'!$A$1:$A$30"),0),MATCH('All Positional Stats'!P$31,INDIRECT("'"&amp;$A40&amp;"'!$A$1:$W$1"),0))</f>
        <v>6.7</v>
      </c>
      <c r="Q40" s="1">
        <f t="shared" ca="1" si="56"/>
        <v>6</v>
      </c>
      <c r="R40" s="1">
        <f ca="1">INDEX(INDIRECT("'"&amp;$A40&amp;"'!$A$1:$W$30"),MATCH('All Positional Stats'!$A$32,INDIRECT("'"&amp;$A40&amp;"'!$A$1:$A$30"),0),MATCH('All Positional Stats'!R$31,INDIRECT("'"&amp;$A40&amp;"'!$A$1:$W$1"),0))</f>
        <v>17</v>
      </c>
      <c r="S40" s="1">
        <f t="shared" ca="1" si="56"/>
        <v>2</v>
      </c>
      <c r="T40" s="1">
        <f ca="1">INDEX(INDIRECT("'"&amp;$A40&amp;"'!$A$1:$W$30"),MATCH('All Positional Stats'!$A$32,INDIRECT("'"&amp;$A40&amp;"'!$A$1:$A$30"),0),MATCH('All Positional Stats'!T$31,INDIRECT("'"&amp;$A40&amp;"'!$A$1:$W$1"),0))</f>
        <v>11.4</v>
      </c>
      <c r="U40" s="1">
        <f t="shared" ca="1" si="56"/>
        <v>4</v>
      </c>
      <c r="V40" s="1">
        <f ca="1">INDEX(INDIRECT("'"&amp;$A40&amp;"'!$A$1:$W$30"),MATCH('All Positional Stats'!$A$32,INDIRECT("'"&amp;$A40&amp;"'!$A$1:$A$30"),0),MATCH('All Positional Stats'!V$31,INDIRECT("'"&amp;$A40&amp;"'!$A$1:$W$1"),0))</f>
        <v>9.8000000000000007</v>
      </c>
      <c r="W40" s="1">
        <f t="shared" ca="1" si="56"/>
        <v>6</v>
      </c>
      <c r="X40" s="1">
        <f ca="1">INDEX(INDIRECT("'"&amp;$A40&amp;"'!$A$1:$W$30"),MATCH('All Positional Stats'!$A$32,INDIRECT("'"&amp;$A40&amp;"'!$A$1:$A$30"),0),MATCH('All Positional Stats'!X$31,INDIRECT("'"&amp;$A40&amp;"'!$A$1:$W$1"),0))</f>
        <v>14.9</v>
      </c>
      <c r="Y40" s="1">
        <f t="shared" ca="1" si="56"/>
        <v>2</v>
      </c>
      <c r="Z40" s="1">
        <f ca="1">INDEX(INDIRECT("'"&amp;$A40&amp;"'!$A$1:$W$30"),MATCH('All Positional Stats'!$A$32,INDIRECT("'"&amp;$A40&amp;"'!$A$1:$A$30"),0),MATCH('All Positional Stats'!Z$31,INDIRECT("'"&amp;$A40&amp;"'!$A$1:$W$1"),0))</f>
        <v>8.1</v>
      </c>
      <c r="AA40" s="1">
        <f t="shared" ca="1" si="56"/>
        <v>9</v>
      </c>
      <c r="AB40" s="1">
        <f ca="1">INDEX(INDIRECT("'"&amp;$A40&amp;"'!$A$1:$W$30"),MATCH('All Positional Stats'!$A$32,INDIRECT("'"&amp;$A40&amp;"'!$A$1:$A$30"),0),MATCH('All Positional Stats'!AB$31,INDIRECT("'"&amp;$A40&amp;"'!$A$1:$W$1"),0))</f>
        <v>13.8</v>
      </c>
      <c r="AC40" s="1">
        <f t="shared" ca="1" si="56"/>
        <v>5</v>
      </c>
      <c r="AD40" s="1">
        <f ca="1">INDEX(INDIRECT("'"&amp;$A40&amp;"'!$A$1:$W$30"),MATCH('All Positional Stats'!$A$32,INDIRECT("'"&amp;$A40&amp;"'!$A$1:$A$30"),0),MATCH('All Positional Stats'!AD$31,INDIRECT("'"&amp;$A40&amp;"'!$A$1:$W$1"),0))</f>
        <v>4.9000000000000004</v>
      </c>
      <c r="AE40" s="1">
        <f t="shared" ca="1" si="56"/>
        <v>12</v>
      </c>
      <c r="AF40" s="1">
        <f ca="1">INDEX(INDIRECT("'"&amp;$A40&amp;"'!$A$1:$W$30"),MATCH('All Positional Stats'!$A$32,INDIRECT("'"&amp;$A40&amp;"'!$A$1:$A$30"),0),MATCH('All Positional Stats'!AF$31,INDIRECT("'"&amp;$A40&amp;"'!$A$1:$W$1"),0))</f>
        <v>14.8</v>
      </c>
      <c r="AG40" s="1">
        <f t="shared" ca="1" si="56"/>
        <v>5</v>
      </c>
      <c r="AH40" s="1">
        <f ca="1">INDEX(INDIRECT("'"&amp;$A40&amp;"'!$A$1:$W$30"),MATCH('All Positional Stats'!$A$32,INDIRECT("'"&amp;$A40&amp;"'!$A$1:$A$30"),0),MATCH('All Positional Stats'!AH$31,INDIRECT("'"&amp;$A40&amp;"'!$A$1:$W$1"),0))</f>
        <v>4.9000000000000004</v>
      </c>
      <c r="AI40" s="1">
        <f ca="1">INDEX(INDIRECT("'"&amp;$A40&amp;"'!$A$1:$W$30"),MATCH('All Positional Stats'!$A$32,INDIRECT("'"&amp;$A40&amp;"'!$A$1:$A$30"),0),MATCH('All Positional Stats'!AI$31,INDIRECT("'"&amp;$A40&amp;"'!$A$1:$W$1"),0))</f>
        <v>22.9</v>
      </c>
      <c r="AJ40" s="7">
        <f ca="1">INDEX(INDIRECT("'"&amp;$A40&amp;"'!$A$1:$W$30"),MATCH('All Positional Stats'!$A$32,INDIRECT("'"&amp;$A40&amp;"'!$A$1:$A$30"),0),MATCH('All Positional Stats'!AJ$31,INDIRECT("'"&amp;$A40&amp;"'!$A$1:$W$1"),0))</f>
        <v>12.856250000000005</v>
      </c>
      <c r="AK40" s="7">
        <f ca="1">INDEX(INDIRECT("'"&amp;$A40&amp;"'!$A$1:$W$30"),MATCH('All Positional Stats'!$A$32,INDIRECT("'"&amp;$A40&amp;"'!$A$1:$A$30"),0),MATCH('All Positional Stats'!AK$31,INDIRECT("'"&amp;$A40&amp;"'!$A$1:$W$1"),0))</f>
        <v>4.8196173019753292</v>
      </c>
      <c r="AL40" s="7">
        <f ca="1">INDEX(INDIRECT("'"&amp;$A40&amp;"'!$A$1:$W$30"),MATCH('All Positional Stats'!$A$32,INDIRECT("'"&amp;$A40&amp;"'!$A$1:$A$30"),0),MATCH('All Positional Stats'!AL$31,INDIRECT("'"&amp;$A40&amp;"'!$A$1:$W$1"),0))</f>
        <v>205.70000000000005</v>
      </c>
      <c r="AM40" s="6">
        <f ca="1">INDEX(INDIRECT("'"&amp;$A40&amp;"'!$A$1:$W$30"),MATCH('All Positional Stats'!$A$32,INDIRECT("'"&amp;$A40&amp;"'!$A$1:$A$30"),0),MATCH('All Positional Stats'!AM$31,INDIRECT("'"&amp;$A40&amp;"'!$A$1:$W$1"),0))</f>
        <v>0.14018946364070062</v>
      </c>
      <c r="AN40" s="9">
        <f t="shared" ca="1" si="54"/>
        <v>172.20000000000002</v>
      </c>
      <c r="AO40" s="8">
        <f t="shared" ca="1" si="55"/>
        <v>3</v>
      </c>
    </row>
    <row r="41" spans="1:41" ht="16.25" thickTop="1" thickBot="1" x14ac:dyDescent="0.9">
      <c r="A41" s="1" t="s">
        <v>9</v>
      </c>
      <c r="B41" s="1">
        <f ca="1">INDEX(INDIRECT("'"&amp;$A41&amp;"'!$A$1:$W$30"),MATCH('All Positional Stats'!$A$32,INDIRECT("'"&amp;$A41&amp;"'!$A$1:$A$30"),0),MATCH('All Positional Stats'!B$31,INDIRECT("'"&amp;$A41&amp;"'!$A$1:$W$1"),0))</f>
        <v>5.6</v>
      </c>
      <c r="C41" s="1">
        <f t="shared" ca="1" si="53"/>
        <v>8</v>
      </c>
      <c r="D41" s="1">
        <f ca="1">INDEX(INDIRECT("'"&amp;$A41&amp;"'!$A$1:$W$30"),MATCH('All Positional Stats'!$A$32,INDIRECT("'"&amp;$A41&amp;"'!$A$1:$A$30"),0),MATCH('All Positional Stats'!D$31,INDIRECT("'"&amp;$A41&amp;"'!$A$1:$W$1"),0))</f>
        <v>8.6</v>
      </c>
      <c r="E41" s="1">
        <f t="shared" ca="1" si="56"/>
        <v>10</v>
      </c>
      <c r="F41" s="1">
        <f ca="1">INDEX(INDIRECT("'"&amp;$A41&amp;"'!$A$1:$W$30"),MATCH('All Positional Stats'!$A$32,INDIRECT("'"&amp;$A41&amp;"'!$A$1:$A$30"),0),MATCH('All Positional Stats'!F$31,INDIRECT("'"&amp;$A41&amp;"'!$A$1:$W$1"),0))</f>
        <v>1.1000000000000001</v>
      </c>
      <c r="G41" s="1">
        <f t="shared" ca="1" si="56"/>
        <v>12</v>
      </c>
      <c r="H41" s="1">
        <f ca="1">INDEX(INDIRECT("'"&amp;$A41&amp;"'!$A$1:$W$30"),MATCH('All Positional Stats'!$A$32,INDIRECT("'"&amp;$A41&amp;"'!$A$1:$A$30"),0),MATCH('All Positional Stats'!H$31,INDIRECT("'"&amp;$A41&amp;"'!$A$1:$W$1"),0))</f>
        <v>27</v>
      </c>
      <c r="I41" s="1">
        <f t="shared" ca="1" si="56"/>
        <v>1</v>
      </c>
      <c r="J41" s="1">
        <f ca="1">INDEX(INDIRECT("'"&amp;$A41&amp;"'!$A$1:$W$30"),MATCH('All Positional Stats'!$A$32,INDIRECT("'"&amp;$A41&amp;"'!$A$1:$A$30"),0),MATCH('All Positional Stats'!J$31,INDIRECT("'"&amp;$A41&amp;"'!$A$1:$W$1"),0))</f>
        <v>5.3</v>
      </c>
      <c r="K41" s="1">
        <f t="shared" ca="1" si="56"/>
        <v>10</v>
      </c>
      <c r="L41" s="1">
        <f ca="1">INDEX(INDIRECT("'"&amp;$A41&amp;"'!$A$1:$W$30"),MATCH('All Positional Stats'!$A$32,INDIRECT("'"&amp;$A41&amp;"'!$A$1:$A$30"),0),MATCH('All Positional Stats'!L$31,INDIRECT("'"&amp;$A41&amp;"'!$A$1:$W$1"),0))</f>
        <v>14.9</v>
      </c>
      <c r="M41" s="1">
        <f t="shared" ca="1" si="56"/>
        <v>4</v>
      </c>
      <c r="N41" s="1">
        <f ca="1">INDEX(INDIRECT("'"&amp;$A41&amp;"'!$A$1:$W$30"),MATCH('All Positional Stats'!$A$32,INDIRECT("'"&amp;$A41&amp;"'!$A$1:$A$30"),0),MATCH('All Positional Stats'!N$31,INDIRECT("'"&amp;$A41&amp;"'!$A$1:$W$1"),0))</f>
        <v>9</v>
      </c>
      <c r="O41" s="1">
        <f t="shared" ca="1" si="56"/>
        <v>6</v>
      </c>
      <c r="P41" s="1">
        <f ca="1">INDEX(INDIRECT("'"&amp;$A41&amp;"'!$A$1:$W$30"),MATCH('All Positional Stats'!$A$32,INDIRECT("'"&amp;$A41&amp;"'!$A$1:$A$30"),0),MATCH('All Positional Stats'!P$31,INDIRECT("'"&amp;$A41&amp;"'!$A$1:$W$1"),0))</f>
        <v>8</v>
      </c>
      <c r="Q41" s="1">
        <f t="shared" ca="1" si="56"/>
        <v>5</v>
      </c>
      <c r="R41" s="1">
        <f ca="1">INDEX(INDIRECT("'"&amp;$A41&amp;"'!$A$1:$W$30"),MATCH('All Positional Stats'!$A$32,INDIRECT("'"&amp;$A41&amp;"'!$A$1:$A$30"),0),MATCH('All Positional Stats'!R$31,INDIRECT("'"&amp;$A41&amp;"'!$A$1:$W$1"),0))</f>
        <v>0.7</v>
      </c>
      <c r="S41" s="1">
        <f t="shared" ca="1" si="56"/>
        <v>12</v>
      </c>
      <c r="T41" s="1">
        <f ca="1">INDEX(INDIRECT("'"&amp;$A41&amp;"'!$A$1:$W$30"),MATCH('All Positional Stats'!$A$32,INDIRECT("'"&amp;$A41&amp;"'!$A$1:$A$30"),0),MATCH('All Positional Stats'!T$31,INDIRECT("'"&amp;$A41&amp;"'!$A$1:$W$1"),0))</f>
        <v>2.1</v>
      </c>
      <c r="U41" s="1">
        <f t="shared" ca="1" si="56"/>
        <v>11</v>
      </c>
      <c r="V41" s="1">
        <f ca="1">INDEX(INDIRECT("'"&amp;$A41&amp;"'!$A$1:$W$30"),MATCH('All Positional Stats'!$A$32,INDIRECT("'"&amp;$A41&amp;"'!$A$1:$A$30"),0),MATCH('All Positional Stats'!V$31,INDIRECT("'"&amp;$A41&amp;"'!$A$1:$W$1"),0))</f>
        <v>5.4</v>
      </c>
      <c r="W41" s="1">
        <f t="shared" ca="1" si="56"/>
        <v>9</v>
      </c>
      <c r="X41" s="1">
        <f ca="1">INDEX(INDIRECT("'"&amp;$A41&amp;"'!$A$1:$W$30"),MATCH('All Positional Stats'!$A$32,INDIRECT("'"&amp;$A41&amp;"'!$A$1:$A$30"),0),MATCH('All Positional Stats'!X$31,INDIRECT("'"&amp;$A41&amp;"'!$A$1:$W$1"),0))</f>
        <v>5.8</v>
      </c>
      <c r="Y41" s="1">
        <f t="shared" ca="1" si="56"/>
        <v>9</v>
      </c>
      <c r="Z41" s="1">
        <f ca="1">INDEX(INDIRECT("'"&amp;$A41&amp;"'!$A$1:$W$30"),MATCH('All Positional Stats'!$A$32,INDIRECT("'"&amp;$A41&amp;"'!$A$1:$A$30"),0),MATCH('All Positional Stats'!Z$31,INDIRECT("'"&amp;$A41&amp;"'!$A$1:$W$1"),0))</f>
        <v>12</v>
      </c>
      <c r="AA41" s="1">
        <f t="shared" ca="1" si="56"/>
        <v>6</v>
      </c>
      <c r="AB41" s="1">
        <f ca="1">INDEX(INDIRECT("'"&amp;$A41&amp;"'!$A$1:$W$30"),MATCH('All Positional Stats'!$A$32,INDIRECT("'"&amp;$A41&amp;"'!$A$1:$A$30"),0),MATCH('All Positional Stats'!AB$31,INDIRECT("'"&amp;$A41&amp;"'!$A$1:$W$1"),0))</f>
        <v>10</v>
      </c>
      <c r="AC41" s="1">
        <f t="shared" ca="1" si="56"/>
        <v>9</v>
      </c>
      <c r="AD41" s="1">
        <f ca="1">INDEX(INDIRECT("'"&amp;$A41&amp;"'!$A$1:$W$30"),MATCH('All Positional Stats'!$A$32,INDIRECT("'"&amp;$A41&amp;"'!$A$1:$A$30"),0),MATCH('All Positional Stats'!AD$31,INDIRECT("'"&amp;$A41&amp;"'!$A$1:$W$1"),0))</f>
        <v>6.3</v>
      </c>
      <c r="AE41" s="1">
        <f t="shared" ca="1" si="56"/>
        <v>10</v>
      </c>
      <c r="AF41" s="1">
        <f ca="1">INDEX(INDIRECT("'"&amp;$A41&amp;"'!$A$1:$W$30"),MATCH('All Positional Stats'!$A$32,INDIRECT("'"&amp;$A41&amp;"'!$A$1:$A$30"),0),MATCH('All Positional Stats'!AF$31,INDIRECT("'"&amp;$A41&amp;"'!$A$1:$W$1"),0))</f>
        <v>20.5</v>
      </c>
      <c r="AG41" s="1">
        <f t="shared" ca="1" si="56"/>
        <v>3</v>
      </c>
      <c r="AH41" s="1">
        <f ca="1">INDEX(INDIRECT("'"&amp;$A41&amp;"'!$A$1:$W$30"),MATCH('All Positional Stats'!$A$32,INDIRECT("'"&amp;$A41&amp;"'!$A$1:$A$30"),0),MATCH('All Positional Stats'!AH$31,INDIRECT("'"&amp;$A41&amp;"'!$A$1:$W$1"),0))</f>
        <v>0.7</v>
      </c>
      <c r="AI41" s="1">
        <f ca="1">INDEX(INDIRECT("'"&amp;$A41&amp;"'!$A$1:$W$30"),MATCH('All Positional Stats'!$A$32,INDIRECT("'"&amp;$A41&amp;"'!$A$1:$A$30"),0),MATCH('All Positional Stats'!AI$31,INDIRECT("'"&amp;$A41&amp;"'!$A$1:$W$1"),0))</f>
        <v>27</v>
      </c>
      <c r="AJ41" s="7">
        <f ca="1">INDEX(INDIRECT("'"&amp;$A41&amp;"'!$A$1:$W$30"),MATCH('All Positional Stats'!$A$32,INDIRECT("'"&amp;$A41&amp;"'!$A$1:$A$30"),0),MATCH('All Positional Stats'!AJ$31,INDIRECT("'"&amp;$A41&amp;"'!$A$1:$W$1"),0))</f>
        <v>8.8937500000000007</v>
      </c>
      <c r="AK41" s="7">
        <f ca="1">INDEX(INDIRECT("'"&amp;$A41&amp;"'!$A$1:$W$30"),MATCH('All Positional Stats'!$A$32,INDIRECT("'"&amp;$A41&amp;"'!$A$1:$A$30"),0),MATCH('All Positional Stats'!AK$31,INDIRECT("'"&amp;$A41&amp;"'!$A$1:$W$1"),0))</f>
        <v>6.7855055771475135</v>
      </c>
      <c r="AL41" s="7">
        <f ca="1">INDEX(INDIRECT("'"&amp;$A41&amp;"'!$A$1:$W$30"),MATCH('All Positional Stats'!$A$32,INDIRECT("'"&amp;$A41&amp;"'!$A$1:$A$30"),0),MATCH('All Positional Stats'!AL$31,INDIRECT("'"&amp;$A41&amp;"'!$A$1:$W$1"),0))</f>
        <v>142.30000000000001</v>
      </c>
      <c r="AM41" s="6">
        <f ca="1">INDEX(INDIRECT("'"&amp;$A41&amp;"'!$A$1:$W$30"),MATCH('All Positional Stats'!$A$32,INDIRECT("'"&amp;$A41&amp;"'!$A$1:$A$30"),0),MATCH('All Positional Stats'!AM$31,INDIRECT("'"&amp;$A41&amp;"'!$A$1:$W$1"),0))</f>
        <v>0.10248469571480016</v>
      </c>
      <c r="AN41" s="9">
        <f t="shared" ca="1" si="54"/>
        <v>105.5</v>
      </c>
      <c r="AO41" s="8">
        <f t="shared" ca="1" si="55"/>
        <v>11</v>
      </c>
    </row>
    <row r="42" spans="1:41" ht="16.25" thickTop="1" thickBot="1" x14ac:dyDescent="0.9">
      <c r="A42" s="1" t="s">
        <v>10</v>
      </c>
      <c r="B42" s="1">
        <f ca="1">INDEX(INDIRECT("'"&amp;$A42&amp;"'!$A$1:$W$30"),MATCH('All Positional Stats'!$A$32,INDIRECT("'"&amp;$A42&amp;"'!$A$1:$A$30"),0),MATCH('All Positional Stats'!B$31,INDIRECT("'"&amp;$A42&amp;"'!$A$1:$W$1"),0))</f>
        <v>9</v>
      </c>
      <c r="C42" s="1">
        <f t="shared" ca="1" si="53"/>
        <v>7</v>
      </c>
      <c r="D42" s="1">
        <f ca="1">INDEX(INDIRECT("'"&amp;$A42&amp;"'!$A$1:$W$30"),MATCH('All Positional Stats'!$A$32,INDIRECT("'"&amp;$A42&amp;"'!$A$1:$A$30"),0),MATCH('All Positional Stats'!D$31,INDIRECT("'"&amp;$A42&amp;"'!$A$1:$W$1"),0))</f>
        <v>6.4</v>
      </c>
      <c r="E42" s="1">
        <f t="shared" ca="1" si="56"/>
        <v>12</v>
      </c>
      <c r="F42" s="1">
        <f ca="1">INDEX(INDIRECT("'"&amp;$A42&amp;"'!$A$1:$W$30"),MATCH('All Positional Stats'!$A$32,INDIRECT("'"&amp;$A42&amp;"'!$A$1:$A$30"),0),MATCH('All Positional Stats'!F$31,INDIRECT("'"&amp;$A42&amp;"'!$A$1:$W$1"),0))</f>
        <v>2.6</v>
      </c>
      <c r="G42" s="1">
        <f t="shared" ca="1" si="56"/>
        <v>11</v>
      </c>
      <c r="H42" s="1">
        <f ca="1">INDEX(INDIRECT("'"&amp;$A42&amp;"'!$A$1:$W$30"),MATCH('All Positional Stats'!$A$32,INDIRECT("'"&amp;$A42&amp;"'!$A$1:$A$30"),0),MATCH('All Positional Stats'!H$31,INDIRECT("'"&amp;$A42&amp;"'!$A$1:$W$1"),0))</f>
        <v>5.9</v>
      </c>
      <c r="I42" s="1">
        <f t="shared" ca="1" si="56"/>
        <v>11</v>
      </c>
      <c r="J42" s="1">
        <f ca="1">INDEX(INDIRECT("'"&amp;$A42&amp;"'!$A$1:$W$30"),MATCH('All Positional Stats'!$A$32,INDIRECT("'"&amp;$A42&amp;"'!$A$1:$A$30"),0),MATCH('All Positional Stats'!J$31,INDIRECT("'"&amp;$A42&amp;"'!$A$1:$W$1"),0))</f>
        <v>6.9</v>
      </c>
      <c r="K42" s="1">
        <f t="shared" ca="1" si="56"/>
        <v>8</v>
      </c>
      <c r="L42" s="1">
        <f ca="1">INDEX(INDIRECT("'"&amp;$A42&amp;"'!$A$1:$W$30"),MATCH('All Positional Stats'!$A$32,INDIRECT("'"&amp;$A42&amp;"'!$A$1:$A$30"),0),MATCH('All Positional Stats'!L$31,INDIRECT("'"&amp;$A42&amp;"'!$A$1:$W$1"),0))</f>
        <v>17.399999999999999</v>
      </c>
      <c r="M42" s="1">
        <f t="shared" ca="1" si="56"/>
        <v>3</v>
      </c>
      <c r="N42" s="1">
        <f ca="1">INDEX(INDIRECT("'"&amp;$A42&amp;"'!$A$1:$W$30"),MATCH('All Positional Stats'!$A$32,INDIRECT("'"&amp;$A42&amp;"'!$A$1:$A$30"),0),MATCH('All Positional Stats'!N$31,INDIRECT("'"&amp;$A42&amp;"'!$A$1:$W$1"),0))</f>
        <v>3.4</v>
      </c>
      <c r="O42" s="1">
        <f t="shared" ca="1" si="56"/>
        <v>11</v>
      </c>
      <c r="P42" s="1">
        <f ca="1">INDEX(INDIRECT("'"&amp;$A42&amp;"'!$A$1:$W$30"),MATCH('All Positional Stats'!$A$32,INDIRECT("'"&amp;$A42&amp;"'!$A$1:$A$30"),0),MATCH('All Positional Stats'!P$31,INDIRECT("'"&amp;$A42&amp;"'!$A$1:$W$1"),0))</f>
        <v>6.1</v>
      </c>
      <c r="Q42" s="1">
        <f t="shared" ca="1" si="56"/>
        <v>9</v>
      </c>
      <c r="R42" s="1">
        <f ca="1">INDEX(INDIRECT("'"&amp;$A42&amp;"'!$A$1:$W$30"),MATCH('All Positional Stats'!$A$32,INDIRECT("'"&amp;$A42&amp;"'!$A$1:$A$30"),0),MATCH('All Positional Stats'!R$31,INDIRECT("'"&amp;$A42&amp;"'!$A$1:$W$1"),0))</f>
        <v>17.899999999999999</v>
      </c>
      <c r="S42" s="1">
        <f t="shared" ca="1" si="56"/>
        <v>1</v>
      </c>
      <c r="T42" s="1">
        <f ca="1">INDEX(INDIRECT("'"&amp;$A42&amp;"'!$A$1:$W$30"),MATCH('All Positional Stats'!$A$32,INDIRECT("'"&amp;$A42&amp;"'!$A$1:$A$30"),0),MATCH('All Positional Stats'!T$31,INDIRECT("'"&amp;$A42&amp;"'!$A$1:$W$1"),0))</f>
        <v>5.2</v>
      </c>
      <c r="U42" s="1">
        <f t="shared" ca="1" si="56"/>
        <v>8</v>
      </c>
      <c r="V42" s="1">
        <f ca="1">INDEX(INDIRECT("'"&amp;$A42&amp;"'!$A$1:$W$30"),MATCH('All Positional Stats'!$A$32,INDIRECT("'"&amp;$A42&amp;"'!$A$1:$A$30"),0),MATCH('All Positional Stats'!V$31,INDIRECT("'"&amp;$A42&amp;"'!$A$1:$W$1"),0))</f>
        <v>10.6</v>
      </c>
      <c r="W42" s="1">
        <f t="shared" ca="1" si="56"/>
        <v>5</v>
      </c>
      <c r="X42" s="1">
        <f ca="1">INDEX(INDIRECT("'"&amp;$A42&amp;"'!$A$1:$W$30"),MATCH('All Positional Stats'!$A$32,INDIRECT("'"&amp;$A42&amp;"'!$A$1:$A$30"),0),MATCH('All Positional Stats'!X$31,INDIRECT("'"&amp;$A42&amp;"'!$A$1:$W$1"),0))</f>
        <v>10.7</v>
      </c>
      <c r="Y42" s="1">
        <f t="shared" ca="1" si="56"/>
        <v>6</v>
      </c>
      <c r="Z42" s="1">
        <f ca="1">INDEX(INDIRECT("'"&amp;$A42&amp;"'!$A$1:$W$30"),MATCH('All Positional Stats'!$A$32,INDIRECT("'"&amp;$A42&amp;"'!$A$1:$A$30"),0),MATCH('All Positional Stats'!Z$31,INDIRECT("'"&amp;$A42&amp;"'!$A$1:$W$1"),0))</f>
        <v>13.4</v>
      </c>
      <c r="AA42" s="1">
        <f t="shared" ca="1" si="56"/>
        <v>5</v>
      </c>
      <c r="AB42" s="1">
        <f ca="1">INDEX(INDIRECT("'"&amp;$A42&amp;"'!$A$1:$W$30"),MATCH('All Positional Stats'!$A$32,INDIRECT("'"&amp;$A42&amp;"'!$A$1:$A$30"),0),MATCH('All Positional Stats'!AB$31,INDIRECT("'"&amp;$A42&amp;"'!$A$1:$W$1"),0))</f>
        <v>6.8</v>
      </c>
      <c r="AC42" s="1">
        <f t="shared" ca="1" si="56"/>
        <v>12</v>
      </c>
      <c r="AD42" s="1">
        <f ca="1">INDEX(INDIRECT("'"&amp;$A42&amp;"'!$A$1:$W$30"),MATCH('All Positional Stats'!$A$32,INDIRECT("'"&amp;$A42&amp;"'!$A$1:$A$30"),0),MATCH('All Positional Stats'!AD$31,INDIRECT("'"&amp;$A42&amp;"'!$A$1:$W$1"),0))</f>
        <v>9.9</v>
      </c>
      <c r="AE42" s="1">
        <f t="shared" ca="1" si="56"/>
        <v>6</v>
      </c>
      <c r="AF42" s="1">
        <f ca="1">INDEX(INDIRECT("'"&amp;$A42&amp;"'!$A$1:$W$30"),MATCH('All Positional Stats'!$A$32,INDIRECT("'"&amp;$A42&amp;"'!$A$1:$A$30"),0),MATCH('All Positional Stats'!AF$31,INDIRECT("'"&amp;$A42&amp;"'!$A$1:$W$1"),0))</f>
        <v>12.3</v>
      </c>
      <c r="AG42" s="1">
        <f t="shared" ca="1" si="56"/>
        <v>9</v>
      </c>
      <c r="AH42" s="1">
        <f ca="1">INDEX(INDIRECT("'"&amp;$A42&amp;"'!$A$1:$W$30"),MATCH('All Positional Stats'!$A$32,INDIRECT("'"&amp;$A42&amp;"'!$A$1:$A$30"),0),MATCH('All Positional Stats'!AH$31,INDIRECT("'"&amp;$A42&amp;"'!$A$1:$W$1"),0))</f>
        <v>2.6</v>
      </c>
      <c r="AI42" s="1">
        <f ca="1">INDEX(INDIRECT("'"&amp;$A42&amp;"'!$A$1:$W$30"),MATCH('All Positional Stats'!$A$32,INDIRECT("'"&amp;$A42&amp;"'!$A$1:$A$30"),0),MATCH('All Positional Stats'!AI$31,INDIRECT("'"&amp;$A42&amp;"'!$A$1:$W$1"),0))</f>
        <v>17.899999999999999</v>
      </c>
      <c r="AJ42" s="7">
        <f ca="1">INDEX(INDIRECT("'"&amp;$A42&amp;"'!$A$1:$W$30"),MATCH('All Positional Stats'!$A$32,INDIRECT("'"&amp;$A42&amp;"'!$A$1:$A$30"),0),MATCH('All Positional Stats'!AJ$31,INDIRECT("'"&amp;$A42&amp;"'!$A$1:$W$1"),0))</f>
        <v>9.03125</v>
      </c>
      <c r="AK42" s="7">
        <f ca="1">INDEX(INDIRECT("'"&amp;$A42&amp;"'!$A$1:$W$30"),MATCH('All Positional Stats'!$A$32,INDIRECT("'"&amp;$A42&amp;"'!$A$1:$A$30"),0),MATCH('All Positional Stats'!AK$31,INDIRECT("'"&amp;$A42&amp;"'!$A$1:$W$1"),0))</f>
        <v>4.3807417679543699</v>
      </c>
      <c r="AL42" s="7">
        <f ca="1">INDEX(INDIRECT("'"&amp;$A42&amp;"'!$A$1:$W$30"),MATCH('All Positional Stats'!$A$32,INDIRECT("'"&amp;$A42&amp;"'!$A$1:$A$30"),0),MATCH('All Positional Stats'!AL$31,INDIRECT("'"&amp;$A42&amp;"'!$A$1:$W$1"),0))</f>
        <v>144.5</v>
      </c>
      <c r="AM42" s="6">
        <f ca="1">INDEX(INDIRECT("'"&amp;$A42&amp;"'!$A$1:$W$30"),MATCH('All Positional Stats'!$A$32,INDIRECT("'"&amp;$A42&amp;"'!$A$1:$A$30"),0),MATCH('All Positional Stats'!AM$31,INDIRECT("'"&amp;$A42&amp;"'!$A$1:$W$1"),0))</f>
        <v>9.6707268103332883E-2</v>
      </c>
      <c r="AN42" s="9">
        <f t="shared" ca="1" si="54"/>
        <v>115.5</v>
      </c>
      <c r="AO42" s="8">
        <f t="shared" ca="1" si="55"/>
        <v>7</v>
      </c>
    </row>
    <row r="43" spans="1:41" ht="16.25" thickTop="1" thickBot="1" x14ac:dyDescent="0.9">
      <c r="A43" s="1" t="s">
        <v>11</v>
      </c>
      <c r="B43" s="1">
        <f ca="1">INDEX(INDIRECT("'"&amp;$A43&amp;"'!$A$1:$W$30"),MATCH('All Positional Stats'!$A$32,INDIRECT("'"&amp;$A43&amp;"'!$A$1:$A$30"),0),MATCH('All Positional Stats'!B$31,INDIRECT("'"&amp;$A43&amp;"'!$A$1:$W$1"),0))</f>
        <v>43.1</v>
      </c>
      <c r="C43" s="1">
        <f t="shared" ca="1" si="53"/>
        <v>1</v>
      </c>
      <c r="D43" s="1">
        <f ca="1">INDEX(INDIRECT("'"&amp;$A43&amp;"'!$A$1:$W$30"),MATCH('All Positional Stats'!$A$32,INDIRECT("'"&amp;$A43&amp;"'!$A$1:$A$30"),0),MATCH('All Positional Stats'!D$31,INDIRECT("'"&amp;$A43&amp;"'!$A$1:$W$1"),0))</f>
        <v>24.4</v>
      </c>
      <c r="E43" s="1">
        <f t="shared" ca="1" si="56"/>
        <v>3</v>
      </c>
      <c r="F43" s="1">
        <f ca="1">INDEX(INDIRECT("'"&amp;$A43&amp;"'!$A$1:$W$30"),MATCH('All Positional Stats'!$A$32,INDIRECT("'"&amp;$A43&amp;"'!$A$1:$A$30"),0),MATCH('All Positional Stats'!F$31,INDIRECT("'"&amp;$A43&amp;"'!$A$1:$W$1"),0))</f>
        <v>24.8</v>
      </c>
      <c r="G43" s="1">
        <f t="shared" ca="1" si="56"/>
        <v>2</v>
      </c>
      <c r="H43" s="1">
        <f ca="1">INDEX(INDIRECT("'"&amp;$A43&amp;"'!$A$1:$W$30"),MATCH('All Positional Stats'!$A$32,INDIRECT("'"&amp;$A43&amp;"'!$A$1:$A$30"),0),MATCH('All Positional Stats'!H$31,INDIRECT("'"&amp;$A43&amp;"'!$A$1:$W$1"),0))</f>
        <v>14.1</v>
      </c>
      <c r="I43" s="1">
        <f t="shared" ca="1" si="56"/>
        <v>4</v>
      </c>
      <c r="J43" s="1">
        <f ca="1">INDEX(INDIRECT("'"&amp;$A43&amp;"'!$A$1:$W$30"),MATCH('All Positional Stats'!$A$32,INDIRECT("'"&amp;$A43&amp;"'!$A$1:$A$30"),0),MATCH('All Positional Stats'!J$31,INDIRECT("'"&amp;$A43&amp;"'!$A$1:$W$1"),0))</f>
        <v>13.1</v>
      </c>
      <c r="K43" s="1">
        <f t="shared" ca="1" si="56"/>
        <v>3</v>
      </c>
      <c r="L43" s="1">
        <f ca="1">INDEX(INDIRECT("'"&amp;$A43&amp;"'!$A$1:$W$30"),MATCH('All Positional Stats'!$A$32,INDIRECT("'"&amp;$A43&amp;"'!$A$1:$A$30"),0),MATCH('All Positional Stats'!L$31,INDIRECT("'"&amp;$A43&amp;"'!$A$1:$W$1"),0))</f>
        <v>10.199999999999999</v>
      </c>
      <c r="M43" s="1">
        <f t="shared" ca="1" si="56"/>
        <v>5</v>
      </c>
      <c r="N43" s="1">
        <f ca="1">INDEX(INDIRECT("'"&amp;$A43&amp;"'!$A$1:$W$30"),MATCH('All Positional Stats'!$A$32,INDIRECT("'"&amp;$A43&amp;"'!$A$1:$A$30"),0),MATCH('All Positional Stats'!N$31,INDIRECT("'"&amp;$A43&amp;"'!$A$1:$W$1"),0))</f>
        <v>13.7</v>
      </c>
      <c r="O43" s="1">
        <f t="shared" ca="1" si="56"/>
        <v>3</v>
      </c>
      <c r="P43" s="1">
        <f ca="1">INDEX(INDIRECT("'"&amp;$A43&amp;"'!$A$1:$W$30"),MATCH('All Positional Stats'!$A$32,INDIRECT("'"&amp;$A43&amp;"'!$A$1:$A$30"),0),MATCH('All Positional Stats'!P$31,INDIRECT("'"&amp;$A43&amp;"'!$A$1:$W$1"),0))</f>
        <v>8.3000000000000007</v>
      </c>
      <c r="Q43" s="1">
        <f t="shared" ca="1" si="56"/>
        <v>4</v>
      </c>
      <c r="R43" s="1">
        <f ca="1">INDEX(INDIRECT("'"&amp;$A43&amp;"'!$A$1:$W$30"),MATCH('All Positional Stats'!$A$32,INDIRECT("'"&amp;$A43&amp;"'!$A$1:$A$30"),0),MATCH('All Positional Stats'!R$31,INDIRECT("'"&amp;$A43&amp;"'!$A$1:$W$1"),0))</f>
        <v>8.1</v>
      </c>
      <c r="S43" s="1">
        <f t="shared" ca="1" si="56"/>
        <v>8</v>
      </c>
      <c r="T43" s="1">
        <f ca="1">INDEX(INDIRECT("'"&amp;$A43&amp;"'!$A$1:$W$30"),MATCH('All Positional Stats'!$A$32,INDIRECT("'"&amp;$A43&amp;"'!$A$1:$A$30"),0),MATCH('All Positional Stats'!T$31,INDIRECT("'"&amp;$A43&amp;"'!$A$1:$W$1"),0))</f>
        <v>22.3</v>
      </c>
      <c r="U43" s="1">
        <f t="shared" ca="1" si="56"/>
        <v>2</v>
      </c>
      <c r="V43" s="1">
        <f ca="1">INDEX(INDIRECT("'"&amp;$A43&amp;"'!$A$1:$W$30"),MATCH('All Positional Stats'!$A$32,INDIRECT("'"&amp;$A43&amp;"'!$A$1:$A$30"),0),MATCH('All Positional Stats'!V$31,INDIRECT("'"&amp;$A43&amp;"'!$A$1:$W$1"),0))</f>
        <v>9.1999999999999993</v>
      </c>
      <c r="W43" s="1">
        <f t="shared" ca="1" si="56"/>
        <v>7</v>
      </c>
      <c r="X43" s="1">
        <f ca="1">INDEX(INDIRECT("'"&amp;$A43&amp;"'!$A$1:$W$30"),MATCH('All Positional Stats'!$A$32,INDIRECT("'"&amp;$A43&amp;"'!$A$1:$A$30"),0),MATCH('All Positional Stats'!X$31,INDIRECT("'"&amp;$A43&amp;"'!$A$1:$W$1"),0))</f>
        <v>3.1</v>
      </c>
      <c r="Y43" s="1">
        <f t="shared" ca="1" si="56"/>
        <v>12</v>
      </c>
      <c r="Z43" s="1">
        <f ca="1">INDEX(INDIRECT("'"&amp;$A43&amp;"'!$A$1:$W$30"),MATCH('All Positional Stats'!$A$32,INDIRECT("'"&amp;$A43&amp;"'!$A$1:$A$30"),0),MATCH('All Positional Stats'!Z$31,INDIRECT("'"&amp;$A43&amp;"'!$A$1:$W$1"),0))</f>
        <v>7.8</v>
      </c>
      <c r="AA43" s="1">
        <f t="shared" ca="1" si="56"/>
        <v>10</v>
      </c>
      <c r="AB43" s="1">
        <f ca="1">INDEX(INDIRECT("'"&amp;$A43&amp;"'!$A$1:$W$30"),MATCH('All Positional Stats'!$A$32,INDIRECT("'"&amp;$A43&amp;"'!$A$1:$A$30"),0),MATCH('All Positional Stats'!AB$31,INDIRECT("'"&amp;$A43&amp;"'!$A$1:$W$1"),0))</f>
        <v>21.3</v>
      </c>
      <c r="AC43" s="1">
        <f t="shared" ca="1" si="56"/>
        <v>3</v>
      </c>
      <c r="AD43" s="1">
        <f ca="1">INDEX(INDIRECT("'"&amp;$A43&amp;"'!$A$1:$W$30"),MATCH('All Positional Stats'!$A$32,INDIRECT("'"&amp;$A43&amp;"'!$A$1:$A$30"),0),MATCH('All Positional Stats'!AD$31,INDIRECT("'"&amp;$A43&amp;"'!$A$1:$W$1"),0))</f>
        <v>36.1</v>
      </c>
      <c r="AE43" s="1">
        <f t="shared" ca="1" si="56"/>
        <v>1</v>
      </c>
      <c r="AF43" s="1">
        <f ca="1">INDEX(INDIRECT("'"&amp;$A43&amp;"'!$A$1:$W$30"),MATCH('All Positional Stats'!$A$32,INDIRECT("'"&amp;$A43&amp;"'!$A$1:$A$30"),0),MATCH('All Positional Stats'!AF$31,INDIRECT("'"&amp;$A43&amp;"'!$A$1:$W$1"),0))</f>
        <v>18.600000000000001</v>
      </c>
      <c r="AG43" s="1">
        <f t="shared" ca="1" si="56"/>
        <v>4</v>
      </c>
      <c r="AH43" s="1">
        <f ca="1">INDEX(INDIRECT("'"&amp;$A43&amp;"'!$A$1:$W$30"),MATCH('All Positional Stats'!$A$32,INDIRECT("'"&amp;$A43&amp;"'!$A$1:$A$30"),0),MATCH('All Positional Stats'!AH$31,INDIRECT("'"&amp;$A43&amp;"'!$A$1:$W$1"),0))</f>
        <v>3.1</v>
      </c>
      <c r="AI43" s="1">
        <f ca="1">INDEX(INDIRECT("'"&amp;$A43&amp;"'!$A$1:$W$30"),MATCH('All Positional Stats'!$A$32,INDIRECT("'"&amp;$A43&amp;"'!$A$1:$A$30"),0),MATCH('All Positional Stats'!AI$31,INDIRECT("'"&amp;$A43&amp;"'!$A$1:$W$1"),0))</f>
        <v>43.1</v>
      </c>
      <c r="AJ43" s="7">
        <f ca="1">INDEX(INDIRECT("'"&amp;$A43&amp;"'!$A$1:$W$30"),MATCH('All Positional Stats'!$A$32,INDIRECT("'"&amp;$A43&amp;"'!$A$1:$A$30"),0),MATCH('All Positional Stats'!AJ$31,INDIRECT("'"&amp;$A43&amp;"'!$A$1:$W$1"),0))</f>
        <v>17.387500000000003</v>
      </c>
      <c r="AK43" s="7">
        <f ca="1">INDEX(INDIRECT("'"&amp;$A43&amp;"'!$A$1:$W$30"),MATCH('All Positional Stats'!$A$32,INDIRECT("'"&amp;$A43&amp;"'!$A$1:$A$30"),0),MATCH('All Positional Stats'!AK$31,INDIRECT("'"&amp;$A43&amp;"'!$A$1:$W$1"),0))</f>
        <v>10.555500639477032</v>
      </c>
      <c r="AL43" s="7">
        <f ca="1">INDEX(INDIRECT("'"&amp;$A43&amp;"'!$A$1:$W$30"),MATCH('All Positional Stats'!$A$32,INDIRECT("'"&amp;$A43&amp;"'!$A$1:$A$30"),0),MATCH('All Positional Stats'!AL$31,INDIRECT("'"&amp;$A43&amp;"'!$A$1:$W$1"),0))</f>
        <v>278.20000000000005</v>
      </c>
      <c r="AM43" s="6">
        <f ca="1">INDEX(INDIRECT("'"&amp;$A43&amp;"'!$A$1:$W$30"),MATCH('All Positional Stats'!$A$32,INDIRECT("'"&amp;$A43&amp;"'!$A$1:$A$30"),0),MATCH('All Positional Stats'!AM$31,INDIRECT("'"&amp;$A43&amp;"'!$A$1:$W$1"),0))</f>
        <v>0.16461538461538464</v>
      </c>
      <c r="AN43" s="9">
        <f t="shared" ca="1" si="54"/>
        <v>202.2</v>
      </c>
      <c r="AO43" s="8">
        <f t="shared" ca="1" si="55"/>
        <v>1</v>
      </c>
    </row>
    <row r="44" spans="1:41" ht="16.25" thickTop="1" thickBot="1" x14ac:dyDescent="0.9">
      <c r="A44" s="1" t="s">
        <v>12</v>
      </c>
      <c r="B44" s="1">
        <f ca="1">INDEX(INDIRECT("'"&amp;$A44&amp;"'!$A$1:$W$30"),MATCH('All Positional Stats'!$A$32,INDIRECT("'"&amp;$A44&amp;"'!$A$1:$A$30"),0),MATCH('All Positional Stats'!B$31,INDIRECT("'"&amp;$A44&amp;"'!$A$1:$W$1"),0))</f>
        <v>3</v>
      </c>
      <c r="C44" s="1">
        <f t="shared" ca="1" si="53"/>
        <v>11</v>
      </c>
      <c r="D44" s="1">
        <f ca="1">INDEX(INDIRECT("'"&amp;$A44&amp;"'!$A$1:$W$30"),MATCH('All Positional Stats'!$A$32,INDIRECT("'"&amp;$A44&amp;"'!$A$1:$A$30"),0),MATCH('All Positional Stats'!D$31,INDIRECT("'"&amp;$A44&amp;"'!$A$1:$W$1"),0))</f>
        <v>9.5</v>
      </c>
      <c r="E44" s="1">
        <f t="shared" ca="1" si="56"/>
        <v>8</v>
      </c>
      <c r="F44" s="1">
        <f ca="1">INDEX(INDIRECT("'"&amp;$A44&amp;"'!$A$1:$W$30"),MATCH('All Positional Stats'!$A$32,INDIRECT("'"&amp;$A44&amp;"'!$A$1:$A$30"),0),MATCH('All Positional Stats'!F$31,INDIRECT("'"&amp;$A44&amp;"'!$A$1:$W$1"),0))</f>
        <v>19.399999999999999</v>
      </c>
      <c r="G44" s="1">
        <f t="shared" ca="1" si="56"/>
        <v>4</v>
      </c>
      <c r="H44" s="1">
        <f ca="1">INDEX(INDIRECT("'"&amp;$A44&amp;"'!$A$1:$W$30"),MATCH('All Positional Stats'!$A$32,INDIRECT("'"&amp;$A44&amp;"'!$A$1:$A$30"),0),MATCH('All Positional Stats'!H$31,INDIRECT("'"&amp;$A44&amp;"'!$A$1:$W$1"),0))</f>
        <v>16.5</v>
      </c>
      <c r="I44" s="1">
        <f t="shared" ca="1" si="56"/>
        <v>2</v>
      </c>
      <c r="J44" s="1">
        <f ca="1">INDEX(INDIRECT("'"&amp;$A44&amp;"'!$A$1:$W$30"),MATCH('All Positional Stats'!$A$32,INDIRECT("'"&amp;$A44&amp;"'!$A$1:$A$30"),0),MATCH('All Positional Stats'!J$31,INDIRECT("'"&amp;$A44&amp;"'!$A$1:$W$1"),0))</f>
        <v>15.8</v>
      </c>
      <c r="K44" s="1">
        <f t="shared" ca="1" si="56"/>
        <v>2</v>
      </c>
      <c r="L44" s="1">
        <f ca="1">INDEX(INDIRECT("'"&amp;$A44&amp;"'!$A$1:$W$30"),MATCH('All Positional Stats'!$A$32,INDIRECT("'"&amp;$A44&amp;"'!$A$1:$A$30"),0),MATCH('All Positional Stats'!L$31,INDIRECT("'"&amp;$A44&amp;"'!$A$1:$W$1"),0))</f>
        <v>5.4</v>
      </c>
      <c r="M44" s="1">
        <f t="shared" ca="1" si="56"/>
        <v>8</v>
      </c>
      <c r="N44" s="1">
        <f ca="1">INDEX(INDIRECT("'"&amp;$A44&amp;"'!$A$1:$W$30"),MATCH('All Positional Stats'!$A$32,INDIRECT("'"&amp;$A44&amp;"'!$A$1:$A$30"),0),MATCH('All Positional Stats'!N$31,INDIRECT("'"&amp;$A44&amp;"'!$A$1:$W$1"),0))</f>
        <v>10.1</v>
      </c>
      <c r="O44" s="1">
        <f t="shared" ca="1" si="56"/>
        <v>5</v>
      </c>
      <c r="P44" s="1">
        <f ca="1">INDEX(INDIRECT("'"&amp;$A44&amp;"'!$A$1:$W$30"),MATCH('All Positional Stats'!$A$32,INDIRECT("'"&amp;$A44&amp;"'!$A$1:$A$30"),0),MATCH('All Positional Stats'!P$31,INDIRECT("'"&amp;$A44&amp;"'!$A$1:$W$1"),0))</f>
        <v>6.3</v>
      </c>
      <c r="Q44" s="1">
        <f t="shared" ca="1" si="56"/>
        <v>8</v>
      </c>
      <c r="R44" s="1">
        <f ca="1">INDEX(INDIRECT("'"&amp;$A44&amp;"'!$A$1:$W$30"),MATCH('All Positional Stats'!$A$32,INDIRECT("'"&amp;$A44&amp;"'!$A$1:$A$30"),0),MATCH('All Positional Stats'!R$31,INDIRECT("'"&amp;$A44&amp;"'!$A$1:$W$1"),0))</f>
        <v>15.1</v>
      </c>
      <c r="S44" s="1">
        <f t="shared" ca="1" si="56"/>
        <v>5</v>
      </c>
      <c r="T44" s="1">
        <f ca="1">INDEX(INDIRECT("'"&amp;$A44&amp;"'!$A$1:$W$30"),MATCH('All Positional Stats'!$A$32,INDIRECT("'"&amp;$A44&amp;"'!$A$1:$A$30"),0),MATCH('All Positional Stats'!T$31,INDIRECT("'"&amp;$A44&amp;"'!$A$1:$W$1"),0))</f>
        <v>11.8</v>
      </c>
      <c r="U44" s="1">
        <f t="shared" ca="1" si="56"/>
        <v>3</v>
      </c>
      <c r="V44" s="1">
        <f ca="1">INDEX(INDIRECT("'"&amp;$A44&amp;"'!$A$1:$W$30"),MATCH('All Positional Stats'!$A$32,INDIRECT("'"&amp;$A44&amp;"'!$A$1:$A$30"),0),MATCH('All Positional Stats'!V$31,INDIRECT("'"&amp;$A44&amp;"'!$A$1:$W$1"),0))</f>
        <v>14.6</v>
      </c>
      <c r="W44" s="1">
        <f t="shared" ca="1" si="56"/>
        <v>3</v>
      </c>
      <c r="X44" s="1">
        <f ca="1">INDEX(INDIRECT("'"&amp;$A44&amp;"'!$A$1:$W$30"),MATCH('All Positional Stats'!$A$32,INDIRECT("'"&amp;$A44&amp;"'!$A$1:$A$30"),0),MATCH('All Positional Stats'!X$31,INDIRECT("'"&amp;$A44&amp;"'!$A$1:$W$1"),0))</f>
        <v>8.6999999999999993</v>
      </c>
      <c r="Y44" s="1">
        <f t="shared" ca="1" si="56"/>
        <v>7</v>
      </c>
      <c r="Z44" s="1">
        <f ca="1">INDEX(INDIRECT("'"&amp;$A44&amp;"'!$A$1:$W$30"),MATCH('All Positional Stats'!$A$32,INDIRECT("'"&amp;$A44&amp;"'!$A$1:$A$30"),0),MATCH('All Positional Stats'!Z$31,INDIRECT("'"&amp;$A44&amp;"'!$A$1:$W$1"),0))</f>
        <v>2.2000000000000002</v>
      </c>
      <c r="AA44" s="1">
        <f t="shared" ca="1" si="56"/>
        <v>11</v>
      </c>
      <c r="AB44" s="1">
        <f ca="1">INDEX(INDIRECT("'"&amp;$A44&amp;"'!$A$1:$W$30"),MATCH('All Positional Stats'!$A$32,INDIRECT("'"&amp;$A44&amp;"'!$A$1:$A$30"),0),MATCH('All Positional Stats'!AB$31,INDIRECT("'"&amp;$A44&amp;"'!$A$1:$W$1"),0))</f>
        <v>12.9</v>
      </c>
      <c r="AC44" s="1">
        <f t="shared" ca="1" si="56"/>
        <v>7</v>
      </c>
      <c r="AD44" s="1">
        <f ca="1">INDEX(INDIRECT("'"&amp;$A44&amp;"'!$A$1:$W$30"),MATCH('All Positional Stats'!$A$32,INDIRECT("'"&amp;$A44&amp;"'!$A$1:$A$30"),0),MATCH('All Positional Stats'!AD$31,INDIRECT("'"&amp;$A44&amp;"'!$A$1:$W$1"),0))</f>
        <v>12.8</v>
      </c>
      <c r="AE44" s="1">
        <f t="shared" ca="1" si="56"/>
        <v>5</v>
      </c>
      <c r="AF44" s="1">
        <f ca="1">INDEX(INDIRECT("'"&amp;$A44&amp;"'!$A$1:$W$30"),MATCH('All Positional Stats'!$A$32,INDIRECT("'"&amp;$A44&amp;"'!$A$1:$A$30"),0),MATCH('All Positional Stats'!AF$31,INDIRECT("'"&amp;$A44&amp;"'!$A$1:$W$1"),0))</f>
        <v>13.6</v>
      </c>
      <c r="AG44" s="1">
        <f t="shared" ca="1" si="56"/>
        <v>7</v>
      </c>
      <c r="AH44" s="1">
        <f ca="1">INDEX(INDIRECT("'"&amp;$A44&amp;"'!$A$1:$W$30"),MATCH('All Positional Stats'!$A$32,INDIRECT("'"&amp;$A44&amp;"'!$A$1:$A$30"),0),MATCH('All Positional Stats'!AH$31,INDIRECT("'"&amp;$A44&amp;"'!$A$1:$W$1"),0))</f>
        <v>2.2000000000000002</v>
      </c>
      <c r="AI44" s="1">
        <f ca="1">INDEX(INDIRECT("'"&amp;$A44&amp;"'!$A$1:$W$30"),MATCH('All Positional Stats'!$A$32,INDIRECT("'"&amp;$A44&amp;"'!$A$1:$A$30"),0),MATCH('All Positional Stats'!AI$31,INDIRECT("'"&amp;$A44&amp;"'!$A$1:$W$1"),0))</f>
        <v>19.399999999999999</v>
      </c>
      <c r="AJ44" s="7">
        <f ca="1">INDEX(INDIRECT("'"&amp;$A44&amp;"'!$A$1:$W$30"),MATCH('All Positional Stats'!$A$32,INDIRECT("'"&amp;$A44&amp;"'!$A$1:$A$30"),0),MATCH('All Positional Stats'!AJ$31,INDIRECT("'"&amp;$A44&amp;"'!$A$1:$W$1"),0))</f>
        <v>11.106249999999999</v>
      </c>
      <c r="AK44" s="7">
        <f ca="1">INDEX(INDIRECT("'"&amp;$A44&amp;"'!$A$1:$W$30"),MATCH('All Positional Stats'!$A$32,INDIRECT("'"&amp;$A44&amp;"'!$A$1:$A$30"),0),MATCH('All Positional Stats'!AK$31,INDIRECT("'"&amp;$A44&amp;"'!$A$1:$W$1"),0))</f>
        <v>4.8148817158368518</v>
      </c>
      <c r="AL44" s="7">
        <f ca="1">INDEX(INDIRECT("'"&amp;$A44&amp;"'!$A$1:$W$30"),MATCH('All Positional Stats'!$A$32,INDIRECT("'"&amp;$A44&amp;"'!$A$1:$A$30"),0),MATCH('All Positional Stats'!AL$31,INDIRECT("'"&amp;$A44&amp;"'!$A$1:$W$1"),0))</f>
        <v>177.7</v>
      </c>
      <c r="AM44" s="6">
        <f ca="1">INDEX(INDIRECT("'"&amp;$A44&amp;"'!$A$1:$W$30"),MATCH('All Positional Stats'!$A$32,INDIRECT("'"&amp;$A44&amp;"'!$A$1:$A$30"),0),MATCH('All Positional Stats'!AM$31,INDIRECT("'"&amp;$A44&amp;"'!$A$1:$W$1"),0))</f>
        <v>0.12712834454142224</v>
      </c>
      <c r="AN44" s="9">
        <f t="shared" ca="1" si="54"/>
        <v>138.39999999999998</v>
      </c>
      <c r="AO44" s="8">
        <f t="shared" ca="1" si="55"/>
        <v>6</v>
      </c>
    </row>
    <row r="45" spans="1:41" ht="16.25" thickTop="1" thickBot="1" x14ac:dyDescent="0.9"/>
    <row r="46" spans="1:41" ht="16.25" thickTop="1" thickBot="1" x14ac:dyDescent="0.9">
      <c r="B46" s="13" t="s">
        <v>13</v>
      </c>
      <c r="C46" s="15"/>
      <c r="D46" s="13" t="s">
        <v>14</v>
      </c>
      <c r="E46" s="15"/>
      <c r="F46" s="13" t="s">
        <v>15</v>
      </c>
      <c r="G46" s="15"/>
      <c r="H46" s="13" t="s">
        <v>16</v>
      </c>
      <c r="I46" s="15"/>
      <c r="J46" s="13" t="s">
        <v>17</v>
      </c>
      <c r="K46" s="15"/>
      <c r="L46" s="13" t="s">
        <v>18</v>
      </c>
      <c r="M46" s="15"/>
      <c r="N46" s="13" t="s">
        <v>19</v>
      </c>
      <c r="O46" s="15"/>
      <c r="P46" s="13" t="s">
        <v>20</v>
      </c>
      <c r="Q46" s="15"/>
      <c r="R46" s="13" t="s">
        <v>21</v>
      </c>
      <c r="S46" s="15"/>
      <c r="T46" s="13" t="s">
        <v>22</v>
      </c>
      <c r="U46" s="15"/>
      <c r="V46" s="13" t="s">
        <v>23</v>
      </c>
      <c r="W46" s="15"/>
      <c r="X46" s="13" t="s">
        <v>24</v>
      </c>
      <c r="Y46" s="15"/>
      <c r="Z46" s="13" t="s">
        <v>25</v>
      </c>
      <c r="AA46" s="15"/>
      <c r="AB46" s="13" t="s">
        <v>26</v>
      </c>
      <c r="AC46" s="15"/>
      <c r="AD46" s="13" t="s">
        <v>27</v>
      </c>
      <c r="AE46" s="15"/>
      <c r="AF46" s="13" t="s">
        <v>28</v>
      </c>
      <c r="AG46" s="15"/>
      <c r="AH46" s="16" t="s">
        <v>30</v>
      </c>
      <c r="AI46" s="16" t="s">
        <v>31</v>
      </c>
      <c r="AJ46" s="16" t="s">
        <v>32</v>
      </c>
      <c r="AK46" s="16" t="s">
        <v>33</v>
      </c>
      <c r="AL46" s="16" t="s">
        <v>34</v>
      </c>
      <c r="AM46" s="16" t="s">
        <v>35</v>
      </c>
      <c r="AN46" s="16" t="s">
        <v>64</v>
      </c>
      <c r="AO46" s="16" t="s">
        <v>63</v>
      </c>
    </row>
    <row r="47" spans="1:41" ht="16.25" thickTop="1" thickBot="1" x14ac:dyDescent="0.9">
      <c r="A47" t="s">
        <v>57</v>
      </c>
      <c r="B47" s="5" t="s">
        <v>29</v>
      </c>
      <c r="C47" s="5" t="s">
        <v>63</v>
      </c>
      <c r="D47" s="5" t="s">
        <v>29</v>
      </c>
      <c r="E47" s="5" t="s">
        <v>63</v>
      </c>
      <c r="F47" s="5" t="s">
        <v>29</v>
      </c>
      <c r="G47" s="5" t="s">
        <v>63</v>
      </c>
      <c r="H47" s="5" t="s">
        <v>29</v>
      </c>
      <c r="I47" s="5" t="s">
        <v>63</v>
      </c>
      <c r="J47" s="5" t="s">
        <v>29</v>
      </c>
      <c r="K47" s="5" t="s">
        <v>63</v>
      </c>
      <c r="L47" s="5" t="s">
        <v>29</v>
      </c>
      <c r="M47" s="5" t="s">
        <v>63</v>
      </c>
      <c r="N47" s="5" t="s">
        <v>29</v>
      </c>
      <c r="O47" s="5" t="s">
        <v>63</v>
      </c>
      <c r="P47" s="5" t="s">
        <v>29</v>
      </c>
      <c r="Q47" s="5" t="s">
        <v>63</v>
      </c>
      <c r="R47" s="5" t="s">
        <v>29</v>
      </c>
      <c r="S47" s="5" t="s">
        <v>63</v>
      </c>
      <c r="T47" s="5" t="s">
        <v>29</v>
      </c>
      <c r="U47" s="5" t="s">
        <v>63</v>
      </c>
      <c r="V47" s="5" t="s">
        <v>29</v>
      </c>
      <c r="W47" s="5" t="s">
        <v>63</v>
      </c>
      <c r="X47" s="5" t="s">
        <v>29</v>
      </c>
      <c r="Y47" s="5" t="s">
        <v>63</v>
      </c>
      <c r="Z47" s="5" t="s">
        <v>29</v>
      </c>
      <c r="AA47" s="5" t="s">
        <v>63</v>
      </c>
      <c r="AB47" s="5" t="s">
        <v>29</v>
      </c>
      <c r="AC47" s="5" t="s">
        <v>63</v>
      </c>
      <c r="AD47" s="5" t="s">
        <v>29</v>
      </c>
      <c r="AE47" s="5" t="s">
        <v>63</v>
      </c>
      <c r="AF47" s="5" t="s">
        <v>29</v>
      </c>
      <c r="AG47" s="5" t="s">
        <v>63</v>
      </c>
      <c r="AH47" s="17"/>
      <c r="AI47" s="17"/>
      <c r="AJ47" s="17"/>
      <c r="AK47" s="17"/>
      <c r="AL47" s="17"/>
      <c r="AM47" s="17"/>
      <c r="AN47" s="17"/>
      <c r="AO47" s="17"/>
    </row>
    <row r="48" spans="1:41" ht="16.25" thickTop="1" thickBot="1" x14ac:dyDescent="0.9">
      <c r="A48" s="1" t="s">
        <v>1</v>
      </c>
      <c r="B48" s="1">
        <f ca="1">INDEX(INDIRECT("'"&amp;$A48&amp;"'!$A$1:$W$30"),MATCH('All Positional Stats'!$A$47,INDIRECT("'"&amp;$A48&amp;"'!$A$1:$A$30"),0),MATCH('All Positional Stats'!B$46,INDIRECT("'"&amp;$A48&amp;"'!$A$1:$W$1"),0))</f>
        <v>15</v>
      </c>
      <c r="C48" s="1">
        <f ca="1">_xlfn.RANK.EQ(B48,B$48:B$59)</f>
        <v>4</v>
      </c>
      <c r="D48" s="1">
        <f ca="1">INDEX(INDIRECT("'"&amp;$A48&amp;"'!$A$1:$W$30"),MATCH('All Positional Stats'!$A$47,INDIRECT("'"&amp;$A48&amp;"'!$A$1:$A$30"),0),MATCH('All Positional Stats'!D$46,INDIRECT("'"&amp;$A48&amp;"'!$A$1:$W$1"),0))</f>
        <v>13.6</v>
      </c>
      <c r="E48" s="1">
        <f t="shared" ref="E48" ca="1" si="57">_xlfn.RANK.EQ(D48,D$48:D$59)</f>
        <v>3</v>
      </c>
      <c r="F48" s="1">
        <f ca="1">INDEX(INDIRECT("'"&amp;$A48&amp;"'!$A$1:$W$30"),MATCH('All Positional Stats'!$A$47,INDIRECT("'"&amp;$A48&amp;"'!$A$1:$A$30"),0),MATCH('All Positional Stats'!F$46,INDIRECT("'"&amp;$A48&amp;"'!$A$1:$W$1"),0))</f>
        <v>7.8</v>
      </c>
      <c r="G48" s="1">
        <f t="shared" ref="G48" ca="1" si="58">_xlfn.RANK.EQ(F48,F$48:F$59)</f>
        <v>10</v>
      </c>
      <c r="H48" s="1">
        <f ca="1">INDEX(INDIRECT("'"&amp;$A48&amp;"'!$A$1:$W$30"),MATCH('All Positional Stats'!$A$47,INDIRECT("'"&amp;$A48&amp;"'!$A$1:$A$30"),0),MATCH('All Positional Stats'!H$46,INDIRECT("'"&amp;$A48&amp;"'!$A$1:$W$1"),0))</f>
        <v>7</v>
      </c>
      <c r="I48" s="1">
        <f t="shared" ref="I48" ca="1" si="59">_xlfn.RANK.EQ(H48,H$48:H$59)</f>
        <v>7</v>
      </c>
      <c r="J48" s="1">
        <f ca="1">INDEX(INDIRECT("'"&amp;$A48&amp;"'!$A$1:$W$30"),MATCH('All Positional Stats'!$A$47,INDIRECT("'"&amp;$A48&amp;"'!$A$1:$A$30"),0),MATCH('All Positional Stats'!J$46,INDIRECT("'"&amp;$A48&amp;"'!$A$1:$W$1"),0))</f>
        <v>12.9</v>
      </c>
      <c r="K48" s="1">
        <f t="shared" ref="K48" ca="1" si="60">_xlfn.RANK.EQ(J48,J$48:J$59)</f>
        <v>6</v>
      </c>
      <c r="L48" s="1">
        <f ca="1">INDEX(INDIRECT("'"&amp;$A48&amp;"'!$A$1:$W$30"),MATCH('All Positional Stats'!$A$47,INDIRECT("'"&amp;$A48&amp;"'!$A$1:$A$30"),0),MATCH('All Positional Stats'!L$46,INDIRECT("'"&amp;$A48&amp;"'!$A$1:$W$1"),0))</f>
        <v>16.2</v>
      </c>
      <c r="M48" s="1">
        <f t="shared" ref="M48" ca="1" si="61">_xlfn.RANK.EQ(L48,L$48:L$59)</f>
        <v>5</v>
      </c>
      <c r="N48" s="1">
        <f ca="1">INDEX(INDIRECT("'"&amp;$A48&amp;"'!$A$1:$W$30"),MATCH('All Positional Stats'!$A$47,INDIRECT("'"&amp;$A48&amp;"'!$A$1:$A$30"),0),MATCH('All Positional Stats'!N$46,INDIRECT("'"&amp;$A48&amp;"'!$A$1:$W$1"),0))</f>
        <v>18.8</v>
      </c>
      <c r="O48" s="1">
        <f t="shared" ref="O48" ca="1" si="62">_xlfn.RANK.EQ(N48,N$48:N$59)</f>
        <v>2</v>
      </c>
      <c r="P48" s="1">
        <f ca="1">INDEX(INDIRECT("'"&amp;$A48&amp;"'!$A$1:$W$30"),MATCH('All Positional Stats'!$A$47,INDIRECT("'"&amp;$A48&amp;"'!$A$1:$A$30"),0),MATCH('All Positional Stats'!P$46,INDIRECT("'"&amp;$A48&amp;"'!$A$1:$W$1"),0))</f>
        <v>5.8</v>
      </c>
      <c r="Q48" s="1">
        <f t="shared" ref="Q48" ca="1" si="63">_xlfn.RANK.EQ(P48,P$48:P$59)</f>
        <v>11</v>
      </c>
      <c r="R48" s="1">
        <f ca="1">INDEX(INDIRECT("'"&amp;$A48&amp;"'!$A$1:$W$30"),MATCH('All Positional Stats'!$A$47,INDIRECT("'"&amp;$A48&amp;"'!$A$1:$A$30"),0),MATCH('All Positional Stats'!R$46,INDIRECT("'"&amp;$A48&amp;"'!$A$1:$W$1"),0))</f>
        <v>12.2</v>
      </c>
      <c r="S48" s="1">
        <f t="shared" ref="S48" ca="1" si="64">_xlfn.RANK.EQ(R48,R$48:R$59)</f>
        <v>4</v>
      </c>
      <c r="T48" s="1">
        <f ca="1">INDEX(INDIRECT("'"&amp;$A48&amp;"'!$A$1:$W$30"),MATCH('All Positional Stats'!$A$47,INDIRECT("'"&amp;$A48&amp;"'!$A$1:$A$30"),0),MATCH('All Positional Stats'!T$46,INDIRECT("'"&amp;$A48&amp;"'!$A$1:$W$1"),0))</f>
        <v>12.7</v>
      </c>
      <c r="U48" s="1">
        <f t="shared" ref="U48" ca="1" si="65">_xlfn.RANK.EQ(T48,T$48:T$59)</f>
        <v>5</v>
      </c>
      <c r="V48" s="1">
        <f ca="1">INDEX(INDIRECT("'"&amp;$A48&amp;"'!$A$1:$W$30"),MATCH('All Positional Stats'!$A$47,INDIRECT("'"&amp;$A48&amp;"'!$A$1:$A$30"),0),MATCH('All Positional Stats'!V$46,INDIRECT("'"&amp;$A48&amp;"'!$A$1:$W$1"),0))</f>
        <v>16.5</v>
      </c>
      <c r="W48" s="1">
        <f t="shared" ref="W48" ca="1" si="66">_xlfn.RANK.EQ(V48,V$48:V$59)</f>
        <v>4</v>
      </c>
      <c r="X48" s="1">
        <f ca="1">INDEX(INDIRECT("'"&amp;$A48&amp;"'!$A$1:$W$30"),MATCH('All Positional Stats'!$A$47,INDIRECT("'"&amp;$A48&amp;"'!$A$1:$A$30"),0),MATCH('All Positional Stats'!X$46,INDIRECT("'"&amp;$A48&amp;"'!$A$1:$W$1"),0))</f>
        <v>11</v>
      </c>
      <c r="Y48" s="1">
        <f t="shared" ref="Y48" ca="1" si="67">_xlfn.RANK.EQ(X48,X$48:X$59)</f>
        <v>4</v>
      </c>
      <c r="Z48" s="1">
        <f ca="1">INDEX(INDIRECT("'"&amp;$A48&amp;"'!$A$1:$W$30"),MATCH('All Positional Stats'!$A$47,INDIRECT("'"&amp;$A48&amp;"'!$A$1:$A$30"),0),MATCH('All Positional Stats'!Z$46,INDIRECT("'"&amp;$A48&amp;"'!$A$1:$W$1"),0))</f>
        <v>8.6999999999999993</v>
      </c>
      <c r="AA48" s="1">
        <f t="shared" ref="AA48" ca="1" si="68">_xlfn.RANK.EQ(Z48,Z$48:Z$59)</f>
        <v>10</v>
      </c>
      <c r="AB48" s="1">
        <f ca="1">INDEX(INDIRECT("'"&amp;$A48&amp;"'!$A$1:$W$30"),MATCH('All Positional Stats'!$A$47,INDIRECT("'"&amp;$A48&amp;"'!$A$1:$A$30"),0),MATCH('All Positional Stats'!AB$46,INDIRECT("'"&amp;$A48&amp;"'!$A$1:$W$1"),0))</f>
        <v>20.6</v>
      </c>
      <c r="AC48" s="1">
        <f t="shared" ref="AC48" ca="1" si="69">_xlfn.RANK.EQ(AB48,AB$48:AB$59)</f>
        <v>3</v>
      </c>
      <c r="AD48" s="1">
        <f ca="1">INDEX(INDIRECT("'"&amp;$A48&amp;"'!$A$1:$W$30"),MATCH('All Positional Stats'!$A$47,INDIRECT("'"&amp;$A48&amp;"'!$A$1:$A$30"),0),MATCH('All Positional Stats'!AD$46,INDIRECT("'"&amp;$A48&amp;"'!$A$1:$W$1"),0))</f>
        <v>14.9</v>
      </c>
      <c r="AE48" s="1">
        <f t="shared" ref="AE48" ca="1" si="70">_xlfn.RANK.EQ(AD48,AD$48:AD$59)</f>
        <v>2</v>
      </c>
      <c r="AF48" s="1">
        <f ca="1">INDEX(INDIRECT("'"&amp;$A48&amp;"'!$A$1:$W$30"),MATCH('All Positional Stats'!$A$47,INDIRECT("'"&amp;$A48&amp;"'!$A$1:$A$30"),0),MATCH('All Positional Stats'!AF$46,INDIRECT("'"&amp;$A48&amp;"'!$A$1:$W$1"),0))</f>
        <v>5.6</v>
      </c>
      <c r="AG48" s="1">
        <f t="shared" ref="AG48" ca="1" si="71">_xlfn.RANK.EQ(AF48,AF$48:AF$59)</f>
        <v>8</v>
      </c>
      <c r="AH48" s="1">
        <f ca="1">INDEX(INDIRECT("'"&amp;$A48&amp;"'!$A$1:$W$30"),MATCH('All Positional Stats'!$A$47,INDIRECT("'"&amp;$A48&amp;"'!$A$1:$A$30"),0),MATCH('All Positional Stats'!AH$46,INDIRECT("'"&amp;$A48&amp;"'!$A$1:$W$1"),0))</f>
        <v>5.6</v>
      </c>
      <c r="AI48" s="1">
        <f ca="1">INDEX(INDIRECT("'"&amp;$A48&amp;"'!$A$1:$W$30"),MATCH('All Positional Stats'!$A$47,INDIRECT("'"&amp;$A48&amp;"'!$A$1:$A$30"),0),MATCH('All Positional Stats'!AI$46,INDIRECT("'"&amp;$A48&amp;"'!$A$1:$W$1"),0))</f>
        <v>20.6</v>
      </c>
      <c r="AJ48" s="7">
        <f ca="1">INDEX(INDIRECT("'"&amp;$A48&amp;"'!$A$1:$W$30"),MATCH('All Positional Stats'!$A$47,INDIRECT("'"&amp;$A48&amp;"'!$A$1:$A$30"),0),MATCH('All Positional Stats'!AJ$46,INDIRECT("'"&amp;$A48&amp;"'!$A$1:$W$1"),0))</f>
        <v>12.456250000000001</v>
      </c>
      <c r="AK48" s="7">
        <f ca="1">INDEX(INDIRECT("'"&amp;$A48&amp;"'!$A$1:$W$30"),MATCH('All Positional Stats'!$A$47,INDIRECT("'"&amp;$A48&amp;"'!$A$1:$A$30"),0),MATCH('All Positional Stats'!AK$46,INDIRECT("'"&amp;$A48&amp;"'!$A$1:$W$1"),0))</f>
        <v>4.4016997782106912</v>
      </c>
      <c r="AL48" s="7">
        <f ca="1">INDEX(INDIRECT("'"&amp;$A48&amp;"'!$A$1:$W$30"),MATCH('All Positional Stats'!$A$47,INDIRECT("'"&amp;$A48&amp;"'!$A$1:$A$30"),0),MATCH('All Positional Stats'!AL$46,INDIRECT("'"&amp;$A48&amp;"'!$A$1:$W$1"),0))</f>
        <v>199.3</v>
      </c>
      <c r="AM48" s="6">
        <f ca="1">INDEX(INDIRECT("'"&amp;$A48&amp;"'!$A$1:$W$30"),MATCH('All Positional Stats'!$A$47,INDIRECT("'"&amp;$A48&amp;"'!$A$1:$A$30"),0),MATCH('All Positional Stats'!AM$46,INDIRECT("'"&amp;$A48&amp;"'!$A$1:$W$1"),0))</f>
        <v>0.14625376091582887</v>
      </c>
      <c r="AN48" s="9">
        <f ca="1">SUMIF($B$47:$AA$47, "Points", B48:AA48)</f>
        <v>158.19999999999999</v>
      </c>
      <c r="AO48" s="8">
        <f ca="1">_xlfn.RANK.EQ(AN48,$AN$48:$AN$59)</f>
        <v>5</v>
      </c>
    </row>
    <row r="49" spans="1:41" ht="16.25" thickTop="1" thickBot="1" x14ac:dyDescent="0.9">
      <c r="A49" s="1" t="s">
        <v>2</v>
      </c>
      <c r="B49" s="1">
        <f ca="1">INDEX(INDIRECT("'"&amp;$A49&amp;"'!$A$1:$W$30"),MATCH('All Positional Stats'!$A$47,INDIRECT("'"&amp;$A49&amp;"'!$A$1:$A$30"),0),MATCH('All Positional Stats'!B$46,INDIRECT("'"&amp;$A49&amp;"'!$A$1:$W$1"),0))</f>
        <v>9.9</v>
      </c>
      <c r="C49" s="1">
        <f t="shared" ref="C49:C59" ca="1" si="72">_xlfn.RANK.EQ(B49,B$48:B$59)</f>
        <v>7</v>
      </c>
      <c r="D49" s="1">
        <f ca="1">INDEX(INDIRECT("'"&amp;$A49&amp;"'!$A$1:$W$30"),MATCH('All Positional Stats'!$A$47,INDIRECT("'"&amp;$A49&amp;"'!$A$1:$A$30"),0),MATCH('All Positional Stats'!D$46,INDIRECT("'"&amp;$A49&amp;"'!$A$1:$W$1"),0))</f>
        <v>9.1999999999999993</v>
      </c>
      <c r="E49" s="1">
        <f t="shared" ref="E49" ca="1" si="73">_xlfn.RANK.EQ(D49,D$48:D$59)</f>
        <v>6</v>
      </c>
      <c r="F49" s="1">
        <f ca="1">INDEX(INDIRECT("'"&amp;$A49&amp;"'!$A$1:$W$30"),MATCH('All Positional Stats'!$A$47,INDIRECT("'"&amp;$A49&amp;"'!$A$1:$A$30"),0),MATCH('All Positional Stats'!F$46,INDIRECT("'"&amp;$A49&amp;"'!$A$1:$W$1"),0))</f>
        <v>22.1</v>
      </c>
      <c r="G49" s="1">
        <f t="shared" ref="G49" ca="1" si="74">_xlfn.RANK.EQ(F49,F$48:F$59)</f>
        <v>2</v>
      </c>
      <c r="H49" s="1">
        <f ca="1">INDEX(INDIRECT("'"&amp;$A49&amp;"'!$A$1:$W$30"),MATCH('All Positional Stats'!$A$47,INDIRECT("'"&amp;$A49&amp;"'!$A$1:$A$30"),0),MATCH('All Positional Stats'!H$46,INDIRECT("'"&amp;$A49&amp;"'!$A$1:$W$1"),0))</f>
        <v>14.8</v>
      </c>
      <c r="I49" s="1">
        <f t="shared" ref="I49" ca="1" si="75">_xlfn.RANK.EQ(H49,H$48:H$59)</f>
        <v>5</v>
      </c>
      <c r="J49" s="1">
        <f ca="1">INDEX(INDIRECT("'"&amp;$A49&amp;"'!$A$1:$W$30"),MATCH('All Positional Stats'!$A$47,INDIRECT("'"&amp;$A49&amp;"'!$A$1:$A$30"),0),MATCH('All Positional Stats'!J$46,INDIRECT("'"&amp;$A49&amp;"'!$A$1:$W$1"),0))</f>
        <v>26.4</v>
      </c>
      <c r="K49" s="1">
        <f t="shared" ref="K49" ca="1" si="76">_xlfn.RANK.EQ(J49,J$48:J$59)</f>
        <v>1</v>
      </c>
      <c r="L49" s="1">
        <f ca="1">INDEX(INDIRECT("'"&amp;$A49&amp;"'!$A$1:$W$30"),MATCH('All Positional Stats'!$A$47,INDIRECT("'"&amp;$A49&amp;"'!$A$1:$A$30"),0),MATCH('All Positional Stats'!L$46,INDIRECT("'"&amp;$A49&amp;"'!$A$1:$W$1"),0))</f>
        <v>14.2</v>
      </c>
      <c r="M49" s="1">
        <f t="shared" ref="M49" ca="1" si="77">_xlfn.RANK.EQ(L49,L$48:L$59)</f>
        <v>7</v>
      </c>
      <c r="N49" s="1">
        <f ca="1">INDEX(INDIRECT("'"&amp;$A49&amp;"'!$A$1:$W$30"),MATCH('All Positional Stats'!$A$47,INDIRECT("'"&amp;$A49&amp;"'!$A$1:$A$30"),0),MATCH('All Positional Stats'!N$46,INDIRECT("'"&amp;$A49&amp;"'!$A$1:$W$1"),0))</f>
        <v>5.6</v>
      </c>
      <c r="O49" s="1">
        <f t="shared" ref="O49" ca="1" si="78">_xlfn.RANK.EQ(N49,N$48:N$59)</f>
        <v>8</v>
      </c>
      <c r="P49" s="1">
        <f ca="1">INDEX(INDIRECT("'"&amp;$A49&amp;"'!$A$1:$W$30"),MATCH('All Positional Stats'!$A$47,INDIRECT("'"&amp;$A49&amp;"'!$A$1:$A$30"),0),MATCH('All Positional Stats'!P$46,INDIRECT("'"&amp;$A49&amp;"'!$A$1:$W$1"),0))</f>
        <v>10.199999999999999</v>
      </c>
      <c r="Q49" s="1">
        <f t="shared" ref="Q49" ca="1" si="79">_xlfn.RANK.EQ(P49,P$48:P$59)</f>
        <v>4</v>
      </c>
      <c r="R49" s="1">
        <f ca="1">INDEX(INDIRECT("'"&amp;$A49&amp;"'!$A$1:$W$30"),MATCH('All Positional Stats'!$A$47,INDIRECT("'"&amp;$A49&amp;"'!$A$1:$A$30"),0),MATCH('All Positional Stats'!R$46,INDIRECT("'"&amp;$A49&amp;"'!$A$1:$W$1"),0))</f>
        <v>1.1000000000000001</v>
      </c>
      <c r="S49" s="1">
        <f t="shared" ref="S49" ca="1" si="80">_xlfn.RANK.EQ(R49,R$48:R$59)</f>
        <v>12</v>
      </c>
      <c r="T49" s="1">
        <f ca="1">INDEX(INDIRECT("'"&amp;$A49&amp;"'!$A$1:$W$30"),MATCH('All Positional Stats'!$A$47,INDIRECT("'"&amp;$A49&amp;"'!$A$1:$A$30"),0),MATCH('All Positional Stats'!T$46,INDIRECT("'"&amp;$A49&amp;"'!$A$1:$W$1"),0))</f>
        <v>20</v>
      </c>
      <c r="U49" s="1">
        <f t="shared" ref="U49" ca="1" si="81">_xlfn.RANK.EQ(T49,T$48:T$59)</f>
        <v>1</v>
      </c>
      <c r="V49" s="1">
        <f ca="1">INDEX(INDIRECT("'"&amp;$A49&amp;"'!$A$1:$W$30"),MATCH('All Positional Stats'!$A$47,INDIRECT("'"&amp;$A49&amp;"'!$A$1:$A$30"),0),MATCH('All Positional Stats'!V$46,INDIRECT("'"&amp;$A49&amp;"'!$A$1:$W$1"),0))</f>
        <v>13</v>
      </c>
      <c r="W49" s="1">
        <f t="shared" ref="W49" ca="1" si="82">_xlfn.RANK.EQ(V49,V$48:V$59)</f>
        <v>6</v>
      </c>
      <c r="X49" s="1">
        <f ca="1">INDEX(INDIRECT("'"&amp;$A49&amp;"'!$A$1:$W$30"),MATCH('All Positional Stats'!$A$47,INDIRECT("'"&amp;$A49&amp;"'!$A$1:$A$30"),0),MATCH('All Positional Stats'!X$46,INDIRECT("'"&amp;$A49&amp;"'!$A$1:$W$1"),0))</f>
        <v>9.1</v>
      </c>
      <c r="Y49" s="1">
        <f t="shared" ref="Y49" ca="1" si="83">_xlfn.RANK.EQ(X49,X$48:X$59)</f>
        <v>5</v>
      </c>
      <c r="Z49" s="1">
        <f ca="1">INDEX(INDIRECT("'"&amp;$A49&amp;"'!$A$1:$W$30"),MATCH('All Positional Stats'!$A$47,INDIRECT("'"&amp;$A49&amp;"'!$A$1:$A$30"),0),MATCH('All Positional Stats'!Z$46,INDIRECT("'"&amp;$A49&amp;"'!$A$1:$W$1"),0))</f>
        <v>23.2</v>
      </c>
      <c r="AA49" s="1">
        <f t="shared" ref="AA49" ca="1" si="84">_xlfn.RANK.EQ(Z49,Z$48:Z$59)</f>
        <v>1</v>
      </c>
      <c r="AB49" s="1">
        <f ca="1">INDEX(INDIRECT("'"&amp;$A49&amp;"'!$A$1:$W$30"),MATCH('All Positional Stats'!$A$47,INDIRECT("'"&amp;$A49&amp;"'!$A$1:$A$30"),0),MATCH('All Positional Stats'!AB$46,INDIRECT("'"&amp;$A49&amp;"'!$A$1:$W$1"),0))</f>
        <v>6.9</v>
      </c>
      <c r="AC49" s="1">
        <f t="shared" ref="AC49" ca="1" si="85">_xlfn.RANK.EQ(AB49,AB$48:AB$59)</f>
        <v>9</v>
      </c>
      <c r="AD49" s="1">
        <f ca="1">INDEX(INDIRECT("'"&amp;$A49&amp;"'!$A$1:$W$30"),MATCH('All Positional Stats'!$A$47,INDIRECT("'"&amp;$A49&amp;"'!$A$1:$A$30"),0),MATCH('All Positional Stats'!AD$46,INDIRECT("'"&amp;$A49&amp;"'!$A$1:$W$1"),0))</f>
        <v>4</v>
      </c>
      <c r="AE49" s="1">
        <f t="shared" ref="AE49" ca="1" si="86">_xlfn.RANK.EQ(AD49,AD$48:AD$59)</f>
        <v>9</v>
      </c>
      <c r="AF49" s="1">
        <f ca="1">INDEX(INDIRECT("'"&amp;$A49&amp;"'!$A$1:$W$30"),MATCH('All Positional Stats'!$A$47,INDIRECT("'"&amp;$A49&amp;"'!$A$1:$A$30"),0),MATCH('All Positional Stats'!AF$46,INDIRECT("'"&amp;$A49&amp;"'!$A$1:$W$1"),0))</f>
        <v>11.1</v>
      </c>
      <c r="AG49" s="1">
        <f t="shared" ref="AG49" ca="1" si="87">_xlfn.RANK.EQ(AF49,AF$48:AF$59)</f>
        <v>4</v>
      </c>
      <c r="AH49" s="1">
        <f ca="1">INDEX(INDIRECT("'"&amp;$A49&amp;"'!$A$1:$W$30"),MATCH('All Positional Stats'!$A$47,INDIRECT("'"&amp;$A49&amp;"'!$A$1:$A$30"),0),MATCH('All Positional Stats'!AH$46,INDIRECT("'"&amp;$A49&amp;"'!$A$1:$W$1"),0))</f>
        <v>1.1000000000000001</v>
      </c>
      <c r="AI49" s="1">
        <f ca="1">INDEX(INDIRECT("'"&amp;$A49&amp;"'!$A$1:$W$30"),MATCH('All Positional Stats'!$A$47,INDIRECT("'"&amp;$A49&amp;"'!$A$1:$A$30"),0),MATCH('All Positional Stats'!AI$46,INDIRECT("'"&amp;$A49&amp;"'!$A$1:$W$1"),0))</f>
        <v>26.4</v>
      </c>
      <c r="AJ49" s="7">
        <f ca="1">INDEX(INDIRECT("'"&amp;$A49&amp;"'!$A$1:$W$30"),MATCH('All Positional Stats'!$A$47,INDIRECT("'"&amp;$A49&amp;"'!$A$1:$A$30"),0),MATCH('All Positional Stats'!AJ$46,INDIRECT("'"&amp;$A49&amp;"'!$A$1:$W$1"),0))</f>
        <v>12.55</v>
      </c>
      <c r="AK49" s="7">
        <f ca="1">INDEX(INDIRECT("'"&amp;$A49&amp;"'!$A$1:$W$30"),MATCH('All Positional Stats'!$A$47,INDIRECT("'"&amp;$A49&amp;"'!$A$1:$A$30"),0),MATCH('All Positional Stats'!AK$46,INDIRECT("'"&amp;$A49&amp;"'!$A$1:$W$1"),0))</f>
        <v>6.9916914977707663</v>
      </c>
      <c r="AL49" s="7">
        <f ca="1">INDEX(INDIRECT("'"&amp;$A49&amp;"'!$A$1:$W$30"),MATCH('All Positional Stats'!$A$47,INDIRECT("'"&amp;$A49&amp;"'!$A$1:$A$30"),0),MATCH('All Positional Stats'!AL$46,INDIRECT("'"&amp;$A49&amp;"'!$A$1:$W$1"),0))</f>
        <v>200.8</v>
      </c>
      <c r="AM49" s="6">
        <f ca="1">INDEX(INDIRECT("'"&amp;$A49&amp;"'!$A$1:$W$30"),MATCH('All Positional Stats'!$A$47,INDIRECT("'"&amp;$A49&amp;"'!$A$1:$A$30"),0),MATCH('All Positional Stats'!AM$46,INDIRECT("'"&amp;$A49&amp;"'!$A$1:$W$1"),0))</f>
        <v>0.13328023363865657</v>
      </c>
      <c r="AN49" s="9">
        <f t="shared" ref="AN49:AN59" ca="1" si="88">SUMIF($B$47:$AA$47, "Points", B49:AA49)</f>
        <v>178.79999999999998</v>
      </c>
      <c r="AO49" s="8">
        <f t="shared" ref="AO49:AO59" ca="1" si="89">_xlfn.RANK.EQ(AN49,$AN$48:$AN$59)</f>
        <v>3</v>
      </c>
    </row>
    <row r="50" spans="1:41" ht="16.25" thickTop="1" thickBot="1" x14ac:dyDescent="0.9">
      <c r="A50" s="1" t="s">
        <v>3</v>
      </c>
      <c r="B50" s="1">
        <f ca="1">INDEX(INDIRECT("'"&amp;$A50&amp;"'!$A$1:$W$30"),MATCH('All Positional Stats'!$A$47,INDIRECT("'"&amp;$A50&amp;"'!$A$1:$A$30"),0),MATCH('All Positional Stats'!B$46,INDIRECT("'"&amp;$A50&amp;"'!$A$1:$W$1"),0))</f>
        <v>8</v>
      </c>
      <c r="C50" s="1">
        <f t="shared" ca="1" si="72"/>
        <v>9</v>
      </c>
      <c r="D50" s="1">
        <f ca="1">INDEX(INDIRECT("'"&amp;$A50&amp;"'!$A$1:$W$30"),MATCH('All Positional Stats'!$A$47,INDIRECT("'"&amp;$A50&amp;"'!$A$1:$A$30"),0),MATCH('All Positional Stats'!D$46,INDIRECT("'"&amp;$A50&amp;"'!$A$1:$W$1"),0))</f>
        <v>7.4</v>
      </c>
      <c r="E50" s="1">
        <f t="shared" ref="E50" ca="1" si="90">_xlfn.RANK.EQ(D50,D$48:D$59)</f>
        <v>8</v>
      </c>
      <c r="F50" s="1">
        <f ca="1">INDEX(INDIRECT("'"&amp;$A50&amp;"'!$A$1:$W$30"),MATCH('All Positional Stats'!$A$47,INDIRECT("'"&amp;$A50&amp;"'!$A$1:$A$30"),0),MATCH('All Positional Stats'!F$46,INDIRECT("'"&amp;$A50&amp;"'!$A$1:$W$1"),0))</f>
        <v>1.8</v>
      </c>
      <c r="G50" s="1">
        <f t="shared" ref="G50" ca="1" si="91">_xlfn.RANK.EQ(F50,F$48:F$59)</f>
        <v>11</v>
      </c>
      <c r="H50" s="1">
        <f ca="1">INDEX(INDIRECT("'"&amp;$A50&amp;"'!$A$1:$W$30"),MATCH('All Positional Stats'!$A$47,INDIRECT("'"&amp;$A50&amp;"'!$A$1:$A$30"),0),MATCH('All Positional Stats'!H$46,INDIRECT("'"&amp;$A50&amp;"'!$A$1:$W$1"),0))</f>
        <v>1.2</v>
      </c>
      <c r="I50" s="1">
        <f t="shared" ref="I50" ca="1" si="92">_xlfn.RANK.EQ(H50,H$48:H$59)</f>
        <v>12</v>
      </c>
      <c r="J50" s="1">
        <f ca="1">INDEX(INDIRECT("'"&amp;$A50&amp;"'!$A$1:$W$30"),MATCH('All Positional Stats'!$A$47,INDIRECT("'"&amp;$A50&amp;"'!$A$1:$A$30"),0),MATCH('All Positional Stats'!J$46,INDIRECT("'"&amp;$A50&amp;"'!$A$1:$W$1"),0))</f>
        <v>13.8</v>
      </c>
      <c r="K50" s="1">
        <f t="shared" ref="K50" ca="1" si="93">_xlfn.RANK.EQ(J50,J$48:J$59)</f>
        <v>4</v>
      </c>
      <c r="L50" s="1">
        <f ca="1">INDEX(INDIRECT("'"&amp;$A50&amp;"'!$A$1:$W$30"),MATCH('All Positional Stats'!$A$47,INDIRECT("'"&amp;$A50&amp;"'!$A$1:$A$30"),0),MATCH('All Positional Stats'!L$46,INDIRECT("'"&amp;$A50&amp;"'!$A$1:$W$1"),0))</f>
        <v>14.4</v>
      </c>
      <c r="M50" s="1">
        <f t="shared" ref="M50" ca="1" si="94">_xlfn.RANK.EQ(L50,L$48:L$59)</f>
        <v>6</v>
      </c>
      <c r="N50" s="1">
        <f ca="1">INDEX(INDIRECT("'"&amp;$A50&amp;"'!$A$1:$W$30"),MATCH('All Positional Stats'!$A$47,INDIRECT("'"&amp;$A50&amp;"'!$A$1:$A$30"),0),MATCH('All Positional Stats'!N$46,INDIRECT("'"&amp;$A50&amp;"'!$A$1:$W$1"),0))</f>
        <v>8</v>
      </c>
      <c r="O50" s="1">
        <f t="shared" ref="O50" ca="1" si="95">_xlfn.RANK.EQ(N50,N$48:N$59)</f>
        <v>7</v>
      </c>
      <c r="P50" s="1">
        <f ca="1">INDEX(INDIRECT("'"&amp;$A50&amp;"'!$A$1:$W$30"),MATCH('All Positional Stats'!$A$47,INDIRECT("'"&amp;$A50&amp;"'!$A$1:$A$30"),0),MATCH('All Positional Stats'!P$46,INDIRECT("'"&amp;$A50&amp;"'!$A$1:$W$1"),0))</f>
        <v>11.4</v>
      </c>
      <c r="Q50" s="1">
        <f t="shared" ref="Q50" ca="1" si="96">_xlfn.RANK.EQ(P50,P$48:P$59)</f>
        <v>2</v>
      </c>
      <c r="R50" s="1">
        <f ca="1">INDEX(INDIRECT("'"&amp;$A50&amp;"'!$A$1:$W$30"),MATCH('All Positional Stats'!$A$47,INDIRECT("'"&amp;$A50&amp;"'!$A$1:$A$30"),0),MATCH('All Positional Stats'!R$46,INDIRECT("'"&amp;$A50&amp;"'!$A$1:$W$1"),0))</f>
        <v>9.8000000000000007</v>
      </c>
      <c r="S50" s="1">
        <f t="shared" ref="S50" ca="1" si="97">_xlfn.RANK.EQ(R50,R$48:R$59)</f>
        <v>7</v>
      </c>
      <c r="T50" s="1">
        <f ca="1">INDEX(INDIRECT("'"&amp;$A50&amp;"'!$A$1:$W$30"),MATCH('All Positional Stats'!$A$47,INDIRECT("'"&amp;$A50&amp;"'!$A$1:$A$30"),0),MATCH('All Positional Stats'!T$46,INDIRECT("'"&amp;$A50&amp;"'!$A$1:$W$1"),0))</f>
        <v>5.7</v>
      </c>
      <c r="U50" s="1">
        <f t="shared" ref="U50" ca="1" si="98">_xlfn.RANK.EQ(T50,T$48:T$59)</f>
        <v>10</v>
      </c>
      <c r="V50" s="1">
        <f ca="1">INDEX(INDIRECT("'"&amp;$A50&amp;"'!$A$1:$W$30"),MATCH('All Positional Stats'!$A$47,INDIRECT("'"&amp;$A50&amp;"'!$A$1:$A$30"),0),MATCH('All Positional Stats'!V$46,INDIRECT("'"&amp;$A50&amp;"'!$A$1:$W$1"),0))</f>
        <v>2.5</v>
      </c>
      <c r="W50" s="1">
        <f t="shared" ref="W50" ca="1" si="99">_xlfn.RANK.EQ(V50,V$48:V$59)</f>
        <v>12</v>
      </c>
      <c r="X50" s="1">
        <f ca="1">INDEX(INDIRECT("'"&amp;$A50&amp;"'!$A$1:$W$30"),MATCH('All Positional Stats'!$A$47,INDIRECT("'"&amp;$A50&amp;"'!$A$1:$A$30"),0),MATCH('All Positional Stats'!X$46,INDIRECT("'"&amp;$A50&amp;"'!$A$1:$W$1"),0))</f>
        <v>18.399999999999999</v>
      </c>
      <c r="Y50" s="1">
        <f t="shared" ref="Y50" ca="1" si="100">_xlfn.RANK.EQ(X50,X$48:X$59)</f>
        <v>3</v>
      </c>
      <c r="Z50" s="1">
        <f ca="1">INDEX(INDIRECT("'"&amp;$A50&amp;"'!$A$1:$W$30"),MATCH('All Positional Stats'!$A$47,INDIRECT("'"&amp;$A50&amp;"'!$A$1:$A$30"),0),MATCH('All Positional Stats'!Z$46,INDIRECT("'"&amp;$A50&amp;"'!$A$1:$W$1"),0))</f>
        <v>5.8</v>
      </c>
      <c r="AA50" s="1">
        <f t="shared" ref="AA50" ca="1" si="101">_xlfn.RANK.EQ(Z50,Z$48:Z$59)</f>
        <v>12</v>
      </c>
      <c r="AB50" s="1">
        <f ca="1">INDEX(INDIRECT("'"&amp;$A50&amp;"'!$A$1:$W$30"),MATCH('All Positional Stats'!$A$47,INDIRECT("'"&amp;$A50&amp;"'!$A$1:$A$30"),0),MATCH('All Positional Stats'!AB$46,INDIRECT("'"&amp;$A50&amp;"'!$A$1:$W$1"),0))</f>
        <v>17.3</v>
      </c>
      <c r="AC50" s="1">
        <f t="shared" ref="AC50" ca="1" si="102">_xlfn.RANK.EQ(AB50,AB$48:AB$59)</f>
        <v>5</v>
      </c>
      <c r="AD50" s="1">
        <f ca="1">INDEX(INDIRECT("'"&amp;$A50&amp;"'!$A$1:$W$30"),MATCH('All Positional Stats'!$A$47,INDIRECT("'"&amp;$A50&amp;"'!$A$1:$A$30"),0),MATCH('All Positional Stats'!AD$46,INDIRECT("'"&amp;$A50&amp;"'!$A$1:$W$1"),0))</f>
        <v>3</v>
      </c>
      <c r="AE50" s="1">
        <f t="shared" ref="AE50" ca="1" si="103">_xlfn.RANK.EQ(AD50,AD$48:AD$59)</f>
        <v>11</v>
      </c>
      <c r="AF50" s="1">
        <f ca="1">INDEX(INDIRECT("'"&amp;$A50&amp;"'!$A$1:$W$30"),MATCH('All Positional Stats'!$A$47,INDIRECT("'"&amp;$A50&amp;"'!$A$1:$A$30"),0),MATCH('All Positional Stats'!AF$46,INDIRECT("'"&amp;$A50&amp;"'!$A$1:$W$1"),0))</f>
        <v>9.5</v>
      </c>
      <c r="AG50" s="1">
        <f t="shared" ref="AG50" ca="1" si="104">_xlfn.RANK.EQ(AF50,AF$48:AF$59)</f>
        <v>5</v>
      </c>
      <c r="AH50" s="1">
        <f ca="1">INDEX(INDIRECT("'"&amp;$A50&amp;"'!$A$1:$W$30"),MATCH('All Positional Stats'!$A$47,INDIRECT("'"&amp;$A50&amp;"'!$A$1:$A$30"),0),MATCH('All Positional Stats'!AH$46,INDIRECT("'"&amp;$A50&amp;"'!$A$1:$W$1"),0))</f>
        <v>1.2</v>
      </c>
      <c r="AI50" s="1">
        <f ca="1">INDEX(INDIRECT("'"&amp;$A50&amp;"'!$A$1:$W$30"),MATCH('All Positional Stats'!$A$47,INDIRECT("'"&amp;$A50&amp;"'!$A$1:$A$30"),0),MATCH('All Positional Stats'!AI$46,INDIRECT("'"&amp;$A50&amp;"'!$A$1:$W$1"),0))</f>
        <v>18.399999999999999</v>
      </c>
      <c r="AJ50" s="7">
        <f ca="1">INDEX(INDIRECT("'"&amp;$A50&amp;"'!$A$1:$W$30"),MATCH('All Positional Stats'!$A$47,INDIRECT("'"&amp;$A50&amp;"'!$A$1:$A$30"),0),MATCH('All Positional Stats'!AJ$46,INDIRECT("'"&amp;$A50&amp;"'!$A$1:$W$1"),0))</f>
        <v>8.625</v>
      </c>
      <c r="AK50" s="7">
        <f ca="1">INDEX(INDIRECT("'"&amp;$A50&amp;"'!$A$1:$W$30"),MATCH('All Positional Stats'!$A$47,INDIRECT("'"&amp;$A50&amp;"'!$A$1:$A$30"),0),MATCH('All Positional Stats'!AK$46,INDIRECT("'"&amp;$A50&amp;"'!$A$1:$W$1"),0))</f>
        <v>5.18694274115302</v>
      </c>
      <c r="AL50" s="7">
        <f ca="1">INDEX(INDIRECT("'"&amp;$A50&amp;"'!$A$1:$W$30"),MATCH('All Positional Stats'!$A$47,INDIRECT("'"&amp;$A50&amp;"'!$A$1:$A$30"),0),MATCH('All Positional Stats'!AL$46,INDIRECT("'"&amp;$A50&amp;"'!$A$1:$W$1"),0))</f>
        <v>138</v>
      </c>
      <c r="AM50" s="6">
        <f ca="1">INDEX(INDIRECT("'"&amp;$A50&amp;"'!$A$1:$W$30"),MATCH('All Positional Stats'!$A$47,INDIRECT("'"&amp;$A50&amp;"'!$A$1:$A$30"),0),MATCH('All Positional Stats'!AM$46,INDIRECT("'"&amp;$A50&amp;"'!$A$1:$W$1"),0))</f>
        <v>9.5409292035398247E-2</v>
      </c>
      <c r="AN50" s="9">
        <f t="shared" ca="1" si="88"/>
        <v>108.2</v>
      </c>
      <c r="AO50" s="8">
        <f t="shared" ca="1" si="89"/>
        <v>12</v>
      </c>
    </row>
    <row r="51" spans="1:41" ht="16.25" thickTop="1" thickBot="1" x14ac:dyDescent="0.9">
      <c r="A51" s="1" t="s">
        <v>4</v>
      </c>
      <c r="B51" s="1">
        <f ca="1">INDEX(INDIRECT("'"&amp;$A51&amp;"'!$A$1:$W$30"),MATCH('All Positional Stats'!$A$47,INDIRECT("'"&amp;$A51&amp;"'!$A$1:$A$30"),0),MATCH('All Positional Stats'!B$46,INDIRECT("'"&amp;$A51&amp;"'!$A$1:$W$1"),0))</f>
        <v>8.6</v>
      </c>
      <c r="C51" s="1">
        <f t="shared" ca="1" si="72"/>
        <v>8</v>
      </c>
      <c r="D51" s="1">
        <f ca="1">INDEX(INDIRECT("'"&amp;$A51&amp;"'!$A$1:$W$30"),MATCH('All Positional Stats'!$A$47,INDIRECT("'"&amp;$A51&amp;"'!$A$1:$A$30"),0),MATCH('All Positional Stats'!D$46,INDIRECT("'"&amp;$A51&amp;"'!$A$1:$W$1"),0))</f>
        <v>13.3</v>
      </c>
      <c r="E51" s="1">
        <f t="shared" ref="E51" ca="1" si="105">_xlfn.RANK.EQ(D51,D$48:D$59)</f>
        <v>4</v>
      </c>
      <c r="F51" s="1">
        <f ca="1">INDEX(INDIRECT("'"&amp;$A51&amp;"'!$A$1:$W$30"),MATCH('All Positional Stats'!$A$47,INDIRECT("'"&amp;$A51&amp;"'!$A$1:$A$30"),0),MATCH('All Positional Stats'!F$46,INDIRECT("'"&amp;$A51&amp;"'!$A$1:$W$1"),0))</f>
        <v>12.6</v>
      </c>
      <c r="G51" s="1">
        <f t="shared" ref="G51" ca="1" si="106">_xlfn.RANK.EQ(F51,F$48:F$59)</f>
        <v>7</v>
      </c>
      <c r="H51" s="1">
        <f ca="1">INDEX(INDIRECT("'"&amp;$A51&amp;"'!$A$1:$W$30"),MATCH('All Positional Stats'!$A$47,INDIRECT("'"&amp;$A51&amp;"'!$A$1:$A$30"),0),MATCH('All Positional Stats'!H$46,INDIRECT("'"&amp;$A51&amp;"'!$A$1:$W$1"),0))</f>
        <v>4.5</v>
      </c>
      <c r="I51" s="1">
        <f t="shared" ref="I51" ca="1" si="107">_xlfn.RANK.EQ(H51,H$48:H$59)</f>
        <v>10</v>
      </c>
      <c r="J51" s="1">
        <f ca="1">INDEX(INDIRECT("'"&amp;$A51&amp;"'!$A$1:$W$30"),MATCH('All Positional Stats'!$A$47,INDIRECT("'"&amp;$A51&amp;"'!$A$1:$A$30"),0),MATCH('All Positional Stats'!J$46,INDIRECT("'"&amp;$A51&amp;"'!$A$1:$W$1"),0))</f>
        <v>13.7</v>
      </c>
      <c r="K51" s="1">
        <f t="shared" ref="K51" ca="1" si="108">_xlfn.RANK.EQ(J51,J$48:J$59)</f>
        <v>5</v>
      </c>
      <c r="L51" s="1">
        <f ca="1">INDEX(INDIRECT("'"&amp;$A51&amp;"'!$A$1:$W$30"),MATCH('All Positional Stats'!$A$47,INDIRECT("'"&amp;$A51&amp;"'!$A$1:$A$30"),0),MATCH('All Positional Stats'!L$46,INDIRECT("'"&amp;$A51&amp;"'!$A$1:$W$1"),0))</f>
        <v>8</v>
      </c>
      <c r="M51" s="1">
        <f t="shared" ref="M51" ca="1" si="109">_xlfn.RANK.EQ(L51,L$48:L$59)</f>
        <v>9</v>
      </c>
      <c r="N51" s="1">
        <f ca="1">INDEX(INDIRECT("'"&amp;$A51&amp;"'!$A$1:$W$30"),MATCH('All Positional Stats'!$A$47,INDIRECT("'"&amp;$A51&amp;"'!$A$1:$A$30"),0),MATCH('All Positional Stats'!N$46,INDIRECT("'"&amp;$A51&amp;"'!$A$1:$W$1"),0))</f>
        <v>15.8</v>
      </c>
      <c r="O51" s="1">
        <f t="shared" ref="O51" ca="1" si="110">_xlfn.RANK.EQ(N51,N$48:N$59)</f>
        <v>4</v>
      </c>
      <c r="P51" s="1">
        <f ca="1">INDEX(INDIRECT("'"&amp;$A51&amp;"'!$A$1:$W$30"),MATCH('All Positional Stats'!$A$47,INDIRECT("'"&amp;$A51&amp;"'!$A$1:$A$30"),0),MATCH('All Positional Stats'!P$46,INDIRECT("'"&amp;$A51&amp;"'!$A$1:$W$1"),0))</f>
        <v>5.9</v>
      </c>
      <c r="Q51" s="1">
        <f t="shared" ref="Q51" ca="1" si="111">_xlfn.RANK.EQ(P51,P$48:P$59)</f>
        <v>10</v>
      </c>
      <c r="R51" s="1">
        <f ca="1">INDEX(INDIRECT("'"&amp;$A51&amp;"'!$A$1:$W$30"),MATCH('All Positional Stats'!$A$47,INDIRECT("'"&amp;$A51&amp;"'!$A$1:$A$30"),0),MATCH('All Positional Stats'!R$46,INDIRECT("'"&amp;$A51&amp;"'!$A$1:$W$1"),0))</f>
        <v>10.3</v>
      </c>
      <c r="S51" s="1">
        <f t="shared" ref="S51" ca="1" si="112">_xlfn.RANK.EQ(R51,R$48:R$59)</f>
        <v>6</v>
      </c>
      <c r="T51" s="1">
        <f ca="1">INDEX(INDIRECT("'"&amp;$A51&amp;"'!$A$1:$W$30"),MATCH('All Positional Stats'!$A$47,INDIRECT("'"&amp;$A51&amp;"'!$A$1:$A$30"),0),MATCH('All Positional Stats'!T$46,INDIRECT("'"&amp;$A51&amp;"'!$A$1:$W$1"),0))</f>
        <v>5.9</v>
      </c>
      <c r="U51" s="1">
        <f t="shared" ref="U51" ca="1" si="113">_xlfn.RANK.EQ(T51,T$48:T$59)</f>
        <v>9</v>
      </c>
      <c r="V51" s="1">
        <f ca="1">INDEX(INDIRECT("'"&amp;$A51&amp;"'!$A$1:$W$30"),MATCH('All Positional Stats'!$A$47,INDIRECT("'"&amp;$A51&amp;"'!$A$1:$A$30"),0),MATCH('All Positional Stats'!V$46,INDIRECT("'"&amp;$A51&amp;"'!$A$1:$W$1"),0))</f>
        <v>10.3</v>
      </c>
      <c r="W51" s="1">
        <f t="shared" ref="W51" ca="1" si="114">_xlfn.RANK.EQ(V51,V$48:V$59)</f>
        <v>9</v>
      </c>
      <c r="X51" s="1">
        <f ca="1">INDEX(INDIRECT("'"&amp;$A51&amp;"'!$A$1:$W$30"),MATCH('All Positional Stats'!$A$47,INDIRECT("'"&amp;$A51&amp;"'!$A$1:$A$30"),0),MATCH('All Positional Stats'!X$46,INDIRECT("'"&amp;$A51&amp;"'!$A$1:$W$1"),0))</f>
        <v>5.2</v>
      </c>
      <c r="Y51" s="1">
        <f t="shared" ref="Y51" ca="1" si="115">_xlfn.RANK.EQ(X51,X$48:X$59)</f>
        <v>7</v>
      </c>
      <c r="Z51" s="1">
        <f ca="1">INDEX(INDIRECT("'"&amp;$A51&amp;"'!$A$1:$W$30"),MATCH('All Positional Stats'!$A$47,INDIRECT("'"&amp;$A51&amp;"'!$A$1:$A$30"),0),MATCH('All Positional Stats'!Z$46,INDIRECT("'"&amp;$A51&amp;"'!$A$1:$W$1"),0))</f>
        <v>14.6</v>
      </c>
      <c r="AA51" s="1">
        <f t="shared" ref="AA51" ca="1" si="116">_xlfn.RANK.EQ(Z51,Z$48:Z$59)</f>
        <v>6</v>
      </c>
      <c r="AB51" s="1">
        <f ca="1">INDEX(INDIRECT("'"&amp;$A51&amp;"'!$A$1:$W$30"),MATCH('All Positional Stats'!$A$47,INDIRECT("'"&amp;$A51&amp;"'!$A$1:$A$30"),0),MATCH('All Positional Stats'!AB$46,INDIRECT("'"&amp;$A51&amp;"'!$A$1:$W$1"),0))</f>
        <v>14.8</v>
      </c>
      <c r="AC51" s="1">
        <f t="shared" ref="AC51" ca="1" si="117">_xlfn.RANK.EQ(AB51,AB$48:AB$59)</f>
        <v>6</v>
      </c>
      <c r="AD51" s="1">
        <f ca="1">INDEX(INDIRECT("'"&amp;$A51&amp;"'!$A$1:$W$30"),MATCH('All Positional Stats'!$A$47,INDIRECT("'"&amp;$A51&amp;"'!$A$1:$A$30"),0),MATCH('All Positional Stats'!AD$46,INDIRECT("'"&amp;$A51&amp;"'!$A$1:$W$1"),0))</f>
        <v>6.5</v>
      </c>
      <c r="AE51" s="1">
        <f t="shared" ref="AE51" ca="1" si="118">_xlfn.RANK.EQ(AD51,AD$48:AD$59)</f>
        <v>6</v>
      </c>
      <c r="AF51" s="1">
        <f ca="1">INDEX(INDIRECT("'"&amp;$A51&amp;"'!$A$1:$W$30"),MATCH('All Positional Stats'!$A$47,INDIRECT("'"&amp;$A51&amp;"'!$A$1:$A$30"),0),MATCH('All Positional Stats'!AF$46,INDIRECT("'"&amp;$A51&amp;"'!$A$1:$W$1"),0))</f>
        <v>3.8</v>
      </c>
      <c r="AG51" s="1">
        <f t="shared" ref="AG51" ca="1" si="119">_xlfn.RANK.EQ(AF51,AF$48:AF$59)</f>
        <v>9</v>
      </c>
      <c r="AH51" s="1">
        <f ca="1">INDEX(INDIRECT("'"&amp;$A51&amp;"'!$A$1:$W$30"),MATCH('All Positional Stats'!$A$47,INDIRECT("'"&amp;$A51&amp;"'!$A$1:$A$30"),0),MATCH('All Positional Stats'!AH$46,INDIRECT("'"&amp;$A51&amp;"'!$A$1:$W$1"),0))</f>
        <v>3.8</v>
      </c>
      <c r="AI51" s="1">
        <f ca="1">INDEX(INDIRECT("'"&amp;$A51&amp;"'!$A$1:$W$30"),MATCH('All Positional Stats'!$A$47,INDIRECT("'"&amp;$A51&amp;"'!$A$1:$A$30"),0),MATCH('All Positional Stats'!AI$46,INDIRECT("'"&amp;$A51&amp;"'!$A$1:$W$1"),0))</f>
        <v>15.8</v>
      </c>
      <c r="AJ51" s="7">
        <f ca="1">INDEX(INDIRECT("'"&amp;$A51&amp;"'!$A$1:$W$30"),MATCH('All Positional Stats'!$A$47,INDIRECT("'"&amp;$A51&amp;"'!$A$1:$A$30"),0),MATCH('All Positional Stats'!AJ$46,INDIRECT("'"&amp;$A51&amp;"'!$A$1:$W$1"),0))</f>
        <v>9.6125000000000025</v>
      </c>
      <c r="AK51" s="7">
        <f ca="1">INDEX(INDIRECT("'"&amp;$A51&amp;"'!$A$1:$W$30"),MATCH('All Positional Stats'!$A$47,INDIRECT("'"&amp;$A51&amp;"'!$A$1:$A$30"),0),MATCH('All Positional Stats'!AK$46,INDIRECT("'"&amp;$A51&amp;"'!$A$1:$W$1"),0))</f>
        <v>3.9569361569274704</v>
      </c>
      <c r="AL51" s="7">
        <f ca="1">INDEX(INDIRECT("'"&amp;$A51&amp;"'!$A$1:$W$30"),MATCH('All Positional Stats'!$A$47,INDIRECT("'"&amp;$A51&amp;"'!$A$1:$A$30"),0),MATCH('All Positional Stats'!AL$46,INDIRECT("'"&amp;$A51&amp;"'!$A$1:$W$1"),0))</f>
        <v>153.80000000000004</v>
      </c>
      <c r="AM51" s="6">
        <f ca="1">INDEX(INDIRECT("'"&amp;$A51&amp;"'!$A$1:$W$30"),MATCH('All Positional Stats'!$A$47,INDIRECT("'"&amp;$A51&amp;"'!$A$1:$A$30"),0),MATCH('All Positional Stats'!AM$46,INDIRECT("'"&amp;$A51&amp;"'!$A$1:$W$1"),0))</f>
        <v>9.9008626239217218E-2</v>
      </c>
      <c r="AN51" s="9">
        <f t="shared" ca="1" si="88"/>
        <v>128.70000000000002</v>
      </c>
      <c r="AO51" s="8">
        <f t="shared" ca="1" si="89"/>
        <v>10</v>
      </c>
    </row>
    <row r="52" spans="1:41" ht="16.25" thickTop="1" thickBot="1" x14ac:dyDescent="0.9">
      <c r="A52" s="1" t="s">
        <v>5</v>
      </c>
      <c r="B52" s="1">
        <f ca="1">INDEX(INDIRECT("'"&amp;$A52&amp;"'!$A$1:$W$30"),MATCH('All Positional Stats'!$A$47,INDIRECT("'"&amp;$A52&amp;"'!$A$1:$A$30"),0),MATCH('All Positional Stats'!B$46,INDIRECT("'"&amp;$A52&amp;"'!$A$1:$W$1"),0))</f>
        <v>14.7</v>
      </c>
      <c r="C52" s="1">
        <f t="shared" ca="1" si="72"/>
        <v>5</v>
      </c>
      <c r="D52" s="1">
        <f ca="1">INDEX(INDIRECT("'"&amp;$A52&amp;"'!$A$1:$W$30"),MATCH('All Positional Stats'!$A$47,INDIRECT("'"&amp;$A52&amp;"'!$A$1:$A$30"),0),MATCH('All Positional Stats'!D$46,INDIRECT("'"&amp;$A52&amp;"'!$A$1:$W$1"),0))</f>
        <v>5.3</v>
      </c>
      <c r="E52" s="1">
        <f t="shared" ref="E52" ca="1" si="120">_xlfn.RANK.EQ(D52,D$48:D$59)</f>
        <v>10</v>
      </c>
      <c r="F52" s="1">
        <f ca="1">INDEX(INDIRECT("'"&amp;$A52&amp;"'!$A$1:$W$30"),MATCH('All Positional Stats'!$A$47,INDIRECT("'"&amp;$A52&amp;"'!$A$1:$A$30"),0),MATCH('All Positional Stats'!F$46,INDIRECT("'"&amp;$A52&amp;"'!$A$1:$W$1"),0))</f>
        <v>1.1000000000000001</v>
      </c>
      <c r="G52" s="1">
        <f t="shared" ref="G52" ca="1" si="121">_xlfn.RANK.EQ(F52,F$48:F$59)</f>
        <v>12</v>
      </c>
      <c r="H52" s="1">
        <f ca="1">INDEX(INDIRECT("'"&amp;$A52&amp;"'!$A$1:$W$30"),MATCH('All Positional Stats'!$A$47,INDIRECT("'"&amp;$A52&amp;"'!$A$1:$A$30"),0),MATCH('All Positional Stats'!H$46,INDIRECT("'"&amp;$A52&amp;"'!$A$1:$W$1"),0))</f>
        <v>11.2</v>
      </c>
      <c r="I52" s="1">
        <f t="shared" ref="I52" ca="1" si="122">_xlfn.RANK.EQ(H52,H$48:H$59)</f>
        <v>6</v>
      </c>
      <c r="J52" s="1">
        <f ca="1">INDEX(INDIRECT("'"&amp;$A52&amp;"'!$A$1:$W$30"),MATCH('All Positional Stats'!$A$47,INDIRECT("'"&amp;$A52&amp;"'!$A$1:$A$30"),0),MATCH('All Positional Stats'!J$46,INDIRECT("'"&amp;$A52&amp;"'!$A$1:$W$1"),0))</f>
        <v>8.1</v>
      </c>
      <c r="K52" s="1">
        <f t="shared" ref="K52" ca="1" si="123">_xlfn.RANK.EQ(J52,J$48:J$59)</f>
        <v>9</v>
      </c>
      <c r="L52" s="1">
        <f ca="1">INDEX(INDIRECT("'"&amp;$A52&amp;"'!$A$1:$W$30"),MATCH('All Positional Stats'!$A$47,INDIRECT("'"&amp;$A52&amp;"'!$A$1:$A$30"),0),MATCH('All Positional Stats'!L$46,INDIRECT("'"&amp;$A52&amp;"'!$A$1:$W$1"),0))</f>
        <v>22.8</v>
      </c>
      <c r="M52" s="1">
        <f t="shared" ref="M52" ca="1" si="124">_xlfn.RANK.EQ(L52,L$48:L$59)</f>
        <v>2</v>
      </c>
      <c r="N52" s="1">
        <f ca="1">INDEX(INDIRECT("'"&amp;$A52&amp;"'!$A$1:$W$30"),MATCH('All Positional Stats'!$A$47,INDIRECT("'"&amp;$A52&amp;"'!$A$1:$A$30"),0),MATCH('All Positional Stats'!N$46,INDIRECT("'"&amp;$A52&amp;"'!$A$1:$W$1"),0))</f>
        <v>38.5</v>
      </c>
      <c r="O52" s="1">
        <f t="shared" ref="O52" ca="1" si="125">_xlfn.RANK.EQ(N52,N$48:N$59)</f>
        <v>1</v>
      </c>
      <c r="P52" s="1">
        <f ca="1">INDEX(INDIRECT("'"&amp;$A52&amp;"'!$A$1:$W$30"),MATCH('All Positional Stats'!$A$47,INDIRECT("'"&amp;$A52&amp;"'!$A$1:$A$30"),0),MATCH('All Positional Stats'!P$46,INDIRECT("'"&amp;$A52&amp;"'!$A$1:$W$1"),0))</f>
        <v>7.7</v>
      </c>
      <c r="Q52" s="1">
        <f t="shared" ref="Q52" ca="1" si="126">_xlfn.RANK.EQ(P52,P$48:P$59)</f>
        <v>9</v>
      </c>
      <c r="R52" s="1">
        <f ca="1">INDEX(INDIRECT("'"&amp;$A52&amp;"'!$A$1:$W$30"),MATCH('All Positional Stats'!$A$47,INDIRECT("'"&amp;$A52&amp;"'!$A$1:$A$30"),0),MATCH('All Positional Stats'!R$46,INDIRECT("'"&amp;$A52&amp;"'!$A$1:$W$1"),0))</f>
        <v>7.8</v>
      </c>
      <c r="S52" s="1">
        <f t="shared" ref="S52" ca="1" si="127">_xlfn.RANK.EQ(R52,R$48:R$59)</f>
        <v>9</v>
      </c>
      <c r="T52" s="1">
        <f ca="1">INDEX(INDIRECT("'"&amp;$A52&amp;"'!$A$1:$W$30"),MATCH('All Positional Stats'!$A$47,INDIRECT("'"&amp;$A52&amp;"'!$A$1:$A$30"),0),MATCH('All Positional Stats'!T$46,INDIRECT("'"&amp;$A52&amp;"'!$A$1:$W$1"),0))</f>
        <v>16.3</v>
      </c>
      <c r="U52" s="1">
        <f t="shared" ref="U52" ca="1" si="128">_xlfn.RANK.EQ(T52,T$48:T$59)</f>
        <v>3</v>
      </c>
      <c r="V52" s="1">
        <f ca="1">INDEX(INDIRECT("'"&amp;$A52&amp;"'!$A$1:$W$30"),MATCH('All Positional Stats'!$A$47,INDIRECT("'"&amp;$A52&amp;"'!$A$1:$A$30"),0),MATCH('All Positional Stats'!V$46,INDIRECT("'"&amp;$A52&amp;"'!$A$1:$W$1"),0))</f>
        <v>19.600000000000001</v>
      </c>
      <c r="W52" s="1">
        <f t="shared" ref="W52" ca="1" si="129">_xlfn.RANK.EQ(V52,V$48:V$59)</f>
        <v>3</v>
      </c>
      <c r="X52" s="1">
        <f ca="1">INDEX(INDIRECT("'"&amp;$A52&amp;"'!$A$1:$W$30"),MATCH('All Positional Stats'!$A$47,INDIRECT("'"&amp;$A52&amp;"'!$A$1:$A$30"),0),MATCH('All Positional Stats'!X$46,INDIRECT("'"&amp;$A52&amp;"'!$A$1:$W$1"),0))</f>
        <v>4.7</v>
      </c>
      <c r="Y52" s="1">
        <f t="shared" ref="Y52" ca="1" si="130">_xlfn.RANK.EQ(X52,X$48:X$59)</f>
        <v>8</v>
      </c>
      <c r="Z52" s="1">
        <f ca="1">INDEX(INDIRECT("'"&amp;$A52&amp;"'!$A$1:$W$30"),MATCH('All Positional Stats'!$A$47,INDIRECT("'"&amp;$A52&amp;"'!$A$1:$A$30"),0),MATCH('All Positional Stats'!Z$46,INDIRECT("'"&amp;$A52&amp;"'!$A$1:$W$1"),0))</f>
        <v>20.8</v>
      </c>
      <c r="AA52" s="1">
        <f t="shared" ref="AA52" ca="1" si="131">_xlfn.RANK.EQ(Z52,Z$48:Z$59)</f>
        <v>3</v>
      </c>
      <c r="AB52" s="1">
        <f ca="1">INDEX(INDIRECT("'"&amp;$A52&amp;"'!$A$1:$W$30"),MATCH('All Positional Stats'!$A$47,INDIRECT("'"&amp;$A52&amp;"'!$A$1:$A$30"),0),MATCH('All Positional Stats'!AB$46,INDIRECT("'"&amp;$A52&amp;"'!$A$1:$W$1"),0))</f>
        <v>6.9</v>
      </c>
      <c r="AC52" s="1">
        <f t="shared" ref="AC52" ca="1" si="132">_xlfn.RANK.EQ(AB52,AB$48:AB$59)</f>
        <v>9</v>
      </c>
      <c r="AD52" s="1">
        <f ca="1">INDEX(INDIRECT("'"&amp;$A52&amp;"'!$A$1:$W$30"),MATCH('All Positional Stats'!$A$47,INDIRECT("'"&amp;$A52&amp;"'!$A$1:$A$30"),0),MATCH('All Positional Stats'!AD$46,INDIRECT("'"&amp;$A52&amp;"'!$A$1:$W$1"),0))</f>
        <v>8.5</v>
      </c>
      <c r="AE52" s="1">
        <f t="shared" ref="AE52" ca="1" si="133">_xlfn.RANK.EQ(AD52,AD$48:AD$59)</f>
        <v>3</v>
      </c>
      <c r="AF52" s="1">
        <f ca="1">INDEX(INDIRECT("'"&amp;$A52&amp;"'!$A$1:$W$30"),MATCH('All Positional Stats'!$A$47,INDIRECT("'"&amp;$A52&amp;"'!$A$1:$A$30"),0),MATCH('All Positional Stats'!AF$46,INDIRECT("'"&amp;$A52&amp;"'!$A$1:$W$1"),0))</f>
        <v>23.2</v>
      </c>
      <c r="AG52" s="1">
        <f t="shared" ref="AG52" ca="1" si="134">_xlfn.RANK.EQ(AF52,AF$48:AF$59)</f>
        <v>1</v>
      </c>
      <c r="AH52" s="1">
        <f ca="1">INDEX(INDIRECT("'"&amp;$A52&amp;"'!$A$1:$W$30"),MATCH('All Positional Stats'!$A$47,INDIRECT("'"&amp;$A52&amp;"'!$A$1:$A$30"),0),MATCH('All Positional Stats'!AH$46,INDIRECT("'"&amp;$A52&amp;"'!$A$1:$W$1"),0))</f>
        <v>1.1000000000000001</v>
      </c>
      <c r="AI52" s="1">
        <f ca="1">INDEX(INDIRECT("'"&amp;$A52&amp;"'!$A$1:$W$30"),MATCH('All Positional Stats'!$A$47,INDIRECT("'"&amp;$A52&amp;"'!$A$1:$A$30"),0),MATCH('All Positional Stats'!AI$46,INDIRECT("'"&amp;$A52&amp;"'!$A$1:$W$1"),0))</f>
        <v>38.5</v>
      </c>
      <c r="AJ52" s="7">
        <f ca="1">INDEX(INDIRECT("'"&amp;$A52&amp;"'!$A$1:$W$30"),MATCH('All Positional Stats'!$A$47,INDIRECT("'"&amp;$A52&amp;"'!$A$1:$A$30"),0),MATCH('All Positional Stats'!AJ$46,INDIRECT("'"&amp;$A52&amp;"'!$A$1:$W$1"),0))</f>
        <v>13.574999999999999</v>
      </c>
      <c r="AK52" s="7">
        <f ca="1">INDEX(INDIRECT("'"&amp;$A52&amp;"'!$A$1:$W$30"),MATCH('All Positional Stats'!$A$47,INDIRECT("'"&amp;$A52&amp;"'!$A$1:$A$30"),0),MATCH('All Positional Stats'!AK$46,INDIRECT("'"&amp;$A52&amp;"'!$A$1:$W$1"),0))</f>
        <v>9.2629976249592136</v>
      </c>
      <c r="AL52" s="7">
        <f ca="1">INDEX(INDIRECT("'"&amp;$A52&amp;"'!$A$1:$W$30"),MATCH('All Positional Stats'!$A$47,INDIRECT("'"&amp;$A52&amp;"'!$A$1:$A$30"),0),MATCH('All Positional Stats'!AL$46,INDIRECT("'"&amp;$A52&amp;"'!$A$1:$W$1"),0))</f>
        <v>217.2</v>
      </c>
      <c r="AM52" s="6">
        <f ca="1">INDEX(INDIRECT("'"&amp;$A52&amp;"'!$A$1:$W$30"),MATCH('All Positional Stats'!$A$47,INDIRECT("'"&amp;$A52&amp;"'!$A$1:$A$30"),0),MATCH('All Positional Stats'!AM$46,INDIRECT("'"&amp;$A52&amp;"'!$A$1:$W$1"),0))</f>
        <v>0.14181248367720029</v>
      </c>
      <c r="AN52" s="9">
        <f t="shared" ca="1" si="88"/>
        <v>178.6</v>
      </c>
      <c r="AO52" s="8">
        <f t="shared" ca="1" si="89"/>
        <v>4</v>
      </c>
    </row>
    <row r="53" spans="1:41" ht="16.25" thickTop="1" thickBot="1" x14ac:dyDescent="0.9">
      <c r="A53" s="1" t="s">
        <v>6</v>
      </c>
      <c r="B53" s="1">
        <f ca="1">INDEX(INDIRECT("'"&amp;$A53&amp;"'!$A$1:$W$30"),MATCH('All Positional Stats'!$A$47,INDIRECT("'"&amp;$A53&amp;"'!$A$1:$A$30"),0),MATCH('All Positional Stats'!B$46,INDIRECT("'"&amp;$A53&amp;"'!$A$1:$W$1"),0))</f>
        <v>23.7</v>
      </c>
      <c r="C53" s="1">
        <f t="shared" ca="1" si="72"/>
        <v>1</v>
      </c>
      <c r="D53" s="1">
        <f ca="1">INDEX(INDIRECT("'"&amp;$A53&amp;"'!$A$1:$W$30"),MATCH('All Positional Stats'!$A$47,INDIRECT("'"&amp;$A53&amp;"'!$A$1:$A$30"),0),MATCH('All Positional Stats'!D$46,INDIRECT("'"&amp;$A53&amp;"'!$A$1:$W$1"),0))</f>
        <v>8.6999999999999993</v>
      </c>
      <c r="E53" s="1">
        <f t="shared" ref="E53" ca="1" si="135">_xlfn.RANK.EQ(D53,D$48:D$59)</f>
        <v>7</v>
      </c>
      <c r="F53" s="1">
        <f ca="1">INDEX(INDIRECT("'"&amp;$A53&amp;"'!$A$1:$W$30"),MATCH('All Positional Stats'!$A$47,INDIRECT("'"&amp;$A53&amp;"'!$A$1:$A$30"),0),MATCH('All Positional Stats'!F$46,INDIRECT("'"&amp;$A53&amp;"'!$A$1:$W$1"),0))</f>
        <v>22</v>
      </c>
      <c r="G53" s="1">
        <f t="shared" ref="G53" ca="1" si="136">_xlfn.RANK.EQ(F53,F$48:F$59)</f>
        <v>3</v>
      </c>
      <c r="H53" s="1">
        <f ca="1">INDEX(INDIRECT("'"&amp;$A53&amp;"'!$A$1:$W$30"),MATCH('All Positional Stats'!$A$47,INDIRECT("'"&amp;$A53&amp;"'!$A$1:$A$30"),0),MATCH('All Positional Stats'!H$46,INDIRECT("'"&amp;$A53&amp;"'!$A$1:$W$1"),0))</f>
        <v>5.4</v>
      </c>
      <c r="I53" s="1">
        <f t="shared" ref="I53" ca="1" si="137">_xlfn.RANK.EQ(H53,H$48:H$59)</f>
        <v>8</v>
      </c>
      <c r="J53" s="1">
        <f ca="1">INDEX(INDIRECT("'"&amp;$A53&amp;"'!$A$1:$W$30"),MATCH('All Positional Stats'!$A$47,INDIRECT("'"&amp;$A53&amp;"'!$A$1:$A$30"),0),MATCH('All Positional Stats'!J$46,INDIRECT("'"&amp;$A53&amp;"'!$A$1:$W$1"),0))</f>
        <v>20.7</v>
      </c>
      <c r="K53" s="1">
        <f t="shared" ref="K53" ca="1" si="138">_xlfn.RANK.EQ(J53,J$48:J$59)</f>
        <v>3</v>
      </c>
      <c r="L53" s="1">
        <f ca="1">INDEX(INDIRECT("'"&amp;$A53&amp;"'!$A$1:$W$30"),MATCH('All Positional Stats'!$A$47,INDIRECT("'"&amp;$A53&amp;"'!$A$1:$A$30"),0),MATCH('All Positional Stats'!L$46,INDIRECT("'"&amp;$A53&amp;"'!$A$1:$W$1"),0))</f>
        <v>25.5</v>
      </c>
      <c r="M53" s="1">
        <f t="shared" ref="M53" ca="1" si="139">_xlfn.RANK.EQ(L53,L$48:L$59)</f>
        <v>1</v>
      </c>
      <c r="N53" s="1">
        <f ca="1">INDEX(INDIRECT("'"&amp;$A53&amp;"'!$A$1:$W$30"),MATCH('All Positional Stats'!$A$47,INDIRECT("'"&amp;$A53&amp;"'!$A$1:$A$30"),0),MATCH('All Positional Stats'!N$46,INDIRECT("'"&amp;$A53&amp;"'!$A$1:$W$1"),0))</f>
        <v>14.5</v>
      </c>
      <c r="O53" s="1">
        <f t="shared" ref="O53" ca="1" si="140">_xlfn.RANK.EQ(N53,N$48:N$59)</f>
        <v>5</v>
      </c>
      <c r="P53" s="1">
        <f ca="1">INDEX(INDIRECT("'"&amp;$A53&amp;"'!$A$1:$W$30"),MATCH('All Positional Stats'!$A$47,INDIRECT("'"&amp;$A53&amp;"'!$A$1:$A$30"),0),MATCH('All Positional Stats'!P$46,INDIRECT("'"&amp;$A53&amp;"'!$A$1:$W$1"),0))</f>
        <v>9.5</v>
      </c>
      <c r="Q53" s="1">
        <f t="shared" ref="Q53" ca="1" si="141">_xlfn.RANK.EQ(P53,P$48:P$59)</f>
        <v>6</v>
      </c>
      <c r="R53" s="1">
        <f ca="1">INDEX(INDIRECT("'"&amp;$A53&amp;"'!$A$1:$W$30"),MATCH('All Positional Stats'!$A$47,INDIRECT("'"&amp;$A53&amp;"'!$A$1:$A$30"),0),MATCH('All Positional Stats'!R$46,INDIRECT("'"&amp;$A53&amp;"'!$A$1:$W$1"),0))</f>
        <v>8.4</v>
      </c>
      <c r="S53" s="1">
        <f t="shared" ref="S53" ca="1" si="142">_xlfn.RANK.EQ(R53,R$48:R$59)</f>
        <v>8</v>
      </c>
      <c r="T53" s="1">
        <f ca="1">INDEX(INDIRECT("'"&amp;$A53&amp;"'!$A$1:$W$30"),MATCH('All Positional Stats'!$A$47,INDIRECT("'"&amp;$A53&amp;"'!$A$1:$A$30"),0),MATCH('All Positional Stats'!T$46,INDIRECT("'"&amp;$A53&amp;"'!$A$1:$W$1"),0))</f>
        <v>6.2</v>
      </c>
      <c r="U53" s="1">
        <f t="shared" ref="U53" ca="1" si="143">_xlfn.RANK.EQ(T53,T$48:T$59)</f>
        <v>8</v>
      </c>
      <c r="V53" s="1">
        <f ca="1">INDEX(INDIRECT("'"&amp;$A53&amp;"'!$A$1:$W$30"),MATCH('All Positional Stats'!$A$47,INDIRECT("'"&amp;$A53&amp;"'!$A$1:$A$30"),0),MATCH('All Positional Stats'!V$46,INDIRECT("'"&amp;$A53&amp;"'!$A$1:$W$1"),0))</f>
        <v>37.4</v>
      </c>
      <c r="W53" s="1">
        <f t="shared" ref="W53" ca="1" si="144">_xlfn.RANK.EQ(V53,V$48:V$59)</f>
        <v>1</v>
      </c>
      <c r="X53" s="1">
        <f ca="1">INDEX(INDIRECT("'"&amp;$A53&amp;"'!$A$1:$W$30"),MATCH('All Positional Stats'!$A$47,INDIRECT("'"&amp;$A53&amp;"'!$A$1:$A$30"),0),MATCH('All Positional Stats'!X$46,INDIRECT("'"&amp;$A53&amp;"'!$A$1:$W$1"),0))</f>
        <v>35.9</v>
      </c>
      <c r="Y53" s="1">
        <f t="shared" ref="Y53" ca="1" si="145">_xlfn.RANK.EQ(X53,X$48:X$59)</f>
        <v>1</v>
      </c>
      <c r="Z53" s="1">
        <f ca="1">INDEX(INDIRECT("'"&amp;$A53&amp;"'!$A$1:$W$30"),MATCH('All Positional Stats'!$A$47,INDIRECT("'"&amp;$A53&amp;"'!$A$1:$A$30"),0),MATCH('All Positional Stats'!Z$46,INDIRECT("'"&amp;$A53&amp;"'!$A$1:$W$1"),0))</f>
        <v>20.100000000000001</v>
      </c>
      <c r="AA53" s="1">
        <f t="shared" ref="AA53" ca="1" si="146">_xlfn.RANK.EQ(Z53,Z$48:Z$59)</f>
        <v>4</v>
      </c>
      <c r="AB53" s="1">
        <f ca="1">INDEX(INDIRECT("'"&amp;$A53&amp;"'!$A$1:$W$30"),MATCH('All Positional Stats'!$A$47,INDIRECT("'"&amp;$A53&amp;"'!$A$1:$A$30"),0),MATCH('All Positional Stats'!AB$46,INDIRECT("'"&amp;$A53&amp;"'!$A$1:$W$1"),0))</f>
        <v>26.8</v>
      </c>
      <c r="AC53" s="1">
        <f t="shared" ref="AC53" ca="1" si="147">_xlfn.RANK.EQ(AB53,AB$48:AB$59)</f>
        <v>1</v>
      </c>
      <c r="AD53" s="1">
        <f ca="1">INDEX(INDIRECT("'"&amp;$A53&amp;"'!$A$1:$W$30"),MATCH('All Positional Stats'!$A$47,INDIRECT("'"&amp;$A53&amp;"'!$A$1:$A$30"),0),MATCH('All Positional Stats'!AD$46,INDIRECT("'"&amp;$A53&amp;"'!$A$1:$W$1"),0))</f>
        <v>3.4</v>
      </c>
      <c r="AE53" s="1">
        <f t="shared" ref="AE53" ca="1" si="148">_xlfn.RANK.EQ(AD53,AD$48:AD$59)</f>
        <v>10</v>
      </c>
      <c r="AF53" s="1">
        <f ca="1">INDEX(INDIRECT("'"&amp;$A53&amp;"'!$A$1:$W$30"),MATCH('All Positional Stats'!$A$47,INDIRECT("'"&amp;$A53&amp;"'!$A$1:$A$30"),0),MATCH('All Positional Stats'!AF$46,INDIRECT("'"&amp;$A53&amp;"'!$A$1:$W$1"),0))</f>
        <v>0</v>
      </c>
      <c r="AG53" s="1">
        <f t="shared" ref="AG53" ca="1" si="149">_xlfn.RANK.EQ(AF53,AF$48:AF$59)</f>
        <v>12</v>
      </c>
      <c r="AH53" s="1">
        <f ca="1">INDEX(INDIRECT("'"&amp;$A53&amp;"'!$A$1:$W$30"),MATCH('All Positional Stats'!$A$47,INDIRECT("'"&amp;$A53&amp;"'!$A$1:$A$30"),0),MATCH('All Positional Stats'!AH$46,INDIRECT("'"&amp;$A53&amp;"'!$A$1:$W$1"),0))</f>
        <v>0</v>
      </c>
      <c r="AI53" s="1">
        <f ca="1">INDEX(INDIRECT("'"&amp;$A53&amp;"'!$A$1:$W$30"),MATCH('All Positional Stats'!$A$47,INDIRECT("'"&amp;$A53&amp;"'!$A$1:$A$30"),0),MATCH('All Positional Stats'!AI$46,INDIRECT("'"&amp;$A53&amp;"'!$A$1:$W$1"),0))</f>
        <v>37.4</v>
      </c>
      <c r="AJ53" s="7">
        <f ca="1">INDEX(INDIRECT("'"&amp;$A53&amp;"'!$A$1:$W$30"),MATCH('All Positional Stats'!$A$47,INDIRECT("'"&amp;$A53&amp;"'!$A$1:$A$30"),0),MATCH('All Positional Stats'!AJ$46,INDIRECT("'"&amp;$A53&amp;"'!$A$1:$W$1"),0))</f>
        <v>16.762499999999999</v>
      </c>
      <c r="AK53" s="7">
        <f ca="1">INDEX(INDIRECT("'"&amp;$A53&amp;"'!$A$1:$W$30"),MATCH('All Positional Stats'!$A$47,INDIRECT("'"&amp;$A53&amp;"'!$A$1:$A$30"),0),MATCH('All Positional Stats'!AK$46,INDIRECT("'"&amp;$A53&amp;"'!$A$1:$W$1"),0))</f>
        <v>11.080550245813612</v>
      </c>
      <c r="AL53" s="7">
        <f ca="1">INDEX(INDIRECT("'"&amp;$A53&amp;"'!$A$1:$W$30"),MATCH('All Positional Stats'!$A$47,INDIRECT("'"&amp;$A53&amp;"'!$A$1:$A$30"),0),MATCH('All Positional Stats'!AL$46,INDIRECT("'"&amp;$A53&amp;"'!$A$1:$W$1"),0))</f>
        <v>268.2</v>
      </c>
      <c r="AM53" s="6">
        <f ca="1">INDEX(INDIRECT("'"&amp;$A53&amp;"'!$A$1:$W$30"),MATCH('All Positional Stats'!$A$47,INDIRECT("'"&amp;$A53&amp;"'!$A$1:$A$30"),0),MATCH('All Positional Stats'!AM$46,INDIRECT("'"&amp;$A53&amp;"'!$A$1:$W$1"),0))</f>
        <v>0.17045887886106517</v>
      </c>
      <c r="AN53" s="9">
        <f t="shared" ca="1" si="88"/>
        <v>238</v>
      </c>
      <c r="AO53" s="8">
        <f t="shared" ca="1" si="89"/>
        <v>1</v>
      </c>
    </row>
    <row r="54" spans="1:41" ht="16.25" thickTop="1" thickBot="1" x14ac:dyDescent="0.9">
      <c r="A54" s="1" t="s">
        <v>7</v>
      </c>
      <c r="B54" s="1">
        <f ca="1">INDEX(INDIRECT("'"&amp;$A54&amp;"'!$A$1:$W$30"),MATCH('All Positional Stats'!$A$47,INDIRECT("'"&amp;$A54&amp;"'!$A$1:$A$30"),0),MATCH('All Positional Stats'!B$46,INDIRECT("'"&amp;$A54&amp;"'!$A$1:$W$1"),0))</f>
        <v>2.4</v>
      </c>
      <c r="C54" s="1">
        <f t="shared" ca="1" si="72"/>
        <v>12</v>
      </c>
      <c r="D54" s="1">
        <f ca="1">INDEX(INDIRECT("'"&amp;$A54&amp;"'!$A$1:$W$30"),MATCH('All Positional Stats'!$A$47,INDIRECT("'"&amp;$A54&amp;"'!$A$1:$A$30"),0),MATCH('All Positional Stats'!D$46,INDIRECT("'"&amp;$A54&amp;"'!$A$1:$W$1"),0))</f>
        <v>18.8</v>
      </c>
      <c r="E54" s="1">
        <f t="shared" ref="E54" ca="1" si="150">_xlfn.RANK.EQ(D54,D$48:D$59)</f>
        <v>1</v>
      </c>
      <c r="F54" s="1">
        <f ca="1">INDEX(INDIRECT("'"&amp;$A54&amp;"'!$A$1:$W$30"),MATCH('All Positional Stats'!$A$47,INDIRECT("'"&amp;$A54&amp;"'!$A$1:$A$30"),0),MATCH('All Positional Stats'!F$46,INDIRECT("'"&amp;$A54&amp;"'!$A$1:$W$1"),0))</f>
        <v>10.199999999999999</v>
      </c>
      <c r="G54" s="1">
        <f t="shared" ref="G54" ca="1" si="151">_xlfn.RANK.EQ(F54,F$48:F$59)</f>
        <v>8</v>
      </c>
      <c r="H54" s="1">
        <f ca="1">INDEX(INDIRECT("'"&amp;$A54&amp;"'!$A$1:$W$30"),MATCH('All Positional Stats'!$A$47,INDIRECT("'"&amp;$A54&amp;"'!$A$1:$A$30"),0),MATCH('All Positional Stats'!H$46,INDIRECT("'"&amp;$A54&amp;"'!$A$1:$W$1"),0))</f>
        <v>15.2</v>
      </c>
      <c r="I54" s="1">
        <f t="shared" ref="I54" ca="1" si="152">_xlfn.RANK.EQ(H54,H$48:H$59)</f>
        <v>4</v>
      </c>
      <c r="J54" s="1">
        <f ca="1">INDEX(INDIRECT("'"&amp;$A54&amp;"'!$A$1:$W$30"),MATCH('All Positional Stats'!$A$47,INDIRECT("'"&amp;$A54&amp;"'!$A$1:$A$30"),0),MATCH('All Positional Stats'!J$46,INDIRECT("'"&amp;$A54&amp;"'!$A$1:$W$1"),0))</f>
        <v>7.4</v>
      </c>
      <c r="K54" s="1">
        <f t="shared" ref="K54" ca="1" si="153">_xlfn.RANK.EQ(J54,J$48:J$59)</f>
        <v>10</v>
      </c>
      <c r="L54" s="1">
        <f ca="1">INDEX(INDIRECT("'"&amp;$A54&amp;"'!$A$1:$W$30"),MATCH('All Positional Stats'!$A$47,INDIRECT("'"&amp;$A54&amp;"'!$A$1:$A$30"),0),MATCH('All Positional Stats'!L$46,INDIRECT("'"&amp;$A54&amp;"'!$A$1:$W$1"),0))</f>
        <v>17</v>
      </c>
      <c r="M54" s="1">
        <f t="shared" ref="M54" ca="1" si="154">_xlfn.RANK.EQ(L54,L$48:L$59)</f>
        <v>4</v>
      </c>
      <c r="N54" s="1">
        <f ca="1">INDEX(INDIRECT("'"&amp;$A54&amp;"'!$A$1:$W$30"),MATCH('All Positional Stats'!$A$47,INDIRECT("'"&amp;$A54&amp;"'!$A$1:$A$30"),0),MATCH('All Positional Stats'!N$46,INDIRECT("'"&amp;$A54&amp;"'!$A$1:$W$1"),0))</f>
        <v>18.3</v>
      </c>
      <c r="O54" s="1">
        <f t="shared" ref="O54" ca="1" si="155">_xlfn.RANK.EQ(N54,N$48:N$59)</f>
        <v>3</v>
      </c>
      <c r="P54" s="1">
        <f ca="1">INDEX(INDIRECT("'"&amp;$A54&amp;"'!$A$1:$W$30"),MATCH('All Positional Stats'!$A$47,INDIRECT("'"&amp;$A54&amp;"'!$A$1:$A$30"),0),MATCH('All Positional Stats'!P$46,INDIRECT("'"&amp;$A54&amp;"'!$A$1:$W$1"),0))</f>
        <v>8.5</v>
      </c>
      <c r="Q54" s="1">
        <f t="shared" ref="Q54" ca="1" si="156">_xlfn.RANK.EQ(P54,P$48:P$59)</f>
        <v>7</v>
      </c>
      <c r="R54" s="1">
        <f ca="1">INDEX(INDIRECT("'"&amp;$A54&amp;"'!$A$1:$W$30"),MATCH('All Positional Stats'!$A$47,INDIRECT("'"&amp;$A54&amp;"'!$A$1:$A$30"),0),MATCH('All Positional Stats'!R$46,INDIRECT("'"&amp;$A54&amp;"'!$A$1:$W$1"),0))</f>
        <v>1.8</v>
      </c>
      <c r="S54" s="1">
        <f t="shared" ref="S54" ca="1" si="157">_xlfn.RANK.EQ(R54,R$48:R$59)</f>
        <v>11</v>
      </c>
      <c r="T54" s="1">
        <f ca="1">INDEX(INDIRECT("'"&amp;$A54&amp;"'!$A$1:$W$30"),MATCH('All Positional Stats'!$A$47,INDIRECT("'"&amp;$A54&amp;"'!$A$1:$A$30"),0),MATCH('All Positional Stats'!T$46,INDIRECT("'"&amp;$A54&amp;"'!$A$1:$W$1"),0))</f>
        <v>12</v>
      </c>
      <c r="U54" s="1">
        <f t="shared" ref="U54" ca="1" si="158">_xlfn.RANK.EQ(T54,T$48:T$59)</f>
        <v>6</v>
      </c>
      <c r="V54" s="1">
        <f ca="1">INDEX(INDIRECT("'"&amp;$A54&amp;"'!$A$1:$W$30"),MATCH('All Positional Stats'!$A$47,INDIRECT("'"&amp;$A54&amp;"'!$A$1:$A$30"),0),MATCH('All Positional Stats'!V$46,INDIRECT("'"&amp;$A54&amp;"'!$A$1:$W$1"),0))</f>
        <v>11</v>
      </c>
      <c r="W54" s="1">
        <f t="shared" ref="W54" ca="1" si="159">_xlfn.RANK.EQ(V54,V$48:V$59)</f>
        <v>8</v>
      </c>
      <c r="X54" s="1">
        <f ca="1">INDEX(INDIRECT("'"&amp;$A54&amp;"'!$A$1:$W$30"),MATCH('All Positional Stats'!$A$47,INDIRECT("'"&amp;$A54&amp;"'!$A$1:$A$30"),0),MATCH('All Positional Stats'!X$46,INDIRECT("'"&amp;$A54&amp;"'!$A$1:$W$1"),0))</f>
        <v>3</v>
      </c>
      <c r="Y54" s="1">
        <f t="shared" ref="Y54" ca="1" si="160">_xlfn.RANK.EQ(X54,X$48:X$59)</f>
        <v>10</v>
      </c>
      <c r="Z54" s="1">
        <f ca="1">INDEX(INDIRECT("'"&amp;$A54&amp;"'!$A$1:$W$30"),MATCH('All Positional Stats'!$A$47,INDIRECT("'"&amp;$A54&amp;"'!$A$1:$A$30"),0),MATCH('All Positional Stats'!Z$46,INDIRECT("'"&amp;$A54&amp;"'!$A$1:$W$1"),0))</f>
        <v>10.9</v>
      </c>
      <c r="AA54" s="1">
        <f t="shared" ref="AA54" ca="1" si="161">_xlfn.RANK.EQ(Z54,Z$48:Z$59)</f>
        <v>8</v>
      </c>
      <c r="AB54" s="1">
        <f ca="1">INDEX(INDIRECT("'"&amp;$A54&amp;"'!$A$1:$W$30"),MATCH('All Positional Stats'!$A$47,INDIRECT("'"&amp;$A54&amp;"'!$A$1:$A$30"),0),MATCH('All Positional Stats'!AB$46,INDIRECT("'"&amp;$A54&amp;"'!$A$1:$W$1"),0))</f>
        <v>3.5</v>
      </c>
      <c r="AC54" s="1">
        <f t="shared" ref="AC54" ca="1" si="162">_xlfn.RANK.EQ(AB54,AB$48:AB$59)</f>
        <v>11</v>
      </c>
      <c r="AD54" s="1">
        <f ca="1">INDEX(INDIRECT("'"&amp;$A54&amp;"'!$A$1:$W$30"),MATCH('All Positional Stats'!$A$47,INDIRECT("'"&amp;$A54&amp;"'!$A$1:$A$30"),0),MATCH('All Positional Stats'!AD$46,INDIRECT("'"&amp;$A54&amp;"'!$A$1:$W$1"),0))</f>
        <v>1.1000000000000001</v>
      </c>
      <c r="AE54" s="1">
        <f t="shared" ref="AE54" ca="1" si="163">_xlfn.RANK.EQ(AD54,AD$48:AD$59)</f>
        <v>12</v>
      </c>
      <c r="AF54" s="1">
        <f ca="1">INDEX(INDIRECT("'"&amp;$A54&amp;"'!$A$1:$W$30"),MATCH('All Positional Stats'!$A$47,INDIRECT("'"&amp;$A54&amp;"'!$A$1:$A$30"),0),MATCH('All Positional Stats'!AF$46,INDIRECT("'"&amp;$A54&amp;"'!$A$1:$W$1"),0))</f>
        <v>11.5</v>
      </c>
      <c r="AG54" s="1">
        <f t="shared" ref="AG54" ca="1" si="164">_xlfn.RANK.EQ(AF54,AF$48:AF$59)</f>
        <v>3</v>
      </c>
      <c r="AH54" s="1">
        <f ca="1">INDEX(INDIRECT("'"&amp;$A54&amp;"'!$A$1:$W$30"),MATCH('All Positional Stats'!$A$47,INDIRECT("'"&amp;$A54&amp;"'!$A$1:$A$30"),0),MATCH('All Positional Stats'!AH$46,INDIRECT("'"&amp;$A54&amp;"'!$A$1:$W$1"),0))</f>
        <v>1.1000000000000001</v>
      </c>
      <c r="AI54" s="1">
        <f ca="1">INDEX(INDIRECT("'"&amp;$A54&amp;"'!$A$1:$W$30"),MATCH('All Positional Stats'!$A$47,INDIRECT("'"&amp;$A54&amp;"'!$A$1:$A$30"),0),MATCH('All Positional Stats'!AI$46,INDIRECT("'"&amp;$A54&amp;"'!$A$1:$W$1"),0))</f>
        <v>18.8</v>
      </c>
      <c r="AJ54" s="7">
        <f ca="1">INDEX(INDIRECT("'"&amp;$A54&amp;"'!$A$1:$W$30"),MATCH('All Positional Stats'!$A$47,INDIRECT("'"&amp;$A54&amp;"'!$A$1:$A$30"),0),MATCH('All Positional Stats'!AJ$46,INDIRECT("'"&amp;$A54&amp;"'!$A$1:$W$1"),0))</f>
        <v>9.5374999999999996</v>
      </c>
      <c r="AK54" s="7">
        <f ca="1">INDEX(INDIRECT("'"&amp;$A54&amp;"'!$A$1:$W$30"),MATCH('All Positional Stats'!$A$47,INDIRECT("'"&amp;$A54&amp;"'!$A$1:$A$30"),0),MATCH('All Positional Stats'!AK$46,INDIRECT("'"&amp;$A54&amp;"'!$A$1:$W$1"),0))</f>
        <v>5.7636658256703264</v>
      </c>
      <c r="AL54" s="7">
        <f ca="1">INDEX(INDIRECT("'"&amp;$A54&amp;"'!$A$1:$W$30"),MATCH('All Positional Stats'!$A$47,INDIRECT("'"&amp;$A54&amp;"'!$A$1:$A$30"),0),MATCH('All Positional Stats'!AL$46,INDIRECT("'"&amp;$A54&amp;"'!$A$1:$W$1"),0))</f>
        <v>152.6</v>
      </c>
      <c r="AM54" s="6">
        <f ca="1">INDEX(INDIRECT("'"&amp;$A54&amp;"'!$A$1:$W$30"),MATCH('All Positional Stats'!$A$47,INDIRECT("'"&amp;$A54&amp;"'!$A$1:$A$30"),0),MATCH('All Positional Stats'!AM$46,INDIRECT("'"&amp;$A54&amp;"'!$A$1:$W$1"),0))</f>
        <v>0.10156405990016638</v>
      </c>
      <c r="AN54" s="9">
        <f t="shared" ca="1" si="88"/>
        <v>136.5</v>
      </c>
      <c r="AO54" s="8">
        <f t="shared" ca="1" si="89"/>
        <v>8</v>
      </c>
    </row>
    <row r="55" spans="1:41" ht="16.25" thickTop="1" thickBot="1" x14ac:dyDescent="0.9">
      <c r="A55" s="1" t="s">
        <v>8</v>
      </c>
      <c r="B55" s="1">
        <f ca="1">INDEX(INDIRECT("'"&amp;$A55&amp;"'!$A$1:$W$30"),MATCH('All Positional Stats'!$A$47,INDIRECT("'"&amp;$A55&amp;"'!$A$1:$A$30"),0),MATCH('All Positional Stats'!B$46,INDIRECT("'"&amp;$A55&amp;"'!$A$1:$W$1"),0))</f>
        <v>5.2</v>
      </c>
      <c r="C55" s="1">
        <f t="shared" ca="1" si="72"/>
        <v>11</v>
      </c>
      <c r="D55" s="1">
        <f ca="1">INDEX(INDIRECT("'"&amp;$A55&amp;"'!$A$1:$W$30"),MATCH('All Positional Stats'!$A$47,INDIRECT("'"&amp;$A55&amp;"'!$A$1:$A$30"),0),MATCH('All Positional Stats'!D$46,INDIRECT("'"&amp;$A55&amp;"'!$A$1:$W$1"),0))</f>
        <v>6.9</v>
      </c>
      <c r="E55" s="1">
        <f t="shared" ref="E55" ca="1" si="165">_xlfn.RANK.EQ(D55,D$48:D$59)</f>
        <v>9</v>
      </c>
      <c r="F55" s="1">
        <f ca="1">INDEX(INDIRECT("'"&amp;$A55&amp;"'!$A$1:$W$30"),MATCH('All Positional Stats'!$A$47,INDIRECT("'"&amp;$A55&amp;"'!$A$1:$A$30"),0),MATCH('All Positional Stats'!F$46,INDIRECT("'"&amp;$A55&amp;"'!$A$1:$W$1"),0))</f>
        <v>24.8</v>
      </c>
      <c r="G55" s="1">
        <f t="shared" ref="G55" ca="1" si="166">_xlfn.RANK.EQ(F55,F$48:F$59)</f>
        <v>1</v>
      </c>
      <c r="H55" s="1">
        <f ca="1">INDEX(INDIRECT("'"&amp;$A55&amp;"'!$A$1:$W$30"),MATCH('All Positional Stats'!$A$47,INDIRECT("'"&amp;$A55&amp;"'!$A$1:$A$30"),0),MATCH('All Positional Stats'!H$46,INDIRECT("'"&amp;$A55&amp;"'!$A$1:$W$1"),0))</f>
        <v>4.5</v>
      </c>
      <c r="I55" s="1">
        <f t="shared" ref="I55" ca="1" si="167">_xlfn.RANK.EQ(H55,H$48:H$59)</f>
        <v>10</v>
      </c>
      <c r="J55" s="1">
        <f ca="1">INDEX(INDIRECT("'"&amp;$A55&amp;"'!$A$1:$W$30"),MATCH('All Positional Stats'!$A$47,INDIRECT("'"&amp;$A55&amp;"'!$A$1:$A$30"),0),MATCH('All Positional Stats'!J$46,INDIRECT("'"&amp;$A55&amp;"'!$A$1:$W$1"),0))</f>
        <v>21.2</v>
      </c>
      <c r="K55" s="1">
        <f t="shared" ref="K55" ca="1" si="168">_xlfn.RANK.EQ(J55,J$48:J$59)</f>
        <v>2</v>
      </c>
      <c r="L55" s="1">
        <f ca="1">INDEX(INDIRECT("'"&amp;$A55&amp;"'!$A$1:$W$30"),MATCH('All Positional Stats'!$A$47,INDIRECT("'"&amp;$A55&amp;"'!$A$1:$A$30"),0),MATCH('All Positional Stats'!L$46,INDIRECT("'"&amp;$A55&amp;"'!$A$1:$W$1"),0))</f>
        <v>2.4</v>
      </c>
      <c r="M55" s="1">
        <f t="shared" ref="M55" ca="1" si="169">_xlfn.RANK.EQ(L55,L$48:L$59)</f>
        <v>12</v>
      </c>
      <c r="N55" s="1">
        <f ca="1">INDEX(INDIRECT("'"&amp;$A55&amp;"'!$A$1:$W$30"),MATCH('All Positional Stats'!$A$47,INDIRECT("'"&amp;$A55&amp;"'!$A$1:$A$30"),0),MATCH('All Positional Stats'!N$46,INDIRECT("'"&amp;$A55&amp;"'!$A$1:$W$1"),0))</f>
        <v>3.7</v>
      </c>
      <c r="O55" s="1">
        <f t="shared" ref="O55" ca="1" si="170">_xlfn.RANK.EQ(N55,N$48:N$59)</f>
        <v>10</v>
      </c>
      <c r="P55" s="1">
        <f ca="1">INDEX(INDIRECT("'"&amp;$A55&amp;"'!$A$1:$W$30"),MATCH('All Positional Stats'!$A$47,INDIRECT("'"&amp;$A55&amp;"'!$A$1:$A$30"),0),MATCH('All Positional Stats'!P$46,INDIRECT("'"&amp;$A55&amp;"'!$A$1:$W$1"),0))</f>
        <v>2.5</v>
      </c>
      <c r="Q55" s="1">
        <f t="shared" ref="Q55" ca="1" si="171">_xlfn.RANK.EQ(P55,P$48:P$59)</f>
        <v>12</v>
      </c>
      <c r="R55" s="1">
        <f ca="1">INDEX(INDIRECT("'"&amp;$A55&amp;"'!$A$1:$W$30"),MATCH('All Positional Stats'!$A$47,INDIRECT("'"&amp;$A55&amp;"'!$A$1:$A$30"),0),MATCH('All Positional Stats'!R$46,INDIRECT("'"&amp;$A55&amp;"'!$A$1:$W$1"),0))</f>
        <v>32</v>
      </c>
      <c r="S55" s="1">
        <f t="shared" ref="S55" ca="1" si="172">_xlfn.RANK.EQ(R55,R$48:R$59)</f>
        <v>1</v>
      </c>
      <c r="T55" s="1">
        <f ca="1">INDEX(INDIRECT("'"&amp;$A55&amp;"'!$A$1:$W$30"),MATCH('All Positional Stats'!$A$47,INDIRECT("'"&amp;$A55&amp;"'!$A$1:$A$30"),0),MATCH('All Positional Stats'!T$46,INDIRECT("'"&amp;$A55&amp;"'!$A$1:$W$1"),0))</f>
        <v>3.3</v>
      </c>
      <c r="U55" s="1">
        <f t="shared" ref="U55" ca="1" si="173">_xlfn.RANK.EQ(T55,T$48:T$59)</f>
        <v>11</v>
      </c>
      <c r="V55" s="1">
        <f ca="1">INDEX(INDIRECT("'"&amp;$A55&amp;"'!$A$1:$W$30"),MATCH('All Positional Stats'!$A$47,INDIRECT("'"&amp;$A55&amp;"'!$A$1:$A$30"),0),MATCH('All Positional Stats'!V$46,INDIRECT("'"&amp;$A55&amp;"'!$A$1:$W$1"),0))</f>
        <v>14.9</v>
      </c>
      <c r="W55" s="1">
        <f t="shared" ref="W55" ca="1" si="174">_xlfn.RANK.EQ(V55,V$48:V$59)</f>
        <v>5</v>
      </c>
      <c r="X55" s="1">
        <f ca="1">INDEX(INDIRECT("'"&amp;$A55&amp;"'!$A$1:$W$30"),MATCH('All Positional Stats'!$A$47,INDIRECT("'"&amp;$A55&amp;"'!$A$1:$A$30"),0),MATCH('All Positional Stats'!X$46,INDIRECT("'"&amp;$A55&amp;"'!$A$1:$W$1"),0))</f>
        <v>2.5</v>
      </c>
      <c r="Y55" s="1">
        <f t="shared" ref="Y55" ca="1" si="175">_xlfn.RANK.EQ(X55,X$48:X$59)</f>
        <v>11</v>
      </c>
      <c r="Z55" s="1">
        <f ca="1">INDEX(INDIRECT("'"&amp;$A55&amp;"'!$A$1:$W$30"),MATCH('All Positional Stats'!$A$47,INDIRECT("'"&amp;$A55&amp;"'!$A$1:$A$30"),0),MATCH('All Positional Stats'!Z$46,INDIRECT("'"&amp;$A55&amp;"'!$A$1:$W$1"),0))</f>
        <v>12.6</v>
      </c>
      <c r="AA55" s="1">
        <f t="shared" ref="AA55" ca="1" si="176">_xlfn.RANK.EQ(Z55,Z$48:Z$59)</f>
        <v>7</v>
      </c>
      <c r="AB55" s="1">
        <f ca="1">INDEX(INDIRECT("'"&amp;$A55&amp;"'!$A$1:$W$30"),MATCH('All Positional Stats'!$A$47,INDIRECT("'"&amp;$A55&amp;"'!$A$1:$A$30"),0),MATCH('All Positional Stats'!AB$46,INDIRECT("'"&amp;$A55&amp;"'!$A$1:$W$1"),0))</f>
        <v>3</v>
      </c>
      <c r="AC55" s="1">
        <f t="shared" ref="AC55" ca="1" si="177">_xlfn.RANK.EQ(AB55,AB$48:AB$59)</f>
        <v>12</v>
      </c>
      <c r="AD55" s="1">
        <f ca="1">INDEX(INDIRECT("'"&amp;$A55&amp;"'!$A$1:$W$30"),MATCH('All Positional Stats'!$A$47,INDIRECT("'"&amp;$A55&amp;"'!$A$1:$A$30"),0),MATCH('All Positional Stats'!AD$46,INDIRECT("'"&amp;$A55&amp;"'!$A$1:$W$1"),0))</f>
        <v>6.6</v>
      </c>
      <c r="AE55" s="1">
        <f t="shared" ref="AE55" ca="1" si="178">_xlfn.RANK.EQ(AD55,AD$48:AD$59)</f>
        <v>5</v>
      </c>
      <c r="AF55" s="1">
        <f ca="1">INDEX(INDIRECT("'"&amp;$A55&amp;"'!$A$1:$W$30"),MATCH('All Positional Stats'!$A$47,INDIRECT("'"&amp;$A55&amp;"'!$A$1:$A$30"),0),MATCH('All Positional Stats'!AF$46,INDIRECT("'"&amp;$A55&amp;"'!$A$1:$W$1"),0))</f>
        <v>13</v>
      </c>
      <c r="AG55" s="1">
        <f t="shared" ref="AG55" ca="1" si="179">_xlfn.RANK.EQ(AF55,AF$48:AF$59)</f>
        <v>2</v>
      </c>
      <c r="AH55" s="1">
        <f ca="1">INDEX(INDIRECT("'"&amp;$A55&amp;"'!$A$1:$W$30"),MATCH('All Positional Stats'!$A$47,INDIRECT("'"&amp;$A55&amp;"'!$A$1:$A$30"),0),MATCH('All Positional Stats'!AH$46,INDIRECT("'"&amp;$A55&amp;"'!$A$1:$W$1"),0))</f>
        <v>2.4</v>
      </c>
      <c r="AI55" s="1">
        <f ca="1">INDEX(INDIRECT("'"&amp;$A55&amp;"'!$A$1:$W$30"),MATCH('All Positional Stats'!$A$47,INDIRECT("'"&amp;$A55&amp;"'!$A$1:$A$30"),0),MATCH('All Positional Stats'!AI$46,INDIRECT("'"&amp;$A55&amp;"'!$A$1:$W$1"),0))</f>
        <v>32</v>
      </c>
      <c r="AJ55" s="7">
        <f ca="1">INDEX(INDIRECT("'"&amp;$A55&amp;"'!$A$1:$W$30"),MATCH('All Positional Stats'!$A$47,INDIRECT("'"&amp;$A55&amp;"'!$A$1:$A$30"),0),MATCH('All Positional Stats'!AJ$46,INDIRECT("'"&amp;$A55&amp;"'!$A$1:$W$1"),0))</f>
        <v>9.9437500000000014</v>
      </c>
      <c r="AK55" s="7">
        <f ca="1">INDEX(INDIRECT("'"&amp;$A55&amp;"'!$A$1:$W$30"),MATCH('All Positional Stats'!$A$47,INDIRECT("'"&amp;$A55&amp;"'!$A$1:$A$30"),0),MATCH('All Positional Stats'!AK$46,INDIRECT("'"&amp;$A55&amp;"'!$A$1:$W$1"),0))</f>
        <v>8.8264495091457889</v>
      </c>
      <c r="AL55" s="7">
        <f ca="1">INDEX(INDIRECT("'"&amp;$A55&amp;"'!$A$1:$W$30"),MATCH('All Positional Stats'!$A$47,INDIRECT("'"&amp;$A55&amp;"'!$A$1:$A$30"),0),MATCH('All Positional Stats'!AL$46,INDIRECT("'"&amp;$A55&amp;"'!$A$1:$W$1"),0))</f>
        <v>159.10000000000002</v>
      </c>
      <c r="AM55" s="6">
        <f ca="1">INDEX(INDIRECT("'"&amp;$A55&amp;"'!$A$1:$W$30"),MATCH('All Positional Stats'!$A$47,INDIRECT("'"&amp;$A55&amp;"'!$A$1:$A$30"),0),MATCH('All Positional Stats'!AM$46,INDIRECT("'"&amp;$A55&amp;"'!$A$1:$W$1"),0))</f>
        <v>0.10843045048728958</v>
      </c>
      <c r="AN55" s="9">
        <f t="shared" ca="1" si="88"/>
        <v>136.50000000000003</v>
      </c>
      <c r="AO55" s="8">
        <f t="shared" ca="1" si="89"/>
        <v>7</v>
      </c>
    </row>
    <row r="56" spans="1:41" ht="16.25" thickTop="1" thickBot="1" x14ac:dyDescent="0.9">
      <c r="A56" s="1" t="s">
        <v>9</v>
      </c>
      <c r="B56" s="1">
        <f ca="1">INDEX(INDIRECT("'"&amp;$A56&amp;"'!$A$1:$W$30"),MATCH('All Positional Stats'!$A$47,INDIRECT("'"&amp;$A56&amp;"'!$A$1:$A$30"),0),MATCH('All Positional Stats'!B$46,INDIRECT("'"&amp;$A56&amp;"'!$A$1:$W$1"),0))</f>
        <v>17.399999999999999</v>
      </c>
      <c r="C56" s="1">
        <f t="shared" ca="1" si="72"/>
        <v>2</v>
      </c>
      <c r="D56" s="1">
        <f ca="1">INDEX(INDIRECT("'"&amp;$A56&amp;"'!$A$1:$W$30"),MATCH('All Positional Stats'!$A$47,INDIRECT("'"&amp;$A56&amp;"'!$A$1:$A$30"),0),MATCH('All Positional Stats'!D$46,INDIRECT("'"&amp;$A56&amp;"'!$A$1:$W$1"),0))</f>
        <v>0</v>
      </c>
      <c r="E56" s="1">
        <f t="shared" ref="E56" ca="1" si="180">_xlfn.RANK.EQ(D56,D$48:D$59)</f>
        <v>12</v>
      </c>
      <c r="F56" s="1">
        <f ca="1">INDEX(INDIRECT("'"&amp;$A56&amp;"'!$A$1:$W$30"),MATCH('All Positional Stats'!$A$47,INDIRECT("'"&amp;$A56&amp;"'!$A$1:$A$30"),0),MATCH('All Positional Stats'!F$46,INDIRECT("'"&amp;$A56&amp;"'!$A$1:$W$1"),0))</f>
        <v>20.2</v>
      </c>
      <c r="G56" s="1">
        <f t="shared" ref="G56" ca="1" si="181">_xlfn.RANK.EQ(F56,F$48:F$59)</f>
        <v>4</v>
      </c>
      <c r="H56" s="1">
        <f ca="1">INDEX(INDIRECT("'"&amp;$A56&amp;"'!$A$1:$W$30"),MATCH('All Positional Stats'!$A$47,INDIRECT("'"&amp;$A56&amp;"'!$A$1:$A$30"),0),MATCH('All Positional Stats'!H$46,INDIRECT("'"&amp;$A56&amp;"'!$A$1:$W$1"),0))</f>
        <v>21.5</v>
      </c>
      <c r="I56" s="1">
        <f t="shared" ref="I56" ca="1" si="182">_xlfn.RANK.EQ(H56,H$48:H$59)</f>
        <v>1</v>
      </c>
      <c r="J56" s="1">
        <f ca="1">INDEX(INDIRECT("'"&amp;$A56&amp;"'!$A$1:$W$30"),MATCH('All Positional Stats'!$A$47,INDIRECT("'"&amp;$A56&amp;"'!$A$1:$A$30"),0),MATCH('All Positional Stats'!J$46,INDIRECT("'"&amp;$A56&amp;"'!$A$1:$W$1"),0))</f>
        <v>9.4</v>
      </c>
      <c r="K56" s="1">
        <f t="shared" ref="K56" ca="1" si="183">_xlfn.RANK.EQ(J56,J$48:J$59)</f>
        <v>7</v>
      </c>
      <c r="L56" s="1">
        <f ca="1">INDEX(INDIRECT("'"&amp;$A56&amp;"'!$A$1:$W$30"),MATCH('All Positional Stats'!$A$47,INDIRECT("'"&amp;$A56&amp;"'!$A$1:$A$30"),0),MATCH('All Positional Stats'!L$46,INDIRECT("'"&amp;$A56&amp;"'!$A$1:$W$1"),0))</f>
        <v>9</v>
      </c>
      <c r="M56" s="1">
        <f t="shared" ref="M56" ca="1" si="184">_xlfn.RANK.EQ(L56,L$48:L$59)</f>
        <v>8</v>
      </c>
      <c r="N56" s="1">
        <f ca="1">INDEX(INDIRECT("'"&amp;$A56&amp;"'!$A$1:$W$30"),MATCH('All Positional Stats'!$A$47,INDIRECT("'"&amp;$A56&amp;"'!$A$1:$A$30"),0),MATCH('All Positional Stats'!N$46,INDIRECT("'"&amp;$A56&amp;"'!$A$1:$W$1"),0))</f>
        <v>1.8</v>
      </c>
      <c r="O56" s="1">
        <f t="shared" ref="O56" ca="1" si="185">_xlfn.RANK.EQ(N56,N$48:N$59)</f>
        <v>12</v>
      </c>
      <c r="P56" s="1">
        <f ca="1">INDEX(INDIRECT("'"&amp;$A56&amp;"'!$A$1:$W$30"),MATCH('All Positional Stats'!$A$47,INDIRECT("'"&amp;$A56&amp;"'!$A$1:$A$30"),0),MATCH('All Positional Stats'!P$46,INDIRECT("'"&amp;$A56&amp;"'!$A$1:$W$1"),0))</f>
        <v>14.9</v>
      </c>
      <c r="Q56" s="1">
        <f t="shared" ref="Q56" ca="1" si="186">_xlfn.RANK.EQ(P56,P$48:P$59)</f>
        <v>1</v>
      </c>
      <c r="R56" s="1">
        <f ca="1">INDEX(INDIRECT("'"&amp;$A56&amp;"'!$A$1:$W$30"),MATCH('All Positional Stats'!$A$47,INDIRECT("'"&amp;$A56&amp;"'!$A$1:$A$30"),0),MATCH('All Positional Stats'!R$46,INDIRECT("'"&amp;$A56&amp;"'!$A$1:$W$1"),0))</f>
        <v>2</v>
      </c>
      <c r="S56" s="1">
        <f t="shared" ref="S56" ca="1" si="187">_xlfn.RANK.EQ(R56,R$48:R$59)</f>
        <v>10</v>
      </c>
      <c r="T56" s="1">
        <f ca="1">INDEX(INDIRECT("'"&amp;$A56&amp;"'!$A$1:$W$30"),MATCH('All Positional Stats'!$A$47,INDIRECT("'"&amp;$A56&amp;"'!$A$1:$A$30"),0),MATCH('All Positional Stats'!T$46,INDIRECT("'"&amp;$A56&amp;"'!$A$1:$W$1"),0))</f>
        <v>2.1</v>
      </c>
      <c r="U56" s="1">
        <f t="shared" ref="U56" ca="1" si="188">_xlfn.RANK.EQ(T56,T$48:T$59)</f>
        <v>12</v>
      </c>
      <c r="V56" s="1">
        <f ca="1">INDEX(INDIRECT("'"&amp;$A56&amp;"'!$A$1:$W$30"),MATCH('All Positional Stats'!$A$47,INDIRECT("'"&amp;$A56&amp;"'!$A$1:$A$30"),0),MATCH('All Positional Stats'!V$46,INDIRECT("'"&amp;$A56&amp;"'!$A$1:$W$1"),0))</f>
        <v>5.7</v>
      </c>
      <c r="W56" s="1">
        <f t="shared" ref="W56" ca="1" si="189">_xlfn.RANK.EQ(V56,V$48:V$59)</f>
        <v>10</v>
      </c>
      <c r="X56" s="1">
        <f ca="1">INDEX(INDIRECT("'"&amp;$A56&amp;"'!$A$1:$W$30"),MATCH('All Positional Stats'!$A$47,INDIRECT("'"&amp;$A56&amp;"'!$A$1:$A$30"),0),MATCH('All Positional Stats'!X$46,INDIRECT("'"&amp;$A56&amp;"'!$A$1:$W$1"),0))</f>
        <v>0.2</v>
      </c>
      <c r="Y56" s="1">
        <f t="shared" ref="Y56" ca="1" si="190">_xlfn.RANK.EQ(X56,X$48:X$59)</f>
        <v>12</v>
      </c>
      <c r="Z56" s="1">
        <f ca="1">INDEX(INDIRECT("'"&amp;$A56&amp;"'!$A$1:$W$30"),MATCH('All Positional Stats'!$A$47,INDIRECT("'"&amp;$A56&amp;"'!$A$1:$A$30"),0),MATCH('All Positional Stats'!Z$46,INDIRECT("'"&amp;$A56&amp;"'!$A$1:$W$1"),0))</f>
        <v>8.6999999999999993</v>
      </c>
      <c r="AA56" s="1">
        <f t="shared" ref="AA56" ca="1" si="191">_xlfn.RANK.EQ(Z56,Z$48:Z$59)</f>
        <v>10</v>
      </c>
      <c r="AB56" s="1">
        <f ca="1">INDEX(INDIRECT("'"&amp;$A56&amp;"'!$A$1:$W$30"),MATCH('All Positional Stats'!$A$47,INDIRECT("'"&amp;$A56&amp;"'!$A$1:$A$30"),0),MATCH('All Positional Stats'!AB$46,INDIRECT("'"&amp;$A56&amp;"'!$A$1:$W$1"),0))</f>
        <v>13.4</v>
      </c>
      <c r="AC56" s="1">
        <f t="shared" ref="AC56" ca="1" si="192">_xlfn.RANK.EQ(AB56,AB$48:AB$59)</f>
        <v>8</v>
      </c>
      <c r="AD56" s="1">
        <f ca="1">INDEX(INDIRECT("'"&amp;$A56&amp;"'!$A$1:$W$30"),MATCH('All Positional Stats'!$A$47,INDIRECT("'"&amp;$A56&amp;"'!$A$1:$A$30"),0),MATCH('All Positional Stats'!AD$46,INDIRECT("'"&amp;$A56&amp;"'!$A$1:$W$1"),0))</f>
        <v>4.3</v>
      </c>
      <c r="AE56" s="1">
        <f t="shared" ref="AE56" ca="1" si="193">_xlfn.RANK.EQ(AD56,AD$48:AD$59)</f>
        <v>8</v>
      </c>
      <c r="AF56" s="1">
        <f ca="1">INDEX(INDIRECT("'"&amp;$A56&amp;"'!$A$1:$W$30"),MATCH('All Positional Stats'!$A$47,INDIRECT("'"&amp;$A56&amp;"'!$A$1:$A$30"),0),MATCH('All Positional Stats'!AF$46,INDIRECT("'"&amp;$A56&amp;"'!$A$1:$W$1"),0))</f>
        <v>2.6</v>
      </c>
      <c r="AG56" s="1">
        <f t="shared" ref="AG56" ca="1" si="194">_xlfn.RANK.EQ(AF56,AF$48:AF$59)</f>
        <v>11</v>
      </c>
      <c r="AH56" s="1">
        <f ca="1">INDEX(INDIRECT("'"&amp;$A56&amp;"'!$A$1:$W$30"),MATCH('All Positional Stats'!$A$47,INDIRECT("'"&amp;$A56&amp;"'!$A$1:$A$30"),0),MATCH('All Positional Stats'!AH$46,INDIRECT("'"&amp;$A56&amp;"'!$A$1:$W$1"),0))</f>
        <v>0</v>
      </c>
      <c r="AI56" s="1">
        <f ca="1">INDEX(INDIRECT("'"&amp;$A56&amp;"'!$A$1:$W$30"),MATCH('All Positional Stats'!$A$47,INDIRECT("'"&amp;$A56&amp;"'!$A$1:$A$30"),0),MATCH('All Positional Stats'!AI$46,INDIRECT("'"&amp;$A56&amp;"'!$A$1:$W$1"),0))</f>
        <v>21.5</v>
      </c>
      <c r="AJ56" s="7">
        <f ca="1">INDEX(INDIRECT("'"&amp;$A56&amp;"'!$A$1:$W$30"),MATCH('All Positional Stats'!$A$47,INDIRECT("'"&amp;$A56&amp;"'!$A$1:$A$30"),0),MATCH('All Positional Stats'!AJ$46,INDIRECT("'"&amp;$A56&amp;"'!$A$1:$W$1"),0))</f>
        <v>8.3250000000000011</v>
      </c>
      <c r="AK56" s="7">
        <f ca="1">INDEX(INDIRECT("'"&amp;$A56&amp;"'!$A$1:$W$30"),MATCH('All Positional Stats'!$A$47,INDIRECT("'"&amp;$A56&amp;"'!$A$1:$A$30"),0),MATCH('All Positional Stats'!AK$46,INDIRECT("'"&amp;$A56&amp;"'!$A$1:$W$1"),0))</f>
        <v>6.9830598594026085</v>
      </c>
      <c r="AL56" s="7">
        <f ca="1">INDEX(INDIRECT("'"&amp;$A56&amp;"'!$A$1:$W$30"),MATCH('All Positional Stats'!$A$47,INDIRECT("'"&amp;$A56&amp;"'!$A$1:$A$30"),0),MATCH('All Positional Stats'!AL$46,INDIRECT("'"&amp;$A56&amp;"'!$A$1:$W$1"),0))</f>
        <v>133.20000000000002</v>
      </c>
      <c r="AM56" s="6">
        <f ca="1">INDEX(INDIRECT("'"&amp;$A56&amp;"'!$A$1:$W$30"),MATCH('All Positional Stats'!$A$47,INDIRECT("'"&amp;$A56&amp;"'!$A$1:$A$30"),0),MATCH('All Positional Stats'!AM$46,INDIRECT("'"&amp;$A56&amp;"'!$A$1:$W$1"),0))</f>
        <v>9.5930860640979485E-2</v>
      </c>
      <c r="AN56" s="9">
        <f t="shared" ca="1" si="88"/>
        <v>112.9</v>
      </c>
      <c r="AO56" s="8">
        <f t="shared" ca="1" si="89"/>
        <v>11</v>
      </c>
    </row>
    <row r="57" spans="1:41" ht="16.25" thickTop="1" thickBot="1" x14ac:dyDescent="0.9">
      <c r="A57" s="1" t="s">
        <v>10</v>
      </c>
      <c r="B57" s="1">
        <f ca="1">INDEX(INDIRECT("'"&amp;$A57&amp;"'!$A$1:$W$30"),MATCH('All Positional Stats'!$A$47,INDIRECT("'"&amp;$A57&amp;"'!$A$1:$A$30"),0),MATCH('All Positional Stats'!B$46,INDIRECT("'"&amp;$A57&amp;"'!$A$1:$W$1"),0))</f>
        <v>12</v>
      </c>
      <c r="C57" s="1">
        <f t="shared" ca="1" si="72"/>
        <v>6</v>
      </c>
      <c r="D57" s="1">
        <f ca="1">INDEX(INDIRECT("'"&amp;$A57&amp;"'!$A$1:$W$30"),MATCH('All Positional Stats'!$A$47,INDIRECT("'"&amp;$A57&amp;"'!$A$1:$A$30"),0),MATCH('All Positional Stats'!D$46,INDIRECT("'"&amp;$A57&amp;"'!$A$1:$W$1"),0))</f>
        <v>14.5</v>
      </c>
      <c r="E57" s="1">
        <f t="shared" ref="E57" ca="1" si="195">_xlfn.RANK.EQ(D57,D$48:D$59)</f>
        <v>2</v>
      </c>
      <c r="F57" s="1">
        <f ca="1">INDEX(INDIRECT("'"&amp;$A57&amp;"'!$A$1:$W$30"),MATCH('All Positional Stats'!$A$47,INDIRECT("'"&amp;$A57&amp;"'!$A$1:$A$30"),0),MATCH('All Positional Stats'!F$46,INDIRECT("'"&amp;$A57&amp;"'!$A$1:$W$1"),0))</f>
        <v>8.6</v>
      </c>
      <c r="G57" s="1">
        <f t="shared" ref="G57" ca="1" si="196">_xlfn.RANK.EQ(F57,F$48:F$59)</f>
        <v>9</v>
      </c>
      <c r="H57" s="1">
        <f ca="1">INDEX(INDIRECT("'"&amp;$A57&amp;"'!$A$1:$W$30"),MATCH('All Positional Stats'!$A$47,INDIRECT("'"&amp;$A57&amp;"'!$A$1:$A$30"),0),MATCH('All Positional Stats'!H$46,INDIRECT("'"&amp;$A57&amp;"'!$A$1:$W$1"),0))</f>
        <v>16.3</v>
      </c>
      <c r="I57" s="1">
        <f t="shared" ref="I57" ca="1" si="197">_xlfn.RANK.EQ(H57,H$48:H$59)</f>
        <v>3</v>
      </c>
      <c r="J57" s="1">
        <f ca="1">INDEX(INDIRECT("'"&amp;$A57&amp;"'!$A$1:$W$30"),MATCH('All Positional Stats'!$A$47,INDIRECT("'"&amp;$A57&amp;"'!$A$1:$A$30"),0),MATCH('All Positional Stats'!J$46,INDIRECT("'"&amp;$A57&amp;"'!$A$1:$W$1"),0))</f>
        <v>8.6999999999999993</v>
      </c>
      <c r="K57" s="1">
        <f t="shared" ref="K57" ca="1" si="198">_xlfn.RANK.EQ(J57,J$48:J$59)</f>
        <v>8</v>
      </c>
      <c r="L57" s="1">
        <f ca="1">INDEX(INDIRECT("'"&amp;$A57&amp;"'!$A$1:$W$30"),MATCH('All Positional Stats'!$A$47,INDIRECT("'"&amp;$A57&amp;"'!$A$1:$A$30"),0),MATCH('All Positional Stats'!L$46,INDIRECT("'"&amp;$A57&amp;"'!$A$1:$W$1"),0))</f>
        <v>7</v>
      </c>
      <c r="M57" s="1">
        <f t="shared" ref="M57" ca="1" si="199">_xlfn.RANK.EQ(L57,L$48:L$59)</f>
        <v>10</v>
      </c>
      <c r="N57" s="1">
        <f ca="1">INDEX(INDIRECT("'"&amp;$A57&amp;"'!$A$1:$W$30"),MATCH('All Positional Stats'!$A$47,INDIRECT("'"&amp;$A57&amp;"'!$A$1:$A$30"),0),MATCH('All Positional Stats'!N$46,INDIRECT("'"&amp;$A57&amp;"'!$A$1:$W$1"),0))</f>
        <v>5.6</v>
      </c>
      <c r="O57" s="1">
        <f t="shared" ref="O57" ca="1" si="200">_xlfn.RANK.EQ(N57,N$48:N$59)</f>
        <v>8</v>
      </c>
      <c r="P57" s="1">
        <f ca="1">INDEX(INDIRECT("'"&amp;$A57&amp;"'!$A$1:$W$30"),MATCH('All Positional Stats'!$A$47,INDIRECT("'"&amp;$A57&amp;"'!$A$1:$A$30"),0),MATCH('All Positional Stats'!P$46,INDIRECT("'"&amp;$A57&amp;"'!$A$1:$W$1"),0))</f>
        <v>8.1</v>
      </c>
      <c r="Q57" s="1">
        <f t="shared" ref="Q57" ca="1" si="201">_xlfn.RANK.EQ(P57,P$48:P$59)</f>
        <v>8</v>
      </c>
      <c r="R57" s="1">
        <f ca="1">INDEX(INDIRECT("'"&amp;$A57&amp;"'!$A$1:$W$30"),MATCH('All Positional Stats'!$A$47,INDIRECT("'"&amp;$A57&amp;"'!$A$1:$A$30"),0),MATCH('All Positional Stats'!R$46,INDIRECT("'"&amp;$A57&amp;"'!$A$1:$W$1"),0))</f>
        <v>14.3</v>
      </c>
      <c r="S57" s="1">
        <f t="shared" ref="S57" ca="1" si="202">_xlfn.RANK.EQ(R57,R$48:R$59)</f>
        <v>3</v>
      </c>
      <c r="T57" s="1">
        <f ca="1">INDEX(INDIRECT("'"&amp;$A57&amp;"'!$A$1:$W$30"),MATCH('All Positional Stats'!$A$47,INDIRECT("'"&amp;$A57&amp;"'!$A$1:$A$30"),0),MATCH('All Positional Stats'!T$46,INDIRECT("'"&amp;$A57&amp;"'!$A$1:$W$1"),0))</f>
        <v>7.4</v>
      </c>
      <c r="U57" s="1">
        <f t="shared" ref="U57" ca="1" si="203">_xlfn.RANK.EQ(T57,T$48:T$59)</f>
        <v>7</v>
      </c>
      <c r="V57" s="1">
        <f ca="1">INDEX(INDIRECT("'"&amp;$A57&amp;"'!$A$1:$W$30"),MATCH('All Positional Stats'!$A$47,INDIRECT("'"&amp;$A57&amp;"'!$A$1:$A$30"),0),MATCH('All Positional Stats'!V$46,INDIRECT("'"&amp;$A57&amp;"'!$A$1:$W$1"),0))</f>
        <v>34.200000000000003</v>
      </c>
      <c r="W57" s="1">
        <f t="shared" ref="W57" ca="1" si="204">_xlfn.RANK.EQ(V57,V$48:V$59)</f>
        <v>2</v>
      </c>
      <c r="X57" s="1">
        <f ca="1">INDEX(INDIRECT("'"&amp;$A57&amp;"'!$A$1:$W$30"),MATCH('All Positional Stats'!$A$47,INDIRECT("'"&amp;$A57&amp;"'!$A$1:$A$30"),0),MATCH('All Positional Stats'!X$46,INDIRECT("'"&amp;$A57&amp;"'!$A$1:$W$1"),0))</f>
        <v>28.7</v>
      </c>
      <c r="Y57" s="1">
        <f t="shared" ref="Y57" ca="1" si="205">_xlfn.RANK.EQ(X57,X$48:X$59)</f>
        <v>2</v>
      </c>
      <c r="Z57" s="1">
        <f ca="1">INDEX(INDIRECT("'"&amp;$A57&amp;"'!$A$1:$W$30"),MATCH('All Positional Stats'!$A$47,INDIRECT("'"&amp;$A57&amp;"'!$A$1:$A$30"),0),MATCH('All Positional Stats'!Z$46,INDIRECT("'"&amp;$A57&amp;"'!$A$1:$W$1"),0))</f>
        <v>21.5</v>
      </c>
      <c r="AA57" s="1">
        <f t="shared" ref="AA57" ca="1" si="206">_xlfn.RANK.EQ(Z57,Z$48:Z$59)</f>
        <v>2</v>
      </c>
      <c r="AB57" s="1">
        <f ca="1">INDEX(INDIRECT("'"&amp;$A57&amp;"'!$A$1:$W$30"),MATCH('All Positional Stats'!$A$47,INDIRECT("'"&amp;$A57&amp;"'!$A$1:$A$30"),0),MATCH('All Positional Stats'!AB$46,INDIRECT("'"&amp;$A57&amp;"'!$A$1:$W$1"),0))</f>
        <v>14.1</v>
      </c>
      <c r="AC57" s="1">
        <f t="shared" ref="AC57" ca="1" si="207">_xlfn.RANK.EQ(AB57,AB$48:AB$59)</f>
        <v>7</v>
      </c>
      <c r="AD57" s="1">
        <f ca="1">INDEX(INDIRECT("'"&amp;$A57&amp;"'!$A$1:$W$30"),MATCH('All Positional Stats'!$A$47,INDIRECT("'"&amp;$A57&amp;"'!$A$1:$A$30"),0),MATCH('All Positional Stats'!AD$46,INDIRECT("'"&amp;$A57&amp;"'!$A$1:$W$1"),0))</f>
        <v>7.9</v>
      </c>
      <c r="AE57" s="1">
        <f t="shared" ref="AE57" ca="1" si="208">_xlfn.RANK.EQ(AD57,AD$48:AD$59)</f>
        <v>4</v>
      </c>
      <c r="AF57" s="1">
        <f ca="1">INDEX(INDIRECT("'"&amp;$A57&amp;"'!$A$1:$W$30"),MATCH('All Positional Stats'!$A$47,INDIRECT("'"&amp;$A57&amp;"'!$A$1:$A$30"),0),MATCH('All Positional Stats'!AF$46,INDIRECT("'"&amp;$A57&amp;"'!$A$1:$W$1"),0))</f>
        <v>8.8000000000000007</v>
      </c>
      <c r="AG57" s="1">
        <f t="shared" ref="AG57" ca="1" si="209">_xlfn.RANK.EQ(AF57,AF$48:AF$59)</f>
        <v>6</v>
      </c>
      <c r="AH57" s="1">
        <f ca="1">INDEX(INDIRECT("'"&amp;$A57&amp;"'!$A$1:$W$30"),MATCH('All Positional Stats'!$A$47,INDIRECT("'"&amp;$A57&amp;"'!$A$1:$A$30"),0),MATCH('All Positional Stats'!AH$46,INDIRECT("'"&amp;$A57&amp;"'!$A$1:$W$1"),0))</f>
        <v>5.6</v>
      </c>
      <c r="AI57" s="1">
        <f ca="1">INDEX(INDIRECT("'"&amp;$A57&amp;"'!$A$1:$W$30"),MATCH('All Positional Stats'!$A$47,INDIRECT("'"&amp;$A57&amp;"'!$A$1:$A$30"),0),MATCH('All Positional Stats'!AI$46,INDIRECT("'"&amp;$A57&amp;"'!$A$1:$W$1"),0))</f>
        <v>34.200000000000003</v>
      </c>
      <c r="AJ57" s="7">
        <f ca="1">INDEX(INDIRECT("'"&amp;$A57&amp;"'!$A$1:$W$30"),MATCH('All Positional Stats'!$A$47,INDIRECT("'"&amp;$A57&amp;"'!$A$1:$A$30"),0),MATCH('All Positional Stats'!AJ$46,INDIRECT("'"&amp;$A57&amp;"'!$A$1:$W$1"),0))</f>
        <v>13.606249999999999</v>
      </c>
      <c r="AK57" s="7">
        <f ca="1">INDEX(INDIRECT("'"&amp;$A57&amp;"'!$A$1:$W$30"),MATCH('All Positional Stats'!$A$47,INDIRECT("'"&amp;$A57&amp;"'!$A$1:$A$30"),0),MATCH('All Positional Stats'!AK$46,INDIRECT("'"&amp;$A57&amp;"'!$A$1:$W$1"),0))</f>
        <v>7.9331951909366252</v>
      </c>
      <c r="AL57" s="7">
        <f ca="1">INDEX(INDIRECT("'"&amp;$A57&amp;"'!$A$1:$W$30"),MATCH('All Positional Stats'!$A$47,INDIRECT("'"&amp;$A57&amp;"'!$A$1:$A$30"),0),MATCH('All Positional Stats'!AL$46,INDIRECT("'"&amp;$A57&amp;"'!$A$1:$W$1"),0))</f>
        <v>217.7</v>
      </c>
      <c r="AM57" s="6">
        <f ca="1">INDEX(INDIRECT("'"&amp;$A57&amp;"'!$A$1:$W$30"),MATCH('All Positional Stats'!$A$47,INDIRECT("'"&amp;$A57&amp;"'!$A$1:$A$30"),0),MATCH('All Positional Stats'!AM$46,INDIRECT("'"&amp;$A57&amp;"'!$A$1:$W$1"),0))</f>
        <v>0.14569669388301432</v>
      </c>
      <c r="AN57" s="9">
        <f t="shared" ca="1" si="88"/>
        <v>186.89999999999998</v>
      </c>
      <c r="AO57" s="8">
        <f t="shared" ca="1" si="89"/>
        <v>2</v>
      </c>
    </row>
    <row r="58" spans="1:41" ht="16.25" thickTop="1" thickBot="1" x14ac:dyDescent="0.9">
      <c r="A58" s="1" t="s">
        <v>11</v>
      </c>
      <c r="B58" s="1">
        <f ca="1">INDEX(INDIRECT("'"&amp;$A58&amp;"'!$A$1:$W$30"),MATCH('All Positional Stats'!$A$47,INDIRECT("'"&amp;$A58&amp;"'!$A$1:$A$30"),0),MATCH('All Positional Stats'!B$46,INDIRECT("'"&amp;$A58&amp;"'!$A$1:$W$1"),0))</f>
        <v>7</v>
      </c>
      <c r="C58" s="1">
        <f t="shared" ca="1" si="72"/>
        <v>10</v>
      </c>
      <c r="D58" s="1">
        <f ca="1">INDEX(INDIRECT("'"&amp;$A58&amp;"'!$A$1:$W$30"),MATCH('All Positional Stats'!$A$47,INDIRECT("'"&amp;$A58&amp;"'!$A$1:$A$30"),0),MATCH('All Positional Stats'!D$46,INDIRECT("'"&amp;$A58&amp;"'!$A$1:$W$1"),0))</f>
        <v>11.4</v>
      </c>
      <c r="E58" s="1">
        <f t="shared" ref="E58" ca="1" si="210">_xlfn.RANK.EQ(D58,D$48:D$59)</f>
        <v>5</v>
      </c>
      <c r="F58" s="1">
        <f ca="1">INDEX(INDIRECT("'"&amp;$A58&amp;"'!$A$1:$W$30"),MATCH('All Positional Stats'!$A$47,INDIRECT("'"&amp;$A58&amp;"'!$A$1:$A$30"),0),MATCH('All Positional Stats'!F$46,INDIRECT("'"&amp;$A58&amp;"'!$A$1:$W$1"),0))</f>
        <v>18.2</v>
      </c>
      <c r="G58" s="1">
        <f t="shared" ref="G58" ca="1" si="211">_xlfn.RANK.EQ(F58,F$48:F$59)</f>
        <v>5</v>
      </c>
      <c r="H58" s="1">
        <f ca="1">INDEX(INDIRECT("'"&amp;$A58&amp;"'!$A$1:$W$30"),MATCH('All Positional Stats'!$A$47,INDIRECT("'"&amp;$A58&amp;"'!$A$1:$A$30"),0),MATCH('All Positional Stats'!H$46,INDIRECT("'"&amp;$A58&amp;"'!$A$1:$W$1"),0))</f>
        <v>18.899999999999999</v>
      </c>
      <c r="I58" s="1">
        <f t="shared" ref="I58" ca="1" si="212">_xlfn.RANK.EQ(H58,H$48:H$59)</f>
        <v>2</v>
      </c>
      <c r="J58" s="1">
        <f ca="1">INDEX(INDIRECT("'"&amp;$A58&amp;"'!$A$1:$W$30"),MATCH('All Positional Stats'!$A$47,INDIRECT("'"&amp;$A58&amp;"'!$A$1:$A$30"),0),MATCH('All Positional Stats'!J$46,INDIRECT("'"&amp;$A58&amp;"'!$A$1:$W$1"),0))</f>
        <v>0.9</v>
      </c>
      <c r="K58" s="1">
        <f t="shared" ref="K58" ca="1" si="213">_xlfn.RANK.EQ(J58,J$48:J$59)</f>
        <v>12</v>
      </c>
      <c r="L58" s="1">
        <f ca="1">INDEX(INDIRECT("'"&amp;$A58&amp;"'!$A$1:$W$30"),MATCH('All Positional Stats'!$A$47,INDIRECT("'"&amp;$A58&amp;"'!$A$1:$A$30"),0),MATCH('All Positional Stats'!L$46,INDIRECT("'"&amp;$A58&amp;"'!$A$1:$W$1"),0))</f>
        <v>2.6</v>
      </c>
      <c r="M58" s="1">
        <f t="shared" ref="M58" ca="1" si="214">_xlfn.RANK.EQ(L58,L$48:L$59)</f>
        <v>11</v>
      </c>
      <c r="N58" s="1">
        <f ca="1">INDEX(INDIRECT("'"&amp;$A58&amp;"'!$A$1:$W$30"),MATCH('All Positional Stats'!$A$47,INDIRECT("'"&amp;$A58&amp;"'!$A$1:$A$30"),0),MATCH('All Positional Stats'!N$46,INDIRECT("'"&amp;$A58&amp;"'!$A$1:$W$1"),0))</f>
        <v>11.7</v>
      </c>
      <c r="O58" s="1">
        <f t="shared" ref="O58" ca="1" si="215">_xlfn.RANK.EQ(N58,N$48:N$59)</f>
        <v>6</v>
      </c>
      <c r="P58" s="1">
        <f ca="1">INDEX(INDIRECT("'"&amp;$A58&amp;"'!$A$1:$W$30"),MATCH('All Positional Stats'!$A$47,INDIRECT("'"&amp;$A58&amp;"'!$A$1:$A$30"),0),MATCH('All Positional Stats'!P$46,INDIRECT("'"&amp;$A58&amp;"'!$A$1:$W$1"),0))</f>
        <v>11.2</v>
      </c>
      <c r="Q58" s="1">
        <f t="shared" ref="Q58" ca="1" si="216">_xlfn.RANK.EQ(P58,P$48:P$59)</f>
        <v>3</v>
      </c>
      <c r="R58" s="1">
        <f ca="1">INDEX(INDIRECT("'"&amp;$A58&amp;"'!$A$1:$W$30"),MATCH('All Positional Stats'!$A$47,INDIRECT("'"&amp;$A58&amp;"'!$A$1:$A$30"),0),MATCH('All Positional Stats'!R$46,INDIRECT("'"&amp;$A58&amp;"'!$A$1:$W$1"),0))</f>
        <v>10.5</v>
      </c>
      <c r="S58" s="1">
        <f t="shared" ref="S58" ca="1" si="217">_xlfn.RANK.EQ(R58,R$48:R$59)</f>
        <v>5</v>
      </c>
      <c r="T58" s="1">
        <f ca="1">INDEX(INDIRECT("'"&amp;$A58&amp;"'!$A$1:$W$30"),MATCH('All Positional Stats'!$A$47,INDIRECT("'"&amp;$A58&amp;"'!$A$1:$A$30"),0),MATCH('All Positional Stats'!T$46,INDIRECT("'"&amp;$A58&amp;"'!$A$1:$W$1"),0))</f>
        <v>16.2</v>
      </c>
      <c r="U58" s="1">
        <f t="shared" ref="U58" ca="1" si="218">_xlfn.RANK.EQ(T58,T$48:T$59)</f>
        <v>4</v>
      </c>
      <c r="V58" s="1">
        <f ca="1">INDEX(INDIRECT("'"&amp;$A58&amp;"'!$A$1:$W$30"),MATCH('All Positional Stats'!$A$47,INDIRECT("'"&amp;$A58&amp;"'!$A$1:$A$30"),0),MATCH('All Positional Stats'!V$46,INDIRECT("'"&amp;$A58&amp;"'!$A$1:$W$1"),0))</f>
        <v>12.1</v>
      </c>
      <c r="W58" s="1">
        <f t="shared" ref="W58" ca="1" si="219">_xlfn.RANK.EQ(V58,V$48:V$59)</f>
        <v>7</v>
      </c>
      <c r="X58" s="1">
        <f ca="1">INDEX(INDIRECT("'"&amp;$A58&amp;"'!$A$1:$W$30"),MATCH('All Positional Stats'!$A$47,INDIRECT("'"&amp;$A58&amp;"'!$A$1:$A$30"),0),MATCH('All Positional Stats'!X$46,INDIRECT("'"&amp;$A58&amp;"'!$A$1:$W$1"),0))</f>
        <v>7.7</v>
      </c>
      <c r="Y58" s="1">
        <f t="shared" ref="Y58" ca="1" si="220">_xlfn.RANK.EQ(X58,X$48:X$59)</f>
        <v>6</v>
      </c>
      <c r="Z58" s="1">
        <f ca="1">INDEX(INDIRECT("'"&amp;$A58&amp;"'!$A$1:$W$30"),MATCH('All Positional Stats'!$A$47,INDIRECT("'"&amp;$A58&amp;"'!$A$1:$A$30"),0),MATCH('All Positional Stats'!Z$46,INDIRECT("'"&amp;$A58&amp;"'!$A$1:$W$1"),0))</f>
        <v>15.5</v>
      </c>
      <c r="AA58" s="1">
        <f t="shared" ref="AA58" ca="1" si="221">_xlfn.RANK.EQ(Z58,Z$48:Z$59)</f>
        <v>5</v>
      </c>
      <c r="AB58" s="1">
        <f ca="1">INDEX(INDIRECT("'"&amp;$A58&amp;"'!$A$1:$W$30"),MATCH('All Positional Stats'!$A$47,INDIRECT("'"&amp;$A58&amp;"'!$A$1:$A$30"),0),MATCH('All Positional Stats'!AB$46,INDIRECT("'"&amp;$A58&amp;"'!$A$1:$W$1"),0))</f>
        <v>22.7</v>
      </c>
      <c r="AC58" s="1">
        <f t="shared" ref="AC58" ca="1" si="222">_xlfn.RANK.EQ(AB58,AB$48:AB$59)</f>
        <v>2</v>
      </c>
      <c r="AD58" s="1">
        <f ca="1">INDEX(INDIRECT("'"&amp;$A58&amp;"'!$A$1:$W$30"),MATCH('All Positional Stats'!$A$47,INDIRECT("'"&amp;$A58&amp;"'!$A$1:$A$30"),0),MATCH('All Positional Stats'!AD$46,INDIRECT("'"&amp;$A58&amp;"'!$A$1:$W$1"),0))</f>
        <v>19.8</v>
      </c>
      <c r="AE58" s="1">
        <f t="shared" ref="AE58" ca="1" si="223">_xlfn.RANK.EQ(AD58,AD$48:AD$59)</f>
        <v>1</v>
      </c>
      <c r="AF58" s="1">
        <f ca="1">INDEX(INDIRECT("'"&amp;$A58&amp;"'!$A$1:$W$30"),MATCH('All Positional Stats'!$A$47,INDIRECT("'"&amp;$A58&amp;"'!$A$1:$A$30"),0),MATCH('All Positional Stats'!AF$46,INDIRECT("'"&amp;$A58&amp;"'!$A$1:$W$1"),0))</f>
        <v>8.6</v>
      </c>
      <c r="AG58" s="1">
        <f t="shared" ref="AG58" ca="1" si="224">_xlfn.RANK.EQ(AF58,AF$48:AF$59)</f>
        <v>7</v>
      </c>
      <c r="AH58" s="1">
        <f ca="1">INDEX(INDIRECT("'"&amp;$A58&amp;"'!$A$1:$W$30"),MATCH('All Positional Stats'!$A$47,INDIRECT("'"&amp;$A58&amp;"'!$A$1:$A$30"),0),MATCH('All Positional Stats'!AH$46,INDIRECT("'"&amp;$A58&amp;"'!$A$1:$W$1"),0))</f>
        <v>0.9</v>
      </c>
      <c r="AI58" s="1">
        <f ca="1">INDEX(INDIRECT("'"&amp;$A58&amp;"'!$A$1:$W$30"),MATCH('All Positional Stats'!$A$47,INDIRECT("'"&amp;$A58&amp;"'!$A$1:$A$30"),0),MATCH('All Positional Stats'!AI$46,INDIRECT("'"&amp;$A58&amp;"'!$A$1:$W$1"),0))</f>
        <v>22.7</v>
      </c>
      <c r="AJ58" s="7">
        <f ca="1">INDEX(INDIRECT("'"&amp;$A58&amp;"'!$A$1:$W$30"),MATCH('All Positional Stats'!$A$47,INDIRECT("'"&amp;$A58&amp;"'!$A$1:$A$30"),0),MATCH('All Positional Stats'!AJ$46,INDIRECT("'"&amp;$A58&amp;"'!$A$1:$W$1"),0))</f>
        <v>12.187499999999998</v>
      </c>
      <c r="AK58" s="7">
        <f ca="1">INDEX(INDIRECT("'"&amp;$A58&amp;"'!$A$1:$W$30"),MATCH('All Positional Stats'!$A$47,INDIRECT("'"&amp;$A58&amp;"'!$A$1:$A$30"),0),MATCH('All Positional Stats'!AK$46,INDIRECT("'"&amp;$A58&amp;"'!$A$1:$W$1"),0))</f>
        <v>5.919657401404244</v>
      </c>
      <c r="AL58" s="7">
        <f ca="1">INDEX(INDIRECT("'"&amp;$A58&amp;"'!$A$1:$W$30"),MATCH('All Positional Stats'!$A$47,INDIRECT("'"&amp;$A58&amp;"'!$A$1:$A$30"),0),MATCH('All Positional Stats'!AL$46,INDIRECT("'"&amp;$A58&amp;"'!$A$1:$W$1"),0))</f>
        <v>194.99999999999997</v>
      </c>
      <c r="AM58" s="6">
        <f ca="1">INDEX(INDIRECT("'"&amp;$A58&amp;"'!$A$1:$W$30"),MATCH('All Positional Stats'!$A$47,INDIRECT("'"&amp;$A58&amp;"'!$A$1:$A$30"),0),MATCH('All Positional Stats'!AM$46,INDIRECT("'"&amp;$A58&amp;"'!$A$1:$W$1"),0))</f>
        <v>0.11538461538461536</v>
      </c>
      <c r="AN58" s="9">
        <f t="shared" ca="1" si="88"/>
        <v>143.89999999999998</v>
      </c>
      <c r="AO58" s="8">
        <f t="shared" ca="1" si="89"/>
        <v>6</v>
      </c>
    </row>
    <row r="59" spans="1:41" ht="16.25" thickTop="1" thickBot="1" x14ac:dyDescent="0.9">
      <c r="A59" s="1" t="s">
        <v>12</v>
      </c>
      <c r="B59" s="1">
        <f ca="1">INDEX(INDIRECT("'"&amp;$A59&amp;"'!$A$1:$W$30"),MATCH('All Positional Stats'!$A$47,INDIRECT("'"&amp;$A59&amp;"'!$A$1:$A$30"),0),MATCH('All Positional Stats'!B$46,INDIRECT("'"&amp;$A59&amp;"'!$A$1:$W$1"),0))</f>
        <v>16.399999999999999</v>
      </c>
      <c r="C59" s="1">
        <f t="shared" ca="1" si="72"/>
        <v>3</v>
      </c>
      <c r="D59" s="1">
        <f ca="1">INDEX(INDIRECT("'"&amp;$A59&amp;"'!$A$1:$W$30"),MATCH('All Positional Stats'!$A$47,INDIRECT("'"&amp;$A59&amp;"'!$A$1:$A$30"),0),MATCH('All Positional Stats'!D$46,INDIRECT("'"&amp;$A59&amp;"'!$A$1:$W$1"),0))</f>
        <v>4.5</v>
      </c>
      <c r="E59" s="1">
        <f t="shared" ref="E59" ca="1" si="225">_xlfn.RANK.EQ(D59,D$48:D$59)</f>
        <v>11</v>
      </c>
      <c r="F59" s="1">
        <f ca="1">INDEX(INDIRECT("'"&amp;$A59&amp;"'!$A$1:$W$30"),MATCH('All Positional Stats'!$A$47,INDIRECT("'"&amp;$A59&amp;"'!$A$1:$A$30"),0),MATCH('All Positional Stats'!F$46,INDIRECT("'"&amp;$A59&amp;"'!$A$1:$W$1"),0))</f>
        <v>15.3</v>
      </c>
      <c r="G59" s="1">
        <f t="shared" ref="G59" ca="1" si="226">_xlfn.RANK.EQ(F59,F$48:F$59)</f>
        <v>6</v>
      </c>
      <c r="H59" s="1">
        <f ca="1">INDEX(INDIRECT("'"&amp;$A59&amp;"'!$A$1:$W$30"),MATCH('All Positional Stats'!$A$47,INDIRECT("'"&amp;$A59&amp;"'!$A$1:$A$30"),0),MATCH('All Positional Stats'!H$46,INDIRECT("'"&amp;$A59&amp;"'!$A$1:$W$1"),0))</f>
        <v>4.5999999999999996</v>
      </c>
      <c r="I59" s="1">
        <f t="shared" ref="I59" ca="1" si="227">_xlfn.RANK.EQ(H59,H$48:H$59)</f>
        <v>9</v>
      </c>
      <c r="J59" s="1">
        <f ca="1">INDEX(INDIRECT("'"&amp;$A59&amp;"'!$A$1:$W$30"),MATCH('All Positional Stats'!$A$47,INDIRECT("'"&amp;$A59&amp;"'!$A$1:$A$30"),0),MATCH('All Positional Stats'!J$46,INDIRECT("'"&amp;$A59&amp;"'!$A$1:$W$1"),0))</f>
        <v>7.3</v>
      </c>
      <c r="K59" s="1">
        <f t="shared" ref="K59" ca="1" si="228">_xlfn.RANK.EQ(J59,J$48:J$59)</f>
        <v>11</v>
      </c>
      <c r="L59" s="1">
        <f ca="1">INDEX(INDIRECT("'"&amp;$A59&amp;"'!$A$1:$W$30"),MATCH('All Positional Stats'!$A$47,INDIRECT("'"&amp;$A59&amp;"'!$A$1:$A$30"),0),MATCH('All Positional Stats'!L$46,INDIRECT("'"&amp;$A59&amp;"'!$A$1:$W$1"),0))</f>
        <v>19.100000000000001</v>
      </c>
      <c r="M59" s="1">
        <f t="shared" ref="M59" ca="1" si="229">_xlfn.RANK.EQ(L59,L$48:L$59)</f>
        <v>3</v>
      </c>
      <c r="N59" s="1">
        <f ca="1">INDEX(INDIRECT("'"&amp;$A59&amp;"'!$A$1:$W$30"),MATCH('All Positional Stats'!$A$47,INDIRECT("'"&amp;$A59&amp;"'!$A$1:$A$30"),0),MATCH('All Positional Stats'!N$46,INDIRECT("'"&amp;$A59&amp;"'!$A$1:$W$1"),0))</f>
        <v>2.2000000000000002</v>
      </c>
      <c r="O59" s="1">
        <f t="shared" ref="O59" ca="1" si="230">_xlfn.RANK.EQ(N59,N$48:N$59)</f>
        <v>11</v>
      </c>
      <c r="P59" s="1">
        <f ca="1">INDEX(INDIRECT("'"&amp;$A59&amp;"'!$A$1:$W$30"),MATCH('All Positional Stats'!$A$47,INDIRECT("'"&amp;$A59&amp;"'!$A$1:$A$30"),0),MATCH('All Positional Stats'!P$46,INDIRECT("'"&amp;$A59&amp;"'!$A$1:$W$1"),0))</f>
        <v>10.1</v>
      </c>
      <c r="Q59" s="1">
        <f t="shared" ref="Q59" ca="1" si="231">_xlfn.RANK.EQ(P59,P$48:P$59)</f>
        <v>5</v>
      </c>
      <c r="R59" s="1">
        <f ca="1">INDEX(INDIRECT("'"&amp;$A59&amp;"'!$A$1:$W$30"),MATCH('All Positional Stats'!$A$47,INDIRECT("'"&amp;$A59&amp;"'!$A$1:$A$30"),0),MATCH('All Positional Stats'!R$46,INDIRECT("'"&amp;$A59&amp;"'!$A$1:$W$1"),0))</f>
        <v>14.8</v>
      </c>
      <c r="S59" s="1">
        <f t="shared" ref="S59" ca="1" si="232">_xlfn.RANK.EQ(R59,R$48:R$59)</f>
        <v>2</v>
      </c>
      <c r="T59" s="1">
        <f ca="1">INDEX(INDIRECT("'"&amp;$A59&amp;"'!$A$1:$W$30"),MATCH('All Positional Stats'!$A$47,INDIRECT("'"&amp;$A59&amp;"'!$A$1:$A$30"),0),MATCH('All Positional Stats'!T$46,INDIRECT("'"&amp;$A59&amp;"'!$A$1:$W$1"),0))</f>
        <v>18.7</v>
      </c>
      <c r="U59" s="1">
        <f t="shared" ref="U59" ca="1" si="233">_xlfn.RANK.EQ(T59,T$48:T$59)</f>
        <v>2</v>
      </c>
      <c r="V59" s="1">
        <f ca="1">INDEX(INDIRECT("'"&amp;$A59&amp;"'!$A$1:$W$30"),MATCH('All Positional Stats'!$A$47,INDIRECT("'"&amp;$A59&amp;"'!$A$1:$A$30"),0),MATCH('All Positional Stats'!V$46,INDIRECT("'"&amp;$A59&amp;"'!$A$1:$W$1"),0))</f>
        <v>4.7</v>
      </c>
      <c r="W59" s="1">
        <f t="shared" ref="W59" ca="1" si="234">_xlfn.RANK.EQ(V59,V$48:V$59)</f>
        <v>11</v>
      </c>
      <c r="X59" s="1">
        <f ca="1">INDEX(INDIRECT("'"&amp;$A59&amp;"'!$A$1:$W$30"),MATCH('All Positional Stats'!$A$47,INDIRECT("'"&amp;$A59&amp;"'!$A$1:$A$30"),0),MATCH('All Positional Stats'!X$46,INDIRECT("'"&amp;$A59&amp;"'!$A$1:$W$1"),0))</f>
        <v>4</v>
      </c>
      <c r="Y59" s="1">
        <f t="shared" ref="Y59" ca="1" si="235">_xlfn.RANK.EQ(X59,X$48:X$59)</f>
        <v>9</v>
      </c>
      <c r="Z59" s="1">
        <f ca="1">INDEX(INDIRECT("'"&amp;$A59&amp;"'!$A$1:$W$30"),MATCH('All Positional Stats'!$A$47,INDIRECT("'"&amp;$A59&amp;"'!$A$1:$A$30"),0),MATCH('All Positional Stats'!Z$46,INDIRECT("'"&amp;$A59&amp;"'!$A$1:$W$1"),0))</f>
        <v>10.9</v>
      </c>
      <c r="AA59" s="1">
        <f t="shared" ref="AA59" ca="1" si="236">_xlfn.RANK.EQ(Z59,Z$48:Z$59)</f>
        <v>8</v>
      </c>
      <c r="AB59" s="1">
        <f ca="1">INDEX(INDIRECT("'"&amp;$A59&amp;"'!$A$1:$W$30"),MATCH('All Positional Stats'!$A$47,INDIRECT("'"&amp;$A59&amp;"'!$A$1:$A$30"),0),MATCH('All Positional Stats'!AB$46,INDIRECT("'"&amp;$A59&amp;"'!$A$1:$W$1"),0))</f>
        <v>18.5</v>
      </c>
      <c r="AC59" s="1">
        <f t="shared" ref="AC59" ca="1" si="237">_xlfn.RANK.EQ(AB59,AB$48:AB$59)</f>
        <v>4</v>
      </c>
      <c r="AD59" s="1">
        <f ca="1">INDEX(INDIRECT("'"&amp;$A59&amp;"'!$A$1:$W$30"),MATCH('All Positional Stats'!$A$47,INDIRECT("'"&amp;$A59&amp;"'!$A$1:$A$30"),0),MATCH('All Positional Stats'!AD$46,INDIRECT("'"&amp;$A59&amp;"'!$A$1:$W$1"),0))</f>
        <v>4.8</v>
      </c>
      <c r="AE59" s="1">
        <f t="shared" ref="AE59" ca="1" si="238">_xlfn.RANK.EQ(AD59,AD$48:AD$59)</f>
        <v>7</v>
      </c>
      <c r="AF59" s="1">
        <f ca="1">INDEX(INDIRECT("'"&amp;$A59&amp;"'!$A$1:$W$30"),MATCH('All Positional Stats'!$A$47,INDIRECT("'"&amp;$A59&amp;"'!$A$1:$A$30"),0),MATCH('All Positional Stats'!AF$46,INDIRECT("'"&amp;$A59&amp;"'!$A$1:$W$1"),0))</f>
        <v>2.9</v>
      </c>
      <c r="AG59" s="1">
        <f t="shared" ref="AG59" ca="1" si="239">_xlfn.RANK.EQ(AF59,AF$48:AF$59)</f>
        <v>10</v>
      </c>
      <c r="AH59" s="1">
        <f ca="1">INDEX(INDIRECT("'"&amp;$A59&amp;"'!$A$1:$W$30"),MATCH('All Positional Stats'!$A$47,INDIRECT("'"&amp;$A59&amp;"'!$A$1:$A$30"),0),MATCH('All Positional Stats'!AH$46,INDIRECT("'"&amp;$A59&amp;"'!$A$1:$W$1"),0))</f>
        <v>2.2000000000000002</v>
      </c>
      <c r="AI59" s="1">
        <f ca="1">INDEX(INDIRECT("'"&amp;$A59&amp;"'!$A$1:$W$30"),MATCH('All Positional Stats'!$A$47,INDIRECT("'"&amp;$A59&amp;"'!$A$1:$A$30"),0),MATCH('All Positional Stats'!AI$46,INDIRECT("'"&amp;$A59&amp;"'!$A$1:$W$1"),0))</f>
        <v>19.100000000000001</v>
      </c>
      <c r="AJ59" s="7">
        <f ca="1">INDEX(INDIRECT("'"&amp;$A59&amp;"'!$A$1:$W$30"),MATCH('All Positional Stats'!$A$47,INDIRECT("'"&amp;$A59&amp;"'!$A$1:$A$30"),0),MATCH('All Positional Stats'!AJ$46,INDIRECT("'"&amp;$A59&amp;"'!$A$1:$W$1"),0))</f>
        <v>9.9250000000000007</v>
      </c>
      <c r="AK59" s="7">
        <f ca="1">INDEX(INDIRECT("'"&amp;$A59&amp;"'!$A$1:$W$30"),MATCH('All Positional Stats'!$A$47,INDIRECT("'"&amp;$A59&amp;"'!$A$1:$A$30"),0),MATCH('All Positional Stats'!AK$46,INDIRECT("'"&amp;$A59&amp;"'!$A$1:$W$1"),0))</f>
        <v>6.086100968600503</v>
      </c>
      <c r="AL59" s="7">
        <f ca="1">INDEX(INDIRECT("'"&amp;$A59&amp;"'!$A$1:$W$30"),MATCH('All Positional Stats'!$A$47,INDIRECT("'"&amp;$A59&amp;"'!$A$1:$A$30"),0),MATCH('All Positional Stats'!AL$46,INDIRECT("'"&amp;$A59&amp;"'!$A$1:$W$1"),0))</f>
        <v>158.80000000000001</v>
      </c>
      <c r="AM59" s="6">
        <f ca="1">INDEX(INDIRECT("'"&amp;$A59&amp;"'!$A$1:$W$30"),MATCH('All Positional Stats'!$A$47,INDIRECT("'"&amp;$A59&amp;"'!$A$1:$A$30"),0),MATCH('All Positional Stats'!AM$46,INDIRECT("'"&amp;$A59&amp;"'!$A$1:$W$1"),0))</f>
        <v>0.11360709686650454</v>
      </c>
      <c r="AN59" s="9">
        <f t="shared" ca="1" si="88"/>
        <v>132.6</v>
      </c>
      <c r="AO59" s="8">
        <f t="shared" ca="1" si="89"/>
        <v>9</v>
      </c>
    </row>
    <row r="60" spans="1:41" ht="16.25" thickTop="1" thickBot="1" x14ac:dyDescent="0.9"/>
    <row r="61" spans="1:41" ht="16.25" thickTop="1" thickBot="1" x14ac:dyDescent="0.9">
      <c r="B61" s="13" t="s">
        <v>13</v>
      </c>
      <c r="C61" s="15"/>
      <c r="D61" s="13" t="s">
        <v>14</v>
      </c>
      <c r="E61" s="15"/>
      <c r="F61" s="13" t="s">
        <v>15</v>
      </c>
      <c r="G61" s="15"/>
      <c r="H61" s="13" t="s">
        <v>16</v>
      </c>
      <c r="I61" s="15"/>
      <c r="J61" s="13" t="s">
        <v>17</v>
      </c>
      <c r="K61" s="15"/>
      <c r="L61" s="13" t="s">
        <v>18</v>
      </c>
      <c r="M61" s="15"/>
      <c r="N61" s="13" t="s">
        <v>19</v>
      </c>
      <c r="O61" s="15"/>
      <c r="P61" s="13" t="s">
        <v>20</v>
      </c>
      <c r="Q61" s="15"/>
      <c r="R61" s="13" t="s">
        <v>21</v>
      </c>
      <c r="S61" s="15"/>
      <c r="T61" s="13" t="s">
        <v>22</v>
      </c>
      <c r="U61" s="15"/>
      <c r="V61" s="13" t="s">
        <v>23</v>
      </c>
      <c r="W61" s="15"/>
      <c r="X61" s="13" t="s">
        <v>24</v>
      </c>
      <c r="Y61" s="15"/>
      <c r="Z61" s="13" t="s">
        <v>25</v>
      </c>
      <c r="AA61" s="15"/>
      <c r="AB61" s="13" t="s">
        <v>26</v>
      </c>
      <c r="AC61" s="15"/>
      <c r="AD61" s="13" t="s">
        <v>27</v>
      </c>
      <c r="AE61" s="15"/>
      <c r="AF61" s="13" t="s">
        <v>28</v>
      </c>
      <c r="AG61" s="15"/>
      <c r="AH61" s="16" t="s">
        <v>30</v>
      </c>
      <c r="AI61" s="16" t="s">
        <v>31</v>
      </c>
      <c r="AJ61" s="16" t="s">
        <v>32</v>
      </c>
      <c r="AK61" s="16" t="s">
        <v>33</v>
      </c>
      <c r="AL61" s="16" t="s">
        <v>34</v>
      </c>
      <c r="AM61" s="16" t="s">
        <v>35</v>
      </c>
      <c r="AN61" s="16" t="s">
        <v>64</v>
      </c>
      <c r="AO61" s="16" t="s">
        <v>63</v>
      </c>
    </row>
    <row r="62" spans="1:41" ht="16.25" thickTop="1" thickBot="1" x14ac:dyDescent="0.9">
      <c r="A62" t="s">
        <v>58</v>
      </c>
      <c r="B62" s="5" t="s">
        <v>29</v>
      </c>
      <c r="C62" s="5" t="s">
        <v>63</v>
      </c>
      <c r="D62" s="5" t="s">
        <v>29</v>
      </c>
      <c r="E62" s="5" t="s">
        <v>63</v>
      </c>
      <c r="F62" s="5" t="s">
        <v>29</v>
      </c>
      <c r="G62" s="5" t="s">
        <v>63</v>
      </c>
      <c r="H62" s="5" t="s">
        <v>29</v>
      </c>
      <c r="I62" s="5" t="s">
        <v>63</v>
      </c>
      <c r="J62" s="5" t="s">
        <v>29</v>
      </c>
      <c r="K62" s="5" t="s">
        <v>63</v>
      </c>
      <c r="L62" s="5" t="s">
        <v>29</v>
      </c>
      <c r="M62" s="5" t="s">
        <v>63</v>
      </c>
      <c r="N62" s="5" t="s">
        <v>29</v>
      </c>
      <c r="O62" s="5" t="s">
        <v>63</v>
      </c>
      <c r="P62" s="5" t="s">
        <v>29</v>
      </c>
      <c r="Q62" s="5" t="s">
        <v>63</v>
      </c>
      <c r="R62" s="5" t="s">
        <v>29</v>
      </c>
      <c r="S62" s="5" t="s">
        <v>63</v>
      </c>
      <c r="T62" s="5" t="s">
        <v>29</v>
      </c>
      <c r="U62" s="5" t="s">
        <v>63</v>
      </c>
      <c r="V62" s="5" t="s">
        <v>29</v>
      </c>
      <c r="W62" s="5" t="s">
        <v>63</v>
      </c>
      <c r="X62" s="5" t="s">
        <v>29</v>
      </c>
      <c r="Y62" s="5" t="s">
        <v>63</v>
      </c>
      <c r="Z62" s="5" t="s">
        <v>29</v>
      </c>
      <c r="AA62" s="5" t="s">
        <v>63</v>
      </c>
      <c r="AB62" s="5" t="s">
        <v>29</v>
      </c>
      <c r="AC62" s="5" t="s">
        <v>63</v>
      </c>
      <c r="AD62" s="5" t="s">
        <v>29</v>
      </c>
      <c r="AE62" s="5" t="s">
        <v>63</v>
      </c>
      <c r="AF62" s="5" t="s">
        <v>29</v>
      </c>
      <c r="AG62" s="5" t="s">
        <v>63</v>
      </c>
      <c r="AH62" s="17"/>
      <c r="AI62" s="17"/>
      <c r="AJ62" s="17"/>
      <c r="AK62" s="17"/>
      <c r="AL62" s="17"/>
      <c r="AM62" s="17"/>
      <c r="AN62" s="17"/>
      <c r="AO62" s="17"/>
    </row>
    <row r="63" spans="1:41" ht="16.25" thickTop="1" thickBot="1" x14ac:dyDescent="0.9">
      <c r="A63" s="1" t="s">
        <v>1</v>
      </c>
      <c r="B63" s="1">
        <f ca="1">INDEX(INDIRECT("'"&amp;$A63&amp;"'!$A$1:$W$30"),MATCH('All Positional Stats'!$A$62,INDIRECT("'"&amp;$A63&amp;"'!$A$1:$A$30"),0),MATCH('All Positional Stats'!B$61,INDIRECT("'"&amp;$A63&amp;"'!$A$1:$W$1"),0))</f>
        <v>4.7</v>
      </c>
      <c r="C63" s="1">
        <f ca="1">_xlfn.RANK.EQ(B63,B$63:B$74)</f>
        <v>10</v>
      </c>
      <c r="D63" s="1">
        <f ca="1">INDEX(INDIRECT("'"&amp;$A63&amp;"'!$A$1:$W$30"),MATCH('All Positional Stats'!$A$62,INDIRECT("'"&amp;$A63&amp;"'!$A$1:$A$30"),0),MATCH('All Positional Stats'!D$61,INDIRECT("'"&amp;$A63&amp;"'!$A$1:$W$1"),0))</f>
        <v>10.8</v>
      </c>
      <c r="E63" s="1">
        <f t="shared" ref="E63" ca="1" si="240">_xlfn.RANK.EQ(D63,D$63:D$74)</f>
        <v>4</v>
      </c>
      <c r="F63" s="1">
        <f ca="1">INDEX(INDIRECT("'"&amp;$A63&amp;"'!$A$1:$W$30"),MATCH('All Positional Stats'!$A$62,INDIRECT("'"&amp;$A63&amp;"'!$A$1:$A$30"),0),MATCH('All Positional Stats'!F$61,INDIRECT("'"&amp;$A63&amp;"'!$A$1:$W$1"),0))</f>
        <v>11.1</v>
      </c>
      <c r="G63" s="1">
        <f t="shared" ref="G63" ca="1" si="241">_xlfn.RANK.EQ(F63,F$63:F$74)</f>
        <v>7</v>
      </c>
      <c r="H63" s="1">
        <f ca="1">INDEX(INDIRECT("'"&amp;$A63&amp;"'!$A$1:$W$30"),MATCH('All Positional Stats'!$A$62,INDIRECT("'"&amp;$A63&amp;"'!$A$1:$A$30"),0),MATCH('All Positional Stats'!H$61,INDIRECT("'"&amp;$A63&amp;"'!$A$1:$W$1"),0))</f>
        <v>21.7</v>
      </c>
      <c r="I63" s="1">
        <f t="shared" ref="I63" ca="1" si="242">_xlfn.RANK.EQ(H63,H$63:H$74)</f>
        <v>1</v>
      </c>
      <c r="J63" s="1">
        <f ca="1">INDEX(INDIRECT("'"&amp;$A63&amp;"'!$A$1:$W$30"),MATCH('All Positional Stats'!$A$62,INDIRECT("'"&amp;$A63&amp;"'!$A$1:$A$30"),0),MATCH('All Positional Stats'!J$61,INDIRECT("'"&amp;$A63&amp;"'!$A$1:$W$1"),0))</f>
        <v>25.2</v>
      </c>
      <c r="K63" s="1">
        <f t="shared" ref="K63" ca="1" si="243">_xlfn.RANK.EQ(J63,J$63:J$74)</f>
        <v>1</v>
      </c>
      <c r="L63" s="1">
        <f ca="1">INDEX(INDIRECT("'"&amp;$A63&amp;"'!$A$1:$W$30"),MATCH('All Positional Stats'!$A$62,INDIRECT("'"&amp;$A63&amp;"'!$A$1:$A$30"),0),MATCH('All Positional Stats'!L$61,INDIRECT("'"&amp;$A63&amp;"'!$A$1:$W$1"),0))</f>
        <v>8.9</v>
      </c>
      <c r="M63" s="1">
        <f t="shared" ref="M63" ca="1" si="244">_xlfn.RANK.EQ(L63,L$63:L$74)</f>
        <v>5</v>
      </c>
      <c r="N63" s="1">
        <f ca="1">INDEX(INDIRECT("'"&amp;$A63&amp;"'!$A$1:$W$30"),MATCH('All Positional Stats'!$A$62,INDIRECT("'"&amp;$A63&amp;"'!$A$1:$A$30"),0),MATCH('All Positional Stats'!N$61,INDIRECT("'"&amp;$A63&amp;"'!$A$1:$W$1"),0))</f>
        <v>9.1999999999999993</v>
      </c>
      <c r="O63" s="1">
        <f t="shared" ref="O63" ca="1" si="245">_xlfn.RANK.EQ(N63,N$63:N$74)</f>
        <v>4</v>
      </c>
      <c r="P63" s="1">
        <f ca="1">INDEX(INDIRECT("'"&amp;$A63&amp;"'!$A$1:$W$30"),MATCH('All Positional Stats'!$A$62,INDIRECT("'"&amp;$A63&amp;"'!$A$1:$A$30"),0),MATCH('All Positional Stats'!P$61,INDIRECT("'"&amp;$A63&amp;"'!$A$1:$W$1"),0))</f>
        <v>32.4</v>
      </c>
      <c r="Q63" s="1">
        <f t="shared" ref="Q63" ca="1" si="246">_xlfn.RANK.EQ(P63,P$63:P$74)</f>
        <v>1</v>
      </c>
      <c r="R63" s="1">
        <f ca="1">INDEX(INDIRECT("'"&amp;$A63&amp;"'!$A$1:$W$30"),MATCH('All Positional Stats'!$A$62,INDIRECT("'"&amp;$A63&amp;"'!$A$1:$A$30"),0),MATCH('All Positional Stats'!R$61,INDIRECT("'"&amp;$A63&amp;"'!$A$1:$W$1"),0))</f>
        <v>17.600000000000001</v>
      </c>
      <c r="S63" s="1">
        <f t="shared" ref="S63:AG64" ca="1" si="247">_xlfn.RANK.EQ(R63,R$63:R$74)</f>
        <v>2</v>
      </c>
      <c r="T63" s="1">
        <f ca="1">INDEX(INDIRECT("'"&amp;$A63&amp;"'!$A$1:$W$30"),MATCH('All Positional Stats'!$A$62,INDIRECT("'"&amp;$A63&amp;"'!$A$1:$A$30"),0),MATCH('All Positional Stats'!T$61,INDIRECT("'"&amp;$A63&amp;"'!$A$1:$W$1"),0))</f>
        <v>14.6</v>
      </c>
      <c r="U63" s="1">
        <f t="shared" ref="U63" ca="1" si="248">_xlfn.RANK.EQ(T63,T$63:T$74)</f>
        <v>7</v>
      </c>
      <c r="V63" s="1">
        <f ca="1">INDEX(INDIRECT("'"&amp;$A63&amp;"'!$A$1:$W$30"),MATCH('All Positional Stats'!$A$62,INDIRECT("'"&amp;$A63&amp;"'!$A$1:$A$30"),0),MATCH('All Positional Stats'!V$61,INDIRECT("'"&amp;$A63&amp;"'!$A$1:$W$1"),0))</f>
        <v>15.6</v>
      </c>
      <c r="W63" s="1">
        <f t="shared" ref="W63" ca="1" si="249">_xlfn.RANK.EQ(V63,V$63:V$74)</f>
        <v>2</v>
      </c>
      <c r="X63" s="1">
        <f ca="1">INDEX(INDIRECT("'"&amp;$A63&amp;"'!$A$1:$W$30"),MATCH('All Positional Stats'!$A$62,INDIRECT("'"&amp;$A63&amp;"'!$A$1:$A$30"),0),MATCH('All Positional Stats'!X$61,INDIRECT("'"&amp;$A63&amp;"'!$A$1:$W$1"),0))</f>
        <v>16</v>
      </c>
      <c r="Y63" s="1">
        <f t="shared" ref="Y63" ca="1" si="250">_xlfn.RANK.EQ(X63,X$63:X$74)</f>
        <v>3</v>
      </c>
      <c r="Z63" s="1">
        <f ca="1">INDEX(INDIRECT("'"&amp;$A63&amp;"'!$A$1:$W$30"),MATCH('All Positional Stats'!$A$62,INDIRECT("'"&amp;$A63&amp;"'!$A$1:$A$30"),0),MATCH('All Positional Stats'!Z$61,INDIRECT("'"&amp;$A63&amp;"'!$A$1:$W$1"),0))</f>
        <v>12</v>
      </c>
      <c r="AA63" s="1">
        <f t="shared" ref="AA63" ca="1" si="251">_xlfn.RANK.EQ(Z63,Z$63:Z$74)</f>
        <v>4</v>
      </c>
      <c r="AB63" s="1">
        <f ca="1">INDEX(INDIRECT("'"&amp;$A63&amp;"'!$A$1:$W$30"),MATCH('All Positional Stats'!$A$62,INDIRECT("'"&amp;$A63&amp;"'!$A$1:$A$30"),0),MATCH('All Positional Stats'!AB$61,INDIRECT("'"&amp;$A63&amp;"'!$A$1:$W$1"),0))</f>
        <v>30.4</v>
      </c>
      <c r="AC63" s="1">
        <f t="shared" ref="AC63" ca="1" si="252">_xlfn.RANK.EQ(AB63,AB$63:AB$74)</f>
        <v>1</v>
      </c>
      <c r="AD63" s="1">
        <f ca="1">INDEX(INDIRECT("'"&amp;$A63&amp;"'!$A$1:$W$30"),MATCH('All Positional Stats'!$A$62,INDIRECT("'"&amp;$A63&amp;"'!$A$1:$A$30"),0),MATCH('All Positional Stats'!AD$61,INDIRECT("'"&amp;$A63&amp;"'!$A$1:$W$1"),0))</f>
        <v>16</v>
      </c>
      <c r="AE63" s="1">
        <f t="shared" ref="AE63" ca="1" si="253">_xlfn.RANK.EQ(AD63,AD$63:AD$74)</f>
        <v>3</v>
      </c>
      <c r="AF63" s="1">
        <f ca="1">INDEX(INDIRECT("'"&amp;$A63&amp;"'!$A$1:$W$30"),MATCH('All Positional Stats'!$A$62,INDIRECT("'"&amp;$A63&amp;"'!$A$1:$A$30"),0),MATCH('All Positional Stats'!AF$61,INDIRECT("'"&amp;$A63&amp;"'!$A$1:$W$1"),0))</f>
        <v>14.5</v>
      </c>
      <c r="AG63" s="1">
        <f t="shared" ref="AG63" ca="1" si="254">_xlfn.RANK.EQ(AF63,AF$63:AF$74)</f>
        <v>4</v>
      </c>
      <c r="AH63" s="1">
        <f ca="1">INDEX(INDIRECT("'"&amp;$A63&amp;"'!$A$1:$W$30"),MATCH('All Positional Stats'!$A$62,INDIRECT("'"&amp;$A63&amp;"'!$A$1:$A$30"),0),MATCH('All Positional Stats'!AH$61,INDIRECT("'"&amp;$A63&amp;"'!$A$1:$W$1"),0))</f>
        <v>4.7</v>
      </c>
      <c r="AI63" s="1">
        <f ca="1">INDEX(INDIRECT("'"&amp;$A63&amp;"'!$A$1:$W$30"),MATCH('All Positional Stats'!$A$62,INDIRECT("'"&amp;$A63&amp;"'!$A$1:$A$30"),0),MATCH('All Positional Stats'!AI$61,INDIRECT("'"&amp;$A63&amp;"'!$A$1:$W$1"),0))</f>
        <v>32.4</v>
      </c>
      <c r="AJ63" s="7">
        <f ca="1">INDEX(INDIRECT("'"&amp;$A63&amp;"'!$A$1:$W$30"),MATCH('All Positional Stats'!$A$62,INDIRECT("'"&amp;$A63&amp;"'!$A$1:$A$30"),0),MATCH('All Positional Stats'!AJ$61,INDIRECT("'"&amp;$A63&amp;"'!$A$1:$W$1"),0))</f>
        <v>16.293749999999999</v>
      </c>
      <c r="AK63" s="7">
        <f ca="1">INDEX(INDIRECT("'"&amp;$A63&amp;"'!$A$1:$W$30"),MATCH('All Positional Stats'!$A$62,INDIRECT("'"&amp;$A63&amp;"'!$A$1:$A$30"),0),MATCH('All Positional Stats'!AK$61,INDIRECT("'"&amp;$A63&amp;"'!$A$1:$W$1"),0))</f>
        <v>7.4598482516402465</v>
      </c>
      <c r="AL63" s="7">
        <f ca="1">INDEX(INDIRECT("'"&amp;$A63&amp;"'!$A$1:$W$30"),MATCH('All Positional Stats'!$A$62,INDIRECT("'"&amp;$A63&amp;"'!$A$1:$A$30"),0),MATCH('All Positional Stats'!AL$61,INDIRECT("'"&amp;$A63&amp;"'!$A$1:$W$1"),0))</f>
        <v>260.7</v>
      </c>
      <c r="AM63" s="6">
        <f ca="1">INDEX(INDIRECT("'"&amp;$A63&amp;"'!$A$1:$W$30"),MATCH('All Positional Stats'!$A$62,INDIRECT("'"&amp;$A63&amp;"'!$A$1:$A$30"),0),MATCH('All Positional Stats'!AM$61,INDIRECT("'"&amp;$A63&amp;"'!$A$1:$W$1"),0))</f>
        <v>0.19131136713876865</v>
      </c>
      <c r="AN63" s="9">
        <f ca="1">SUMIF($B$62:$AA$62, "Points", B63:AA63)</f>
        <v>199.79999999999998</v>
      </c>
      <c r="AO63" s="8">
        <f ca="1">_xlfn.RANK.EQ(AN63,$AN$63:$AN$74)</f>
        <v>1</v>
      </c>
    </row>
    <row r="64" spans="1:41" ht="16.25" thickTop="1" thickBot="1" x14ac:dyDescent="0.9">
      <c r="A64" s="1" t="s">
        <v>2</v>
      </c>
      <c r="B64" s="1">
        <f ca="1">INDEX(INDIRECT("'"&amp;$A64&amp;"'!$A$1:$W$30"),MATCH('All Positional Stats'!$A$62,INDIRECT("'"&amp;$A64&amp;"'!$A$1:$A$30"),0),MATCH('All Positional Stats'!B$61,INDIRECT("'"&amp;$A64&amp;"'!$A$1:$W$1"),0))</f>
        <v>11.3</v>
      </c>
      <c r="C64" s="1">
        <f t="shared" ref="C64:Q74" ca="1" si="255">_xlfn.RANK.EQ(B64,B$63:B$74)</f>
        <v>3</v>
      </c>
      <c r="D64" s="1">
        <f ca="1">INDEX(INDIRECT("'"&amp;$A64&amp;"'!$A$1:$W$30"),MATCH('All Positional Stats'!$A$62,INDIRECT("'"&amp;$A64&amp;"'!$A$1:$A$30"),0),MATCH('All Positional Stats'!D$61,INDIRECT("'"&amp;$A64&amp;"'!$A$1:$W$1"),0))</f>
        <v>29</v>
      </c>
      <c r="E64" s="1">
        <f t="shared" ca="1" si="255"/>
        <v>1</v>
      </c>
      <c r="F64" s="1">
        <f ca="1">INDEX(INDIRECT("'"&amp;$A64&amp;"'!$A$1:$W$30"),MATCH('All Positional Stats'!$A$62,INDIRECT("'"&amp;$A64&amp;"'!$A$1:$A$30"),0),MATCH('All Positional Stats'!F$61,INDIRECT("'"&amp;$A64&amp;"'!$A$1:$W$1"),0))</f>
        <v>1.2</v>
      </c>
      <c r="G64" s="1">
        <f t="shared" ca="1" si="255"/>
        <v>12</v>
      </c>
      <c r="H64" s="1">
        <f ca="1">INDEX(INDIRECT("'"&amp;$A64&amp;"'!$A$1:$W$30"),MATCH('All Positional Stats'!$A$62,INDIRECT("'"&amp;$A64&amp;"'!$A$1:$A$30"),0),MATCH('All Positional Stats'!H$61,INDIRECT("'"&amp;$A64&amp;"'!$A$1:$W$1"),0))</f>
        <v>6.4</v>
      </c>
      <c r="I64" s="1">
        <f t="shared" ca="1" si="255"/>
        <v>8</v>
      </c>
      <c r="J64" s="1">
        <f ca="1">INDEX(INDIRECT("'"&amp;$A64&amp;"'!$A$1:$W$30"),MATCH('All Positional Stats'!$A$62,INDIRECT("'"&amp;$A64&amp;"'!$A$1:$A$30"),0),MATCH('All Positional Stats'!J$61,INDIRECT("'"&amp;$A64&amp;"'!$A$1:$W$1"),0))</f>
        <v>6.6</v>
      </c>
      <c r="K64" s="1">
        <f t="shared" ca="1" si="255"/>
        <v>8</v>
      </c>
      <c r="L64" s="1">
        <f ca="1">INDEX(INDIRECT("'"&amp;$A64&amp;"'!$A$1:$W$30"),MATCH('All Positional Stats'!$A$62,INDIRECT("'"&amp;$A64&amp;"'!$A$1:$A$30"),0),MATCH('All Positional Stats'!L$61,INDIRECT("'"&amp;$A64&amp;"'!$A$1:$W$1"),0))</f>
        <v>10.1</v>
      </c>
      <c r="M64" s="1">
        <f t="shared" ca="1" si="255"/>
        <v>4</v>
      </c>
      <c r="N64" s="1">
        <f ca="1">INDEX(INDIRECT("'"&amp;$A64&amp;"'!$A$1:$W$30"),MATCH('All Positional Stats'!$A$62,INDIRECT("'"&amp;$A64&amp;"'!$A$1:$A$30"),0),MATCH('All Positional Stats'!N$61,INDIRECT("'"&amp;$A64&amp;"'!$A$1:$W$1"),0))</f>
        <v>9.9</v>
      </c>
      <c r="O64" s="1">
        <f t="shared" ca="1" si="255"/>
        <v>3</v>
      </c>
      <c r="P64" s="1">
        <f ca="1">INDEX(INDIRECT("'"&amp;$A64&amp;"'!$A$1:$W$30"),MATCH('All Positional Stats'!$A$62,INDIRECT("'"&amp;$A64&amp;"'!$A$1:$A$30"),0),MATCH('All Positional Stats'!P$61,INDIRECT("'"&amp;$A64&amp;"'!$A$1:$W$1"),0))</f>
        <v>10.8</v>
      </c>
      <c r="Q64" s="1">
        <f t="shared" ca="1" si="255"/>
        <v>3</v>
      </c>
      <c r="R64" s="1">
        <f ca="1">INDEX(INDIRECT("'"&amp;$A64&amp;"'!$A$1:$W$30"),MATCH('All Positional Stats'!$A$62,INDIRECT("'"&amp;$A64&amp;"'!$A$1:$A$30"),0),MATCH('All Positional Stats'!R$61,INDIRECT("'"&amp;$A64&amp;"'!$A$1:$W$1"),0))</f>
        <v>5.5</v>
      </c>
      <c r="S64" s="1">
        <f t="shared" ca="1" si="247"/>
        <v>10</v>
      </c>
      <c r="T64" s="1">
        <f ca="1">INDEX(INDIRECT("'"&amp;$A64&amp;"'!$A$1:$W$30"),MATCH('All Positional Stats'!$A$62,INDIRECT("'"&amp;$A64&amp;"'!$A$1:$A$30"),0),MATCH('All Positional Stats'!T$61,INDIRECT("'"&amp;$A64&amp;"'!$A$1:$W$1"),0))</f>
        <v>16.7</v>
      </c>
      <c r="U64" s="1">
        <f t="shared" ca="1" si="247"/>
        <v>4</v>
      </c>
      <c r="V64" s="1">
        <f ca="1">INDEX(INDIRECT("'"&amp;$A64&amp;"'!$A$1:$W$30"),MATCH('All Positional Stats'!$A$62,INDIRECT("'"&amp;$A64&amp;"'!$A$1:$A$30"),0),MATCH('All Positional Stats'!V$61,INDIRECT("'"&amp;$A64&amp;"'!$A$1:$W$1"),0))</f>
        <v>10.1</v>
      </c>
      <c r="W64" s="1">
        <f t="shared" ca="1" si="247"/>
        <v>6</v>
      </c>
      <c r="X64" s="1">
        <f ca="1">INDEX(INDIRECT("'"&amp;$A64&amp;"'!$A$1:$W$30"),MATCH('All Positional Stats'!$A$62,INDIRECT("'"&amp;$A64&amp;"'!$A$1:$A$30"),0),MATCH('All Positional Stats'!X$61,INDIRECT("'"&amp;$A64&amp;"'!$A$1:$W$1"),0))</f>
        <v>0</v>
      </c>
      <c r="Y64" s="1">
        <f t="shared" ca="1" si="247"/>
        <v>12</v>
      </c>
      <c r="Z64" s="1">
        <f ca="1">INDEX(INDIRECT("'"&amp;$A64&amp;"'!$A$1:$W$30"),MATCH('All Positional Stats'!$A$62,INDIRECT("'"&amp;$A64&amp;"'!$A$1:$A$30"),0),MATCH('All Positional Stats'!Z$61,INDIRECT("'"&amp;$A64&amp;"'!$A$1:$W$1"),0))</f>
        <v>2.1</v>
      </c>
      <c r="AA64" s="1">
        <f t="shared" ca="1" si="247"/>
        <v>12</v>
      </c>
      <c r="AB64" s="1">
        <f ca="1">INDEX(INDIRECT("'"&amp;$A64&amp;"'!$A$1:$W$30"),MATCH('All Positional Stats'!$A$62,INDIRECT("'"&amp;$A64&amp;"'!$A$1:$A$30"),0),MATCH('All Positional Stats'!AB$61,INDIRECT("'"&amp;$A64&amp;"'!$A$1:$W$1"),0))</f>
        <v>11.5</v>
      </c>
      <c r="AC64" s="1">
        <f t="shared" ca="1" si="247"/>
        <v>6</v>
      </c>
      <c r="AD64" s="1">
        <f ca="1">INDEX(INDIRECT("'"&amp;$A64&amp;"'!$A$1:$W$30"),MATCH('All Positional Stats'!$A$62,INDIRECT("'"&amp;$A64&amp;"'!$A$1:$A$30"),0),MATCH('All Positional Stats'!AD$61,INDIRECT("'"&amp;$A64&amp;"'!$A$1:$W$1"),0))</f>
        <v>19.399999999999999</v>
      </c>
      <c r="AE64" s="1">
        <f t="shared" ca="1" si="247"/>
        <v>1</v>
      </c>
      <c r="AF64" s="1">
        <f ca="1">INDEX(INDIRECT("'"&amp;$A64&amp;"'!$A$1:$W$30"),MATCH('All Positional Stats'!$A$62,INDIRECT("'"&amp;$A64&amp;"'!$A$1:$A$30"),0),MATCH('All Positional Stats'!AF$61,INDIRECT("'"&amp;$A64&amp;"'!$A$1:$W$1"),0))</f>
        <v>0</v>
      </c>
      <c r="AG64" s="1">
        <f t="shared" ca="1" si="247"/>
        <v>12</v>
      </c>
      <c r="AH64" s="1">
        <f ca="1">INDEX(INDIRECT("'"&amp;$A64&amp;"'!$A$1:$W$30"),MATCH('All Positional Stats'!$A$62,INDIRECT("'"&amp;$A64&amp;"'!$A$1:$A$30"),0),MATCH('All Positional Stats'!AH$61,INDIRECT("'"&amp;$A64&amp;"'!$A$1:$W$1"),0))</f>
        <v>0</v>
      </c>
      <c r="AI64" s="1">
        <f ca="1">INDEX(INDIRECT("'"&amp;$A64&amp;"'!$A$1:$W$30"),MATCH('All Positional Stats'!$A$62,INDIRECT("'"&amp;$A64&amp;"'!$A$1:$A$30"),0),MATCH('All Positional Stats'!AI$61,INDIRECT("'"&amp;$A64&amp;"'!$A$1:$W$1"),0))</f>
        <v>29</v>
      </c>
      <c r="AJ64" s="7">
        <f ca="1">INDEX(INDIRECT("'"&amp;$A64&amp;"'!$A$1:$W$30"),MATCH('All Positional Stats'!$A$62,INDIRECT("'"&amp;$A64&amp;"'!$A$1:$A$30"),0),MATCH('All Positional Stats'!AJ$61,INDIRECT("'"&amp;$A64&amp;"'!$A$1:$W$1"),0))</f>
        <v>9.4124999999999996</v>
      </c>
      <c r="AK64" s="7">
        <f ca="1">INDEX(INDIRECT("'"&amp;$A64&amp;"'!$A$1:$W$30"),MATCH('All Positional Stats'!$A$62,INDIRECT("'"&amp;$A64&amp;"'!$A$1:$A$30"),0),MATCH('All Positional Stats'!AK$61,INDIRECT("'"&amp;$A64&amp;"'!$A$1:$W$1"),0))</f>
        <v>7.4075869046539076</v>
      </c>
      <c r="AL64" s="7">
        <f ca="1">INDEX(INDIRECT("'"&amp;$A64&amp;"'!$A$1:$W$30"),MATCH('All Positional Stats'!$A$62,INDIRECT("'"&amp;$A64&amp;"'!$A$1:$A$30"),0),MATCH('All Positional Stats'!AL$61,INDIRECT("'"&amp;$A64&amp;"'!$A$1:$W$1"),0))</f>
        <v>150.6</v>
      </c>
      <c r="AM64" s="6">
        <f ca="1">INDEX(INDIRECT("'"&amp;$A64&amp;"'!$A$1:$W$30"),MATCH('All Positional Stats'!$A$62,INDIRECT("'"&amp;$A64&amp;"'!$A$1:$A$30"),0),MATCH('All Positional Stats'!AM$61,INDIRECT("'"&amp;$A64&amp;"'!$A$1:$W$1"),0))</f>
        <v>9.9960175228992434E-2</v>
      </c>
      <c r="AN64" s="9">
        <f t="shared" ref="AN64:AN74" ca="1" si="256">SUMIF($B$62:$AA$62, "Points", B64:AA64)</f>
        <v>119.69999999999999</v>
      </c>
      <c r="AO64" s="8">
        <f t="shared" ref="AO64:AO74" ca="1" si="257">_xlfn.RANK.EQ(AN64,$AN$63:$AN$74)</f>
        <v>8</v>
      </c>
    </row>
    <row r="65" spans="1:41" ht="16.25" thickTop="1" thickBot="1" x14ac:dyDescent="0.9">
      <c r="A65" s="1" t="s">
        <v>3</v>
      </c>
      <c r="B65" s="1">
        <f ca="1">INDEX(INDIRECT("'"&amp;$A65&amp;"'!$A$1:$W$30"),MATCH('All Positional Stats'!$A$62,INDIRECT("'"&amp;$A65&amp;"'!$A$1:$A$30"),0),MATCH('All Positional Stats'!B$61,INDIRECT("'"&amp;$A65&amp;"'!$A$1:$W$1"),0))</f>
        <v>3</v>
      </c>
      <c r="C65" s="1">
        <f t="shared" ca="1" si="255"/>
        <v>11</v>
      </c>
      <c r="D65" s="1">
        <f ca="1">INDEX(INDIRECT("'"&amp;$A65&amp;"'!$A$1:$W$30"),MATCH('All Positional Stats'!$A$62,INDIRECT("'"&amp;$A65&amp;"'!$A$1:$A$30"),0),MATCH('All Positional Stats'!D$61,INDIRECT("'"&amp;$A65&amp;"'!$A$1:$W$1"),0))</f>
        <v>10.7</v>
      </c>
      <c r="E65" s="1">
        <f t="shared" ref="E65:AG74" ca="1" si="258">_xlfn.RANK.EQ(D65,D$63:D$74)</f>
        <v>5</v>
      </c>
      <c r="F65" s="1">
        <f ca="1">INDEX(INDIRECT("'"&amp;$A65&amp;"'!$A$1:$W$30"),MATCH('All Positional Stats'!$A$62,INDIRECT("'"&amp;$A65&amp;"'!$A$1:$A$30"),0),MATCH('All Positional Stats'!F$61,INDIRECT("'"&amp;$A65&amp;"'!$A$1:$W$1"),0))</f>
        <v>4</v>
      </c>
      <c r="G65" s="1">
        <f t="shared" ca="1" si="258"/>
        <v>10</v>
      </c>
      <c r="H65" s="1">
        <f ca="1">INDEX(INDIRECT("'"&amp;$A65&amp;"'!$A$1:$W$30"),MATCH('All Positional Stats'!$A$62,INDIRECT("'"&amp;$A65&amp;"'!$A$1:$A$30"),0),MATCH('All Positional Stats'!H$61,INDIRECT("'"&amp;$A65&amp;"'!$A$1:$W$1"),0))</f>
        <v>6.3</v>
      </c>
      <c r="I65" s="1">
        <f t="shared" ca="1" si="258"/>
        <v>9</v>
      </c>
      <c r="J65" s="1">
        <f ca="1">INDEX(INDIRECT("'"&amp;$A65&amp;"'!$A$1:$W$30"),MATCH('All Positional Stats'!$A$62,INDIRECT("'"&amp;$A65&amp;"'!$A$1:$A$30"),0),MATCH('All Positional Stats'!J$61,INDIRECT("'"&amp;$A65&amp;"'!$A$1:$W$1"),0))</f>
        <v>5.9</v>
      </c>
      <c r="K65" s="1">
        <f t="shared" ca="1" si="258"/>
        <v>9</v>
      </c>
      <c r="L65" s="1">
        <f ca="1">INDEX(INDIRECT("'"&amp;$A65&amp;"'!$A$1:$W$30"),MATCH('All Positional Stats'!$A$62,INDIRECT("'"&amp;$A65&amp;"'!$A$1:$A$30"),0),MATCH('All Positional Stats'!L$61,INDIRECT("'"&amp;$A65&amp;"'!$A$1:$W$1"),0))</f>
        <v>3.7</v>
      </c>
      <c r="M65" s="1">
        <f t="shared" ca="1" si="258"/>
        <v>10</v>
      </c>
      <c r="N65" s="1">
        <f ca="1">INDEX(INDIRECT("'"&amp;$A65&amp;"'!$A$1:$W$30"),MATCH('All Positional Stats'!$A$62,INDIRECT("'"&amp;$A65&amp;"'!$A$1:$A$30"),0),MATCH('All Positional Stats'!N$61,INDIRECT("'"&amp;$A65&amp;"'!$A$1:$W$1"),0))</f>
        <v>1</v>
      </c>
      <c r="O65" s="1">
        <f t="shared" ca="1" si="258"/>
        <v>11</v>
      </c>
      <c r="P65" s="1">
        <f ca="1">INDEX(INDIRECT("'"&amp;$A65&amp;"'!$A$1:$W$30"),MATCH('All Positional Stats'!$A$62,INDIRECT("'"&amp;$A65&amp;"'!$A$1:$A$30"),0),MATCH('All Positional Stats'!P$61,INDIRECT("'"&amp;$A65&amp;"'!$A$1:$W$1"),0))</f>
        <v>16.399999999999999</v>
      </c>
      <c r="Q65" s="1">
        <f t="shared" ca="1" si="258"/>
        <v>2</v>
      </c>
      <c r="R65" s="1">
        <f ca="1">INDEX(INDIRECT("'"&amp;$A65&amp;"'!$A$1:$W$30"),MATCH('All Positional Stats'!$A$62,INDIRECT("'"&amp;$A65&amp;"'!$A$1:$A$30"),0),MATCH('All Positional Stats'!R$61,INDIRECT("'"&amp;$A65&amp;"'!$A$1:$W$1"),0))</f>
        <v>5.4</v>
      </c>
      <c r="S65" s="1">
        <f t="shared" ca="1" si="258"/>
        <v>11</v>
      </c>
      <c r="T65" s="1">
        <f ca="1">INDEX(INDIRECT("'"&amp;$A65&amp;"'!$A$1:$W$30"),MATCH('All Positional Stats'!$A$62,INDIRECT("'"&amp;$A65&amp;"'!$A$1:$A$30"),0),MATCH('All Positional Stats'!T$61,INDIRECT("'"&amp;$A65&amp;"'!$A$1:$W$1"),0))</f>
        <v>4.4000000000000004</v>
      </c>
      <c r="U65" s="1">
        <f t="shared" ca="1" si="258"/>
        <v>11</v>
      </c>
      <c r="V65" s="1">
        <f ca="1">INDEX(INDIRECT("'"&amp;$A65&amp;"'!$A$1:$W$30"),MATCH('All Positional Stats'!$A$62,INDIRECT("'"&amp;$A65&amp;"'!$A$1:$A$30"),0),MATCH('All Positional Stats'!V$61,INDIRECT("'"&amp;$A65&amp;"'!$A$1:$W$1"),0))</f>
        <v>11.2</v>
      </c>
      <c r="W65" s="1">
        <f t="shared" ca="1" si="258"/>
        <v>3</v>
      </c>
      <c r="X65" s="1">
        <f ca="1">INDEX(INDIRECT("'"&amp;$A65&amp;"'!$A$1:$W$30"),MATCH('All Positional Stats'!$A$62,INDIRECT("'"&amp;$A65&amp;"'!$A$1:$A$30"),0),MATCH('All Positional Stats'!X$61,INDIRECT("'"&amp;$A65&amp;"'!$A$1:$W$1"),0))</f>
        <v>7.3</v>
      </c>
      <c r="Y65" s="1">
        <f t="shared" ca="1" si="258"/>
        <v>9</v>
      </c>
      <c r="Z65" s="1">
        <f ca="1">INDEX(INDIRECT("'"&amp;$A65&amp;"'!$A$1:$W$30"),MATCH('All Positional Stats'!$A$62,INDIRECT("'"&amp;$A65&amp;"'!$A$1:$A$30"),0),MATCH('All Positional Stats'!Z$61,INDIRECT("'"&amp;$A65&amp;"'!$A$1:$W$1"),0))</f>
        <v>14.1</v>
      </c>
      <c r="AA65" s="1">
        <f t="shared" ca="1" si="258"/>
        <v>2</v>
      </c>
      <c r="AB65" s="1">
        <f ca="1">INDEX(INDIRECT("'"&amp;$A65&amp;"'!$A$1:$W$30"),MATCH('All Positional Stats'!$A$62,INDIRECT("'"&amp;$A65&amp;"'!$A$1:$A$30"),0),MATCH('All Positional Stats'!AB$61,INDIRECT("'"&amp;$A65&amp;"'!$A$1:$W$1"),0))</f>
        <v>8.6999999999999993</v>
      </c>
      <c r="AC65" s="1">
        <f t="shared" ca="1" si="258"/>
        <v>7</v>
      </c>
      <c r="AD65" s="1">
        <f ca="1">INDEX(INDIRECT("'"&amp;$A65&amp;"'!$A$1:$W$30"),MATCH('All Positional Stats'!$A$62,INDIRECT("'"&amp;$A65&amp;"'!$A$1:$A$30"),0),MATCH('All Positional Stats'!AD$61,INDIRECT("'"&amp;$A65&amp;"'!$A$1:$W$1"),0))</f>
        <v>3.6</v>
      </c>
      <c r="AE65" s="1">
        <f t="shared" ca="1" si="258"/>
        <v>11</v>
      </c>
      <c r="AF65" s="1">
        <f ca="1">INDEX(INDIRECT("'"&amp;$A65&amp;"'!$A$1:$W$30"),MATCH('All Positional Stats'!$A$62,INDIRECT("'"&amp;$A65&amp;"'!$A$1:$A$30"),0),MATCH('All Positional Stats'!AF$61,INDIRECT("'"&amp;$A65&amp;"'!$A$1:$W$1"),0))</f>
        <v>5.0999999999999996</v>
      </c>
      <c r="AG65" s="1">
        <f t="shared" ca="1" si="258"/>
        <v>9</v>
      </c>
      <c r="AH65" s="1">
        <f ca="1">INDEX(INDIRECT("'"&amp;$A65&amp;"'!$A$1:$W$30"),MATCH('All Positional Stats'!$A$62,INDIRECT("'"&amp;$A65&amp;"'!$A$1:$A$30"),0),MATCH('All Positional Stats'!AH$61,INDIRECT("'"&amp;$A65&amp;"'!$A$1:$W$1"),0))</f>
        <v>1</v>
      </c>
      <c r="AI65" s="1">
        <f ca="1">INDEX(INDIRECT("'"&amp;$A65&amp;"'!$A$1:$W$30"),MATCH('All Positional Stats'!$A$62,INDIRECT("'"&amp;$A65&amp;"'!$A$1:$A$30"),0),MATCH('All Positional Stats'!AI$61,INDIRECT("'"&amp;$A65&amp;"'!$A$1:$W$1"),0))</f>
        <v>16.399999999999999</v>
      </c>
      <c r="AJ65" s="7">
        <f ca="1">INDEX(INDIRECT("'"&amp;$A65&amp;"'!$A$1:$W$30"),MATCH('All Positional Stats'!$A$62,INDIRECT("'"&amp;$A65&amp;"'!$A$1:$A$30"),0),MATCH('All Positional Stats'!AJ$61,INDIRECT("'"&amp;$A65&amp;"'!$A$1:$W$1"),0))</f>
        <v>6.9249999999999989</v>
      </c>
      <c r="AK65" s="7">
        <f ca="1">INDEX(INDIRECT("'"&amp;$A65&amp;"'!$A$1:$W$30"),MATCH('All Positional Stats'!$A$62,INDIRECT("'"&amp;$A65&amp;"'!$A$1:$A$30"),0),MATCH('All Positional Stats'!AK$61,INDIRECT("'"&amp;$A65&amp;"'!$A$1:$W$1"),0))</f>
        <v>4.1160508986162947</v>
      </c>
      <c r="AL65" s="7">
        <f ca="1">INDEX(INDIRECT("'"&amp;$A65&amp;"'!$A$1:$W$30"),MATCH('All Positional Stats'!$A$62,INDIRECT("'"&amp;$A65&amp;"'!$A$1:$A$30"),0),MATCH('All Positional Stats'!AL$61,INDIRECT("'"&amp;$A65&amp;"'!$A$1:$W$1"),0))</f>
        <v>110.79999999999998</v>
      </c>
      <c r="AM65" s="6">
        <f ca="1">INDEX(INDIRECT("'"&amp;$A65&amp;"'!$A$1:$W$30"),MATCH('All Positional Stats'!$A$62,INDIRECT("'"&amp;$A65&amp;"'!$A$1:$A$30"),0),MATCH('All Positional Stats'!AM$61,INDIRECT("'"&amp;$A65&amp;"'!$A$1:$W$1"),0))</f>
        <v>7.6603982300884957E-2</v>
      </c>
      <c r="AN65" s="9">
        <f t="shared" ca="1" si="256"/>
        <v>93.399999999999991</v>
      </c>
      <c r="AO65" s="8">
        <f t="shared" ca="1" si="257"/>
        <v>12</v>
      </c>
    </row>
    <row r="66" spans="1:41" ht="16.25" thickTop="1" thickBot="1" x14ac:dyDescent="0.9">
      <c r="A66" s="1" t="s">
        <v>4</v>
      </c>
      <c r="B66" s="1">
        <f ca="1">INDEX(INDIRECT("'"&amp;$A66&amp;"'!$A$1:$W$30"),MATCH('All Positional Stats'!$A$62,INDIRECT("'"&amp;$A66&amp;"'!$A$1:$A$30"),0),MATCH('All Positional Stats'!B$61,INDIRECT("'"&amp;$A66&amp;"'!$A$1:$W$1"),0))</f>
        <v>5.3</v>
      </c>
      <c r="C66" s="1">
        <f t="shared" ca="1" si="255"/>
        <v>9</v>
      </c>
      <c r="D66" s="1">
        <f ca="1">INDEX(INDIRECT("'"&amp;$A66&amp;"'!$A$1:$W$30"),MATCH('All Positional Stats'!$A$62,INDIRECT("'"&amp;$A66&amp;"'!$A$1:$A$30"),0),MATCH('All Positional Stats'!D$61,INDIRECT("'"&amp;$A66&amp;"'!$A$1:$W$1"),0))</f>
        <v>7.4</v>
      </c>
      <c r="E66" s="1">
        <f t="shared" ca="1" si="258"/>
        <v>7</v>
      </c>
      <c r="F66" s="1">
        <f ca="1">INDEX(INDIRECT("'"&amp;$A66&amp;"'!$A$1:$W$30"),MATCH('All Positional Stats'!$A$62,INDIRECT("'"&amp;$A66&amp;"'!$A$1:$A$30"),0),MATCH('All Positional Stats'!F$61,INDIRECT("'"&amp;$A66&amp;"'!$A$1:$W$1"),0))</f>
        <v>8.1999999999999993</v>
      </c>
      <c r="G66" s="1">
        <f t="shared" ca="1" si="258"/>
        <v>8</v>
      </c>
      <c r="H66" s="1">
        <f ca="1">INDEX(INDIRECT("'"&amp;$A66&amp;"'!$A$1:$W$30"),MATCH('All Positional Stats'!$A$62,INDIRECT("'"&amp;$A66&amp;"'!$A$1:$A$30"),0),MATCH('All Positional Stats'!H$61,INDIRECT("'"&amp;$A66&amp;"'!$A$1:$W$1"),0))</f>
        <v>12.3</v>
      </c>
      <c r="I66" s="1">
        <f t="shared" ca="1" si="258"/>
        <v>3</v>
      </c>
      <c r="J66" s="1">
        <f ca="1">INDEX(INDIRECT("'"&amp;$A66&amp;"'!$A$1:$W$30"),MATCH('All Positional Stats'!$A$62,INDIRECT("'"&amp;$A66&amp;"'!$A$1:$A$30"),0),MATCH('All Positional Stats'!J$61,INDIRECT("'"&amp;$A66&amp;"'!$A$1:$W$1"),0))</f>
        <v>13.4</v>
      </c>
      <c r="K66" s="1">
        <f t="shared" ca="1" si="258"/>
        <v>5</v>
      </c>
      <c r="L66" s="1">
        <f ca="1">INDEX(INDIRECT("'"&amp;$A66&amp;"'!$A$1:$W$30"),MATCH('All Positional Stats'!$A$62,INDIRECT("'"&amp;$A66&amp;"'!$A$1:$A$30"),0),MATCH('All Positional Stats'!L$61,INDIRECT("'"&amp;$A66&amp;"'!$A$1:$W$1"),0))</f>
        <v>2.2000000000000002</v>
      </c>
      <c r="M66" s="1">
        <f t="shared" ca="1" si="258"/>
        <v>12</v>
      </c>
      <c r="N66" s="1">
        <f ca="1">INDEX(INDIRECT("'"&amp;$A66&amp;"'!$A$1:$W$30"),MATCH('All Positional Stats'!$A$62,INDIRECT("'"&amp;$A66&amp;"'!$A$1:$A$30"),0),MATCH('All Positional Stats'!N$61,INDIRECT("'"&amp;$A66&amp;"'!$A$1:$W$1"),0))</f>
        <v>7.4</v>
      </c>
      <c r="O66" s="1">
        <f t="shared" ca="1" si="258"/>
        <v>6</v>
      </c>
      <c r="P66" s="1">
        <f ca="1">INDEX(INDIRECT("'"&amp;$A66&amp;"'!$A$1:$W$30"),MATCH('All Positional Stats'!$A$62,INDIRECT("'"&amp;$A66&amp;"'!$A$1:$A$30"),0),MATCH('All Positional Stats'!P$61,INDIRECT("'"&amp;$A66&amp;"'!$A$1:$W$1"),0))</f>
        <v>2.7</v>
      </c>
      <c r="Q66" s="1">
        <f t="shared" ca="1" si="258"/>
        <v>11</v>
      </c>
      <c r="R66" s="1">
        <f ca="1">INDEX(INDIRECT("'"&amp;$A66&amp;"'!$A$1:$W$30"),MATCH('All Positional Stats'!$A$62,INDIRECT("'"&amp;$A66&amp;"'!$A$1:$A$30"),0),MATCH('All Positional Stats'!R$61,INDIRECT("'"&amp;$A66&amp;"'!$A$1:$W$1"),0))</f>
        <v>6.9</v>
      </c>
      <c r="S66" s="1">
        <f t="shared" ca="1" si="258"/>
        <v>8</v>
      </c>
      <c r="T66" s="1">
        <f ca="1">INDEX(INDIRECT("'"&amp;$A66&amp;"'!$A$1:$W$30"),MATCH('All Positional Stats'!$A$62,INDIRECT("'"&amp;$A66&amp;"'!$A$1:$A$30"),0),MATCH('All Positional Stats'!T$61,INDIRECT("'"&amp;$A66&amp;"'!$A$1:$W$1"),0))</f>
        <v>7.7</v>
      </c>
      <c r="U66" s="1">
        <f t="shared" ca="1" si="258"/>
        <v>10</v>
      </c>
      <c r="V66" s="1">
        <f ca="1">INDEX(INDIRECT("'"&amp;$A66&amp;"'!$A$1:$W$30"),MATCH('All Positional Stats'!$A$62,INDIRECT("'"&amp;$A66&amp;"'!$A$1:$A$30"),0),MATCH('All Positional Stats'!V$61,INDIRECT("'"&amp;$A66&amp;"'!$A$1:$W$1"),0))</f>
        <v>11.1</v>
      </c>
      <c r="W66" s="1">
        <f t="shared" ca="1" si="258"/>
        <v>4</v>
      </c>
      <c r="X66" s="1">
        <f ca="1">INDEX(INDIRECT("'"&amp;$A66&amp;"'!$A$1:$W$30"),MATCH('All Positional Stats'!$A$62,INDIRECT("'"&amp;$A66&amp;"'!$A$1:$A$30"),0),MATCH('All Positional Stats'!X$61,INDIRECT("'"&amp;$A66&amp;"'!$A$1:$W$1"),0))</f>
        <v>23.6</v>
      </c>
      <c r="Y66" s="1">
        <f t="shared" ca="1" si="258"/>
        <v>2</v>
      </c>
      <c r="Z66" s="1">
        <f ca="1">INDEX(INDIRECT("'"&amp;$A66&amp;"'!$A$1:$W$30"),MATCH('All Positional Stats'!$A$62,INDIRECT("'"&amp;$A66&amp;"'!$A$1:$A$30"),0),MATCH('All Positional Stats'!Z$61,INDIRECT("'"&amp;$A66&amp;"'!$A$1:$W$1"),0))</f>
        <v>7.2</v>
      </c>
      <c r="AA66" s="1">
        <f t="shared" ca="1" si="258"/>
        <v>8</v>
      </c>
      <c r="AB66" s="1">
        <f ca="1">INDEX(INDIRECT("'"&amp;$A66&amp;"'!$A$1:$W$30"),MATCH('All Positional Stats'!$A$62,INDIRECT("'"&amp;$A66&amp;"'!$A$1:$A$30"),0),MATCH('All Positional Stats'!AB$61,INDIRECT("'"&amp;$A66&amp;"'!$A$1:$W$1"),0))</f>
        <v>4.9000000000000004</v>
      </c>
      <c r="AC66" s="1">
        <f t="shared" ca="1" si="258"/>
        <v>9</v>
      </c>
      <c r="AD66" s="1">
        <f ca="1">INDEX(INDIRECT("'"&amp;$A66&amp;"'!$A$1:$W$30"),MATCH('All Positional Stats'!$A$62,INDIRECT("'"&amp;$A66&amp;"'!$A$1:$A$30"),0),MATCH('All Positional Stats'!AD$61,INDIRECT("'"&amp;$A66&amp;"'!$A$1:$W$1"),0))</f>
        <v>14</v>
      </c>
      <c r="AE66" s="1">
        <f t="shared" ca="1" si="258"/>
        <v>4</v>
      </c>
      <c r="AF66" s="1">
        <f ca="1">INDEX(INDIRECT("'"&amp;$A66&amp;"'!$A$1:$W$30"),MATCH('All Positional Stats'!$A$62,INDIRECT("'"&amp;$A66&amp;"'!$A$1:$A$30"),0),MATCH('All Positional Stats'!AF$61,INDIRECT("'"&amp;$A66&amp;"'!$A$1:$W$1"),0))</f>
        <v>9.4</v>
      </c>
      <c r="AG66" s="1">
        <f t="shared" ca="1" si="258"/>
        <v>5</v>
      </c>
      <c r="AH66" s="1">
        <f ca="1">INDEX(INDIRECT("'"&amp;$A66&amp;"'!$A$1:$W$30"),MATCH('All Positional Stats'!$A$62,INDIRECT("'"&amp;$A66&amp;"'!$A$1:$A$30"),0),MATCH('All Positional Stats'!AH$61,INDIRECT("'"&amp;$A66&amp;"'!$A$1:$W$1"),0))</f>
        <v>2.2000000000000002</v>
      </c>
      <c r="AI66" s="1">
        <f ca="1">INDEX(INDIRECT("'"&amp;$A66&amp;"'!$A$1:$W$30"),MATCH('All Positional Stats'!$A$62,INDIRECT("'"&amp;$A66&amp;"'!$A$1:$A$30"),0),MATCH('All Positional Stats'!AI$61,INDIRECT("'"&amp;$A66&amp;"'!$A$1:$W$1"),0))</f>
        <v>23.6</v>
      </c>
      <c r="AJ66" s="7">
        <f ca="1">INDEX(INDIRECT("'"&amp;$A66&amp;"'!$A$1:$W$30"),MATCH('All Positional Stats'!$A$62,INDIRECT("'"&amp;$A66&amp;"'!$A$1:$A$30"),0),MATCH('All Positional Stats'!AJ$61,INDIRECT("'"&amp;$A66&amp;"'!$A$1:$W$1"),0))</f>
        <v>8.9812500000000011</v>
      </c>
      <c r="AK66" s="7">
        <f ca="1">INDEX(INDIRECT("'"&amp;$A66&amp;"'!$A$1:$W$30"),MATCH('All Positional Stats'!$A$62,INDIRECT("'"&amp;$A66&amp;"'!$A$1:$A$30"),0),MATCH('All Positional Stats'!AK$61,INDIRECT("'"&amp;$A66&amp;"'!$A$1:$W$1"),0))</f>
        <v>5.0280735314332849</v>
      </c>
      <c r="AL66" s="7">
        <f ca="1">INDEX(INDIRECT("'"&amp;$A66&amp;"'!$A$1:$W$30"),MATCH('All Positional Stats'!$A$62,INDIRECT("'"&amp;$A66&amp;"'!$A$1:$A$30"),0),MATCH('All Positional Stats'!AL$61,INDIRECT("'"&amp;$A66&amp;"'!$A$1:$W$1"),0))</f>
        <v>143.70000000000002</v>
      </c>
      <c r="AM66" s="6">
        <f ca="1">INDEX(INDIRECT("'"&amp;$A66&amp;"'!$A$1:$W$30"),MATCH('All Positional Stats'!$A$62,INDIRECT("'"&amp;$A66&amp;"'!$A$1:$A$30"),0),MATCH('All Positional Stats'!AM$61,INDIRECT("'"&amp;$A66&amp;"'!$A$1:$W$1"),0))</f>
        <v>9.2506759366550798E-2</v>
      </c>
      <c r="AN66" s="9">
        <f t="shared" ca="1" si="256"/>
        <v>115.40000000000002</v>
      </c>
      <c r="AO66" s="8">
        <f t="shared" ca="1" si="257"/>
        <v>9</v>
      </c>
    </row>
    <row r="67" spans="1:41" ht="16.25" thickTop="1" thickBot="1" x14ac:dyDescent="0.9">
      <c r="A67" s="1" t="s">
        <v>5</v>
      </c>
      <c r="B67" s="1">
        <f ca="1">INDEX(INDIRECT("'"&amp;$A67&amp;"'!$A$1:$W$30"),MATCH('All Positional Stats'!$A$62,INDIRECT("'"&amp;$A67&amp;"'!$A$1:$A$30"),0),MATCH('All Positional Stats'!B$61,INDIRECT("'"&amp;$A67&amp;"'!$A$1:$W$1"),0))</f>
        <v>10.4</v>
      </c>
      <c r="C67" s="1">
        <f t="shared" ca="1" si="255"/>
        <v>4</v>
      </c>
      <c r="D67" s="1">
        <f ca="1">INDEX(INDIRECT("'"&amp;$A67&amp;"'!$A$1:$W$30"),MATCH('All Positional Stats'!$A$62,INDIRECT("'"&amp;$A67&amp;"'!$A$1:$A$30"),0),MATCH('All Positional Stats'!D$61,INDIRECT("'"&amp;$A67&amp;"'!$A$1:$W$1"),0))</f>
        <v>3.6</v>
      </c>
      <c r="E67" s="1">
        <f t="shared" ca="1" si="258"/>
        <v>12</v>
      </c>
      <c r="F67" s="1">
        <f ca="1">INDEX(INDIRECT("'"&amp;$A67&amp;"'!$A$1:$W$30"),MATCH('All Positional Stats'!$A$62,INDIRECT("'"&amp;$A67&amp;"'!$A$1:$A$30"),0),MATCH('All Positional Stats'!F$61,INDIRECT("'"&amp;$A67&amp;"'!$A$1:$W$1"),0))</f>
        <v>27.4</v>
      </c>
      <c r="G67" s="1">
        <f t="shared" ca="1" si="258"/>
        <v>3</v>
      </c>
      <c r="H67" s="1">
        <f ca="1">INDEX(INDIRECT("'"&amp;$A67&amp;"'!$A$1:$W$30"),MATCH('All Positional Stats'!$A$62,INDIRECT("'"&amp;$A67&amp;"'!$A$1:$A$30"),0),MATCH('All Positional Stats'!H$61,INDIRECT("'"&amp;$A67&amp;"'!$A$1:$W$1"),0))</f>
        <v>9.9</v>
      </c>
      <c r="I67" s="1">
        <f t="shared" ca="1" si="258"/>
        <v>5</v>
      </c>
      <c r="J67" s="1">
        <f ca="1">INDEX(INDIRECT("'"&amp;$A67&amp;"'!$A$1:$W$30"),MATCH('All Positional Stats'!$A$62,INDIRECT("'"&amp;$A67&amp;"'!$A$1:$A$30"),0),MATCH('All Positional Stats'!J$61,INDIRECT("'"&amp;$A67&amp;"'!$A$1:$W$1"),0))</f>
        <v>1.1000000000000001</v>
      </c>
      <c r="K67" s="1">
        <f t="shared" ca="1" si="258"/>
        <v>12</v>
      </c>
      <c r="L67" s="1">
        <f ca="1">INDEX(INDIRECT("'"&amp;$A67&amp;"'!$A$1:$W$30"),MATCH('All Positional Stats'!$A$62,INDIRECT("'"&amp;$A67&amp;"'!$A$1:$A$30"),0),MATCH('All Positional Stats'!L$61,INDIRECT("'"&amp;$A67&amp;"'!$A$1:$W$1"),0))</f>
        <v>18.600000000000001</v>
      </c>
      <c r="M67" s="1">
        <f t="shared" ca="1" si="258"/>
        <v>1</v>
      </c>
      <c r="N67" s="1">
        <f ca="1">INDEX(INDIRECT("'"&amp;$A67&amp;"'!$A$1:$W$30"),MATCH('All Positional Stats'!$A$62,INDIRECT("'"&amp;$A67&amp;"'!$A$1:$A$30"),0),MATCH('All Positional Stats'!N$61,INDIRECT("'"&amp;$A67&amp;"'!$A$1:$W$1"),0))</f>
        <v>4.4000000000000004</v>
      </c>
      <c r="O67" s="1">
        <f t="shared" ca="1" si="258"/>
        <v>9</v>
      </c>
      <c r="P67" s="1">
        <f ca="1">INDEX(INDIRECT("'"&amp;$A67&amp;"'!$A$1:$W$30"),MATCH('All Positional Stats'!$A$62,INDIRECT("'"&amp;$A67&amp;"'!$A$1:$A$30"),0),MATCH('All Positional Stats'!P$61,INDIRECT("'"&amp;$A67&amp;"'!$A$1:$W$1"),0))</f>
        <v>4.0999999999999996</v>
      </c>
      <c r="Q67" s="1">
        <f t="shared" ca="1" si="258"/>
        <v>9</v>
      </c>
      <c r="R67" s="1">
        <f ca="1">INDEX(INDIRECT("'"&amp;$A67&amp;"'!$A$1:$W$30"),MATCH('All Positional Stats'!$A$62,INDIRECT("'"&amp;$A67&amp;"'!$A$1:$A$30"),0),MATCH('All Positional Stats'!R$61,INDIRECT("'"&amp;$A67&amp;"'!$A$1:$W$1"),0))</f>
        <v>9.5</v>
      </c>
      <c r="S67" s="1">
        <f t="shared" ca="1" si="258"/>
        <v>7</v>
      </c>
      <c r="T67" s="1">
        <f ca="1">INDEX(INDIRECT("'"&amp;$A67&amp;"'!$A$1:$W$30"),MATCH('All Positional Stats'!$A$62,INDIRECT("'"&amp;$A67&amp;"'!$A$1:$A$30"),0),MATCH('All Positional Stats'!T$61,INDIRECT("'"&amp;$A67&amp;"'!$A$1:$W$1"),0))</f>
        <v>2.7</v>
      </c>
      <c r="U67" s="1">
        <f t="shared" ca="1" si="258"/>
        <v>12</v>
      </c>
      <c r="V67" s="1">
        <f ca="1">INDEX(INDIRECT("'"&amp;$A67&amp;"'!$A$1:$W$30"),MATCH('All Positional Stats'!$A$62,INDIRECT("'"&amp;$A67&amp;"'!$A$1:$A$30"),0),MATCH('All Positional Stats'!V$61,INDIRECT("'"&amp;$A67&amp;"'!$A$1:$W$1"),0))</f>
        <v>4.5999999999999996</v>
      </c>
      <c r="W67" s="1">
        <f t="shared" ca="1" si="258"/>
        <v>11</v>
      </c>
      <c r="X67" s="1">
        <f ca="1">INDEX(INDIRECT("'"&amp;$A67&amp;"'!$A$1:$W$30"),MATCH('All Positional Stats'!$A$62,INDIRECT("'"&amp;$A67&amp;"'!$A$1:$A$30"),0),MATCH('All Positional Stats'!X$61,INDIRECT("'"&amp;$A67&amp;"'!$A$1:$W$1"),0))</f>
        <v>1</v>
      </c>
      <c r="Y67" s="1">
        <f t="shared" ca="1" si="258"/>
        <v>11</v>
      </c>
      <c r="Z67" s="1">
        <f ca="1">INDEX(INDIRECT("'"&amp;$A67&amp;"'!$A$1:$W$30"),MATCH('All Positional Stats'!$A$62,INDIRECT("'"&amp;$A67&amp;"'!$A$1:$A$30"),0),MATCH('All Positional Stats'!Z$61,INDIRECT("'"&amp;$A67&amp;"'!$A$1:$W$1"),0))</f>
        <v>11</v>
      </c>
      <c r="AA67" s="1">
        <f t="shared" ca="1" si="258"/>
        <v>5</v>
      </c>
      <c r="AB67" s="1">
        <f ca="1">INDEX(INDIRECT("'"&amp;$A67&amp;"'!$A$1:$W$30"),MATCH('All Positional Stats'!$A$62,INDIRECT("'"&amp;$A67&amp;"'!$A$1:$A$30"),0),MATCH('All Positional Stats'!AB$61,INDIRECT("'"&amp;$A67&amp;"'!$A$1:$W$1"),0))</f>
        <v>7.9</v>
      </c>
      <c r="AC67" s="1">
        <f t="shared" ca="1" si="258"/>
        <v>8</v>
      </c>
      <c r="AD67" s="1">
        <f ca="1">INDEX(INDIRECT("'"&amp;$A67&amp;"'!$A$1:$W$30"),MATCH('All Positional Stats'!$A$62,INDIRECT("'"&amp;$A67&amp;"'!$A$1:$A$30"),0),MATCH('All Positional Stats'!AD$61,INDIRECT("'"&amp;$A67&amp;"'!$A$1:$W$1"),0))</f>
        <v>10</v>
      </c>
      <c r="AE67" s="1">
        <f t="shared" ca="1" si="258"/>
        <v>6</v>
      </c>
      <c r="AF67" s="1">
        <f ca="1">INDEX(INDIRECT("'"&amp;$A67&amp;"'!$A$1:$W$30"),MATCH('All Positional Stats'!$A$62,INDIRECT("'"&amp;$A67&amp;"'!$A$1:$A$30"),0),MATCH('All Positional Stats'!AF$61,INDIRECT("'"&amp;$A67&amp;"'!$A$1:$W$1"),0))</f>
        <v>6.5</v>
      </c>
      <c r="AG67" s="1">
        <f t="shared" ca="1" si="258"/>
        <v>8</v>
      </c>
      <c r="AH67" s="1">
        <f ca="1">INDEX(INDIRECT("'"&amp;$A67&amp;"'!$A$1:$W$30"),MATCH('All Positional Stats'!$A$62,INDIRECT("'"&amp;$A67&amp;"'!$A$1:$A$30"),0),MATCH('All Positional Stats'!AH$61,INDIRECT("'"&amp;$A67&amp;"'!$A$1:$W$1"),0))</f>
        <v>1</v>
      </c>
      <c r="AI67" s="1">
        <f ca="1">INDEX(INDIRECT("'"&amp;$A67&amp;"'!$A$1:$W$30"),MATCH('All Positional Stats'!$A$62,INDIRECT("'"&amp;$A67&amp;"'!$A$1:$A$30"),0),MATCH('All Positional Stats'!AI$61,INDIRECT("'"&amp;$A67&amp;"'!$A$1:$W$1"),0))</f>
        <v>27.4</v>
      </c>
      <c r="AJ67" s="7">
        <f ca="1">INDEX(INDIRECT("'"&amp;$A67&amp;"'!$A$1:$W$30"),MATCH('All Positional Stats'!$A$62,INDIRECT("'"&amp;$A67&amp;"'!$A$1:$A$30"),0),MATCH('All Positional Stats'!AJ$61,INDIRECT("'"&amp;$A67&amp;"'!$A$1:$W$1"),0))</f>
        <v>8.2937499999999993</v>
      </c>
      <c r="AK67" s="7">
        <f ca="1">INDEX(INDIRECT("'"&amp;$A67&amp;"'!$A$1:$W$30"),MATCH('All Positional Stats'!$A$62,INDIRECT("'"&amp;$A67&amp;"'!$A$1:$A$30"),0),MATCH('All Positional Stats'!AK$61,INDIRECT("'"&amp;$A67&amp;"'!$A$1:$W$1"),0))</f>
        <v>6.6049667627854118</v>
      </c>
      <c r="AL67" s="7">
        <f ca="1">INDEX(INDIRECT("'"&amp;$A67&amp;"'!$A$1:$W$30"),MATCH('All Positional Stats'!$A$62,INDIRECT("'"&amp;$A67&amp;"'!$A$1:$A$30"),0),MATCH('All Positional Stats'!AL$61,INDIRECT("'"&amp;$A67&amp;"'!$A$1:$W$1"),0))</f>
        <v>132.69999999999999</v>
      </c>
      <c r="AM67" s="6">
        <f ca="1">INDEX(INDIRECT("'"&amp;$A67&amp;"'!$A$1:$W$30"),MATCH('All Positional Stats'!$A$62,INDIRECT("'"&amp;$A67&amp;"'!$A$1:$A$30"),0),MATCH('All Positional Stats'!AM$61,INDIRECT("'"&amp;$A67&amp;"'!$A$1:$W$1"),0))</f>
        <v>8.6641420736484703E-2</v>
      </c>
      <c r="AN67" s="9">
        <f t="shared" ca="1" si="256"/>
        <v>108.3</v>
      </c>
      <c r="AO67" s="8">
        <f t="shared" ca="1" si="257"/>
        <v>10</v>
      </c>
    </row>
    <row r="68" spans="1:41" ht="16.25" thickTop="1" thickBot="1" x14ac:dyDescent="0.9">
      <c r="A68" s="1" t="s">
        <v>6</v>
      </c>
      <c r="B68" s="1">
        <f ca="1">INDEX(INDIRECT("'"&amp;$A68&amp;"'!$A$1:$W$30"),MATCH('All Positional Stats'!$A$62,INDIRECT("'"&amp;$A68&amp;"'!$A$1:$A$30"),0),MATCH('All Positional Stats'!B$61,INDIRECT("'"&amp;$A68&amp;"'!$A$1:$W$1"),0))</f>
        <v>10.3</v>
      </c>
      <c r="C68" s="1">
        <f t="shared" ca="1" si="255"/>
        <v>5</v>
      </c>
      <c r="D68" s="1">
        <f ca="1">INDEX(INDIRECT("'"&amp;$A68&amp;"'!$A$1:$W$30"),MATCH('All Positional Stats'!$A$62,INDIRECT("'"&amp;$A68&amp;"'!$A$1:$A$30"),0),MATCH('All Positional Stats'!D$61,INDIRECT("'"&amp;$A68&amp;"'!$A$1:$W$1"),0))</f>
        <v>5.3</v>
      </c>
      <c r="E68" s="1">
        <f t="shared" ca="1" si="258"/>
        <v>9</v>
      </c>
      <c r="F68" s="1">
        <f ca="1">INDEX(INDIRECT("'"&amp;$A68&amp;"'!$A$1:$W$30"),MATCH('All Positional Stats'!$A$62,INDIRECT("'"&amp;$A68&amp;"'!$A$1:$A$30"),0),MATCH('All Positional Stats'!F$61,INDIRECT("'"&amp;$A68&amp;"'!$A$1:$W$1"),0))</f>
        <v>29.6</v>
      </c>
      <c r="G68" s="1">
        <f t="shared" ca="1" si="258"/>
        <v>2</v>
      </c>
      <c r="H68" s="1">
        <f ca="1">INDEX(INDIRECT("'"&amp;$A68&amp;"'!$A$1:$W$30"),MATCH('All Positional Stats'!$A$62,INDIRECT("'"&amp;$A68&amp;"'!$A$1:$A$30"),0),MATCH('All Positional Stats'!H$61,INDIRECT("'"&amp;$A68&amp;"'!$A$1:$W$1"),0))</f>
        <v>5.7</v>
      </c>
      <c r="I68" s="1">
        <f t="shared" ca="1" si="258"/>
        <v>11</v>
      </c>
      <c r="J68" s="1">
        <f ca="1">INDEX(INDIRECT("'"&amp;$A68&amp;"'!$A$1:$W$30"),MATCH('All Positional Stats'!$A$62,INDIRECT("'"&amp;$A68&amp;"'!$A$1:$A$30"),0),MATCH('All Positional Stats'!J$61,INDIRECT("'"&amp;$A68&amp;"'!$A$1:$W$1"),0))</f>
        <v>11</v>
      </c>
      <c r="K68" s="1">
        <f t="shared" ca="1" si="258"/>
        <v>7</v>
      </c>
      <c r="L68" s="1">
        <f ca="1">INDEX(INDIRECT("'"&amp;$A68&amp;"'!$A$1:$W$30"),MATCH('All Positional Stats'!$A$62,INDIRECT("'"&amp;$A68&amp;"'!$A$1:$A$30"),0),MATCH('All Positional Stats'!L$61,INDIRECT("'"&amp;$A68&amp;"'!$A$1:$W$1"),0))</f>
        <v>2.4</v>
      </c>
      <c r="M68" s="1">
        <f t="shared" ca="1" si="258"/>
        <v>11</v>
      </c>
      <c r="N68" s="1">
        <f ca="1">INDEX(INDIRECT("'"&amp;$A68&amp;"'!$A$1:$W$30"),MATCH('All Positional Stats'!$A$62,INDIRECT("'"&amp;$A68&amp;"'!$A$1:$A$30"),0),MATCH('All Positional Stats'!N$61,INDIRECT("'"&amp;$A68&amp;"'!$A$1:$W$1"),0))</f>
        <v>9.1</v>
      </c>
      <c r="O68" s="1">
        <f t="shared" ca="1" si="258"/>
        <v>5</v>
      </c>
      <c r="P68" s="1">
        <f ca="1">INDEX(INDIRECT("'"&amp;$A68&amp;"'!$A$1:$W$30"),MATCH('All Positional Stats'!$A$62,INDIRECT("'"&amp;$A68&amp;"'!$A$1:$A$30"),0),MATCH('All Positional Stats'!P$61,INDIRECT("'"&amp;$A68&amp;"'!$A$1:$W$1"),0))</f>
        <v>8.5</v>
      </c>
      <c r="Q68" s="1">
        <f t="shared" ca="1" si="258"/>
        <v>6</v>
      </c>
      <c r="R68" s="1">
        <f ca="1">INDEX(INDIRECT("'"&amp;$A68&amp;"'!$A$1:$W$30"),MATCH('All Positional Stats'!$A$62,INDIRECT("'"&amp;$A68&amp;"'!$A$1:$A$30"),0),MATCH('All Positional Stats'!R$61,INDIRECT("'"&amp;$A68&amp;"'!$A$1:$W$1"),0))</f>
        <v>21</v>
      </c>
      <c r="S68" s="1">
        <f t="shared" ca="1" si="258"/>
        <v>1</v>
      </c>
      <c r="T68" s="1">
        <f ca="1">INDEX(INDIRECT("'"&amp;$A68&amp;"'!$A$1:$W$30"),MATCH('All Positional Stats'!$A$62,INDIRECT("'"&amp;$A68&amp;"'!$A$1:$A$30"),0),MATCH('All Positional Stats'!T$61,INDIRECT("'"&amp;$A68&amp;"'!$A$1:$W$1"),0))</f>
        <v>33.1</v>
      </c>
      <c r="U68" s="1">
        <f t="shared" ca="1" si="258"/>
        <v>1</v>
      </c>
      <c r="V68" s="1">
        <f ca="1">INDEX(INDIRECT("'"&amp;$A68&amp;"'!$A$1:$W$30"),MATCH('All Positional Stats'!$A$62,INDIRECT("'"&amp;$A68&amp;"'!$A$1:$A$30"),0),MATCH('All Positional Stats'!V$61,INDIRECT("'"&amp;$A68&amp;"'!$A$1:$W$1"),0))</f>
        <v>16.7</v>
      </c>
      <c r="W68" s="1">
        <f t="shared" ca="1" si="258"/>
        <v>1</v>
      </c>
      <c r="X68" s="1">
        <f ca="1">INDEX(INDIRECT("'"&amp;$A68&amp;"'!$A$1:$W$30"),MATCH('All Positional Stats'!$A$62,INDIRECT("'"&amp;$A68&amp;"'!$A$1:$A$30"),0),MATCH('All Positional Stats'!X$61,INDIRECT("'"&amp;$A68&amp;"'!$A$1:$W$1"),0))</f>
        <v>13.7</v>
      </c>
      <c r="Y68" s="1">
        <f t="shared" ca="1" si="258"/>
        <v>5</v>
      </c>
      <c r="Z68" s="1">
        <f ca="1">INDEX(INDIRECT("'"&amp;$A68&amp;"'!$A$1:$W$30"),MATCH('All Positional Stats'!$A$62,INDIRECT("'"&amp;$A68&amp;"'!$A$1:$A$30"),0),MATCH('All Positional Stats'!Z$61,INDIRECT("'"&amp;$A68&amp;"'!$A$1:$W$1"),0))</f>
        <v>8.1</v>
      </c>
      <c r="AA68" s="1">
        <f t="shared" ca="1" si="258"/>
        <v>7</v>
      </c>
      <c r="AB68" s="1">
        <f ca="1">INDEX(INDIRECT("'"&amp;$A68&amp;"'!$A$1:$W$30"),MATCH('All Positional Stats'!$A$62,INDIRECT("'"&amp;$A68&amp;"'!$A$1:$A$30"),0),MATCH('All Positional Stats'!AB$61,INDIRECT("'"&amp;$A68&amp;"'!$A$1:$W$1"),0))</f>
        <v>13.7</v>
      </c>
      <c r="AC68" s="1">
        <f t="shared" ca="1" si="258"/>
        <v>3</v>
      </c>
      <c r="AD68" s="1">
        <f ca="1">INDEX(INDIRECT("'"&amp;$A68&amp;"'!$A$1:$W$30"),MATCH('All Positional Stats'!$A$62,INDIRECT("'"&amp;$A68&amp;"'!$A$1:$A$30"),0),MATCH('All Positional Stats'!AD$61,INDIRECT("'"&amp;$A68&amp;"'!$A$1:$W$1"),0))</f>
        <v>12.9</v>
      </c>
      <c r="AE68" s="1">
        <f t="shared" ca="1" si="258"/>
        <v>5</v>
      </c>
      <c r="AF68" s="1">
        <f ca="1">INDEX(INDIRECT("'"&amp;$A68&amp;"'!$A$1:$W$30"),MATCH('All Positional Stats'!$A$62,INDIRECT("'"&amp;$A68&amp;"'!$A$1:$A$30"),0),MATCH('All Positional Stats'!AF$61,INDIRECT("'"&amp;$A68&amp;"'!$A$1:$W$1"),0))</f>
        <v>4.8</v>
      </c>
      <c r="AG68" s="1">
        <f t="shared" ca="1" si="258"/>
        <v>10</v>
      </c>
      <c r="AH68" s="1">
        <f ca="1">INDEX(INDIRECT("'"&amp;$A68&amp;"'!$A$1:$W$30"),MATCH('All Positional Stats'!$A$62,INDIRECT("'"&amp;$A68&amp;"'!$A$1:$A$30"),0),MATCH('All Positional Stats'!AH$61,INDIRECT("'"&amp;$A68&amp;"'!$A$1:$W$1"),0))</f>
        <v>2.4</v>
      </c>
      <c r="AI68" s="1">
        <f ca="1">INDEX(INDIRECT("'"&amp;$A68&amp;"'!$A$1:$W$30"),MATCH('All Positional Stats'!$A$62,INDIRECT("'"&amp;$A68&amp;"'!$A$1:$A$30"),0),MATCH('All Positional Stats'!AI$61,INDIRECT("'"&amp;$A68&amp;"'!$A$1:$W$1"),0))</f>
        <v>33.1</v>
      </c>
      <c r="AJ68" s="7">
        <f ca="1">INDEX(INDIRECT("'"&amp;$A68&amp;"'!$A$1:$W$30"),MATCH('All Positional Stats'!$A$62,INDIRECT("'"&amp;$A68&amp;"'!$A$1:$A$30"),0),MATCH('All Positional Stats'!AJ$61,INDIRECT("'"&amp;$A68&amp;"'!$A$1:$W$1"),0))</f>
        <v>12.86875</v>
      </c>
      <c r="AK68" s="7">
        <f ca="1">INDEX(INDIRECT("'"&amp;$A68&amp;"'!$A$1:$W$30"),MATCH('All Positional Stats'!$A$62,INDIRECT("'"&amp;$A68&amp;"'!$A$1:$A$30"),0),MATCH('All Positional Stats'!AK$61,INDIRECT("'"&amp;$A68&amp;"'!$A$1:$W$1"),0))</f>
        <v>8.3700148409366655</v>
      </c>
      <c r="AL68" s="7">
        <f ca="1">INDEX(INDIRECT("'"&amp;$A68&amp;"'!$A$1:$W$30"),MATCH('All Positional Stats'!$A$62,INDIRECT("'"&amp;$A68&amp;"'!$A$1:$A$30"),0),MATCH('All Positional Stats'!AL$61,INDIRECT("'"&amp;$A68&amp;"'!$A$1:$W$1"),0))</f>
        <v>205.9</v>
      </c>
      <c r="AM68" s="6">
        <f ca="1">INDEX(INDIRECT("'"&amp;$A68&amp;"'!$A$1:$W$30"),MATCH('All Positional Stats'!$A$62,INDIRECT("'"&amp;$A68&amp;"'!$A$1:$A$30"),0),MATCH('All Positional Stats'!AM$61,INDIRECT("'"&amp;$A68&amp;"'!$A$1:$W$1"),0))</f>
        <v>0.13086309902122786</v>
      </c>
      <c r="AN68" s="9">
        <f t="shared" ca="1" si="256"/>
        <v>174.49999999999997</v>
      </c>
      <c r="AO68" s="8">
        <f t="shared" ca="1" si="257"/>
        <v>3</v>
      </c>
    </row>
    <row r="69" spans="1:41" ht="16.25" thickTop="1" thickBot="1" x14ac:dyDescent="0.9">
      <c r="A69" s="1" t="s">
        <v>7</v>
      </c>
      <c r="B69" s="1">
        <f ca="1">INDEX(INDIRECT("'"&amp;$A69&amp;"'!$A$1:$W$30"),MATCH('All Positional Stats'!$A$62,INDIRECT("'"&amp;$A69&amp;"'!$A$1:$A$30"),0),MATCH('All Positional Stats'!B$61,INDIRECT("'"&amp;$A69&amp;"'!$A$1:$W$1"),0))</f>
        <v>2.2000000000000002</v>
      </c>
      <c r="C69" s="1">
        <f t="shared" ca="1" si="255"/>
        <v>12</v>
      </c>
      <c r="D69" s="1">
        <f ca="1">INDEX(INDIRECT("'"&amp;$A69&amp;"'!$A$1:$W$30"),MATCH('All Positional Stats'!$A$62,INDIRECT("'"&amp;$A69&amp;"'!$A$1:$A$30"),0),MATCH('All Positional Stats'!D$61,INDIRECT("'"&amp;$A69&amp;"'!$A$1:$W$1"),0))</f>
        <v>17.3</v>
      </c>
      <c r="E69" s="1">
        <f t="shared" ca="1" si="258"/>
        <v>3</v>
      </c>
      <c r="F69" s="1">
        <f ca="1">INDEX(INDIRECT("'"&amp;$A69&amp;"'!$A$1:$W$30"),MATCH('All Positional Stats'!$A$62,INDIRECT("'"&amp;$A69&amp;"'!$A$1:$A$30"),0),MATCH('All Positional Stats'!F$61,INDIRECT("'"&amp;$A69&amp;"'!$A$1:$W$1"),0))</f>
        <v>21.5</v>
      </c>
      <c r="G69" s="1">
        <f t="shared" ca="1" si="258"/>
        <v>4</v>
      </c>
      <c r="H69" s="1">
        <f ca="1">INDEX(INDIRECT("'"&amp;$A69&amp;"'!$A$1:$W$30"),MATCH('All Positional Stats'!$A$62,INDIRECT("'"&amp;$A69&amp;"'!$A$1:$A$30"),0),MATCH('All Positional Stats'!H$61,INDIRECT("'"&amp;$A69&amp;"'!$A$1:$W$1"),0))</f>
        <v>7</v>
      </c>
      <c r="I69" s="1">
        <f t="shared" ca="1" si="258"/>
        <v>7</v>
      </c>
      <c r="J69" s="1">
        <f ca="1">INDEX(INDIRECT("'"&amp;$A69&amp;"'!$A$1:$W$30"),MATCH('All Positional Stats'!$A$62,INDIRECT("'"&amp;$A69&amp;"'!$A$1:$A$30"),0),MATCH('All Positional Stats'!J$61,INDIRECT("'"&amp;$A69&amp;"'!$A$1:$W$1"),0))</f>
        <v>5.7</v>
      </c>
      <c r="K69" s="1">
        <f t="shared" ca="1" si="258"/>
        <v>10</v>
      </c>
      <c r="L69" s="1">
        <f ca="1">INDEX(INDIRECT("'"&amp;$A69&amp;"'!$A$1:$W$30"),MATCH('All Positional Stats'!$A$62,INDIRECT("'"&amp;$A69&amp;"'!$A$1:$A$30"),0),MATCH('All Positional Stats'!L$61,INDIRECT("'"&amp;$A69&amp;"'!$A$1:$W$1"),0))</f>
        <v>10.199999999999999</v>
      </c>
      <c r="M69" s="1">
        <f t="shared" ca="1" si="258"/>
        <v>3</v>
      </c>
      <c r="N69" s="1">
        <f ca="1">INDEX(INDIRECT("'"&amp;$A69&amp;"'!$A$1:$W$30"),MATCH('All Positional Stats'!$A$62,INDIRECT("'"&amp;$A69&amp;"'!$A$1:$A$30"),0),MATCH('All Positional Stats'!N$61,INDIRECT("'"&amp;$A69&amp;"'!$A$1:$W$1"),0))</f>
        <v>20.399999999999999</v>
      </c>
      <c r="O69" s="1">
        <f t="shared" ca="1" si="258"/>
        <v>2</v>
      </c>
      <c r="P69" s="1">
        <f ca="1">INDEX(INDIRECT("'"&amp;$A69&amp;"'!$A$1:$W$30"),MATCH('All Positional Stats'!$A$62,INDIRECT("'"&amp;$A69&amp;"'!$A$1:$A$30"),0),MATCH('All Positional Stats'!P$61,INDIRECT("'"&amp;$A69&amp;"'!$A$1:$W$1"),0))</f>
        <v>8.9</v>
      </c>
      <c r="Q69" s="1">
        <f t="shared" ca="1" si="258"/>
        <v>5</v>
      </c>
      <c r="R69" s="1">
        <f ca="1">INDEX(INDIRECT("'"&amp;$A69&amp;"'!$A$1:$W$30"),MATCH('All Positional Stats'!$A$62,INDIRECT("'"&amp;$A69&amp;"'!$A$1:$A$30"),0),MATCH('All Positional Stats'!R$61,INDIRECT("'"&amp;$A69&amp;"'!$A$1:$W$1"),0))</f>
        <v>14.8</v>
      </c>
      <c r="S69" s="1">
        <f t="shared" ca="1" si="258"/>
        <v>4</v>
      </c>
      <c r="T69" s="1">
        <f ca="1">INDEX(INDIRECT("'"&amp;$A69&amp;"'!$A$1:$W$30"),MATCH('All Positional Stats'!$A$62,INDIRECT("'"&amp;$A69&amp;"'!$A$1:$A$30"),0),MATCH('All Positional Stats'!T$61,INDIRECT("'"&amp;$A69&amp;"'!$A$1:$W$1"),0))</f>
        <v>8.6999999999999993</v>
      </c>
      <c r="U69" s="1">
        <f t="shared" ca="1" si="258"/>
        <v>9</v>
      </c>
      <c r="V69" s="1">
        <f ca="1">INDEX(INDIRECT("'"&amp;$A69&amp;"'!$A$1:$W$30"),MATCH('All Positional Stats'!$A$62,INDIRECT("'"&amp;$A69&amp;"'!$A$1:$A$30"),0),MATCH('All Positional Stats'!V$61,INDIRECT("'"&amp;$A69&amp;"'!$A$1:$W$1"),0))</f>
        <v>9.6</v>
      </c>
      <c r="W69" s="1">
        <f t="shared" ca="1" si="258"/>
        <v>7</v>
      </c>
      <c r="X69" s="1">
        <f ca="1">INDEX(INDIRECT("'"&amp;$A69&amp;"'!$A$1:$W$30"),MATCH('All Positional Stats'!$A$62,INDIRECT("'"&amp;$A69&amp;"'!$A$1:$A$30"),0),MATCH('All Positional Stats'!X$61,INDIRECT("'"&amp;$A69&amp;"'!$A$1:$W$1"),0))</f>
        <v>44.8</v>
      </c>
      <c r="Y69" s="1">
        <f t="shared" ca="1" si="258"/>
        <v>1</v>
      </c>
      <c r="Z69" s="1">
        <f ca="1">INDEX(INDIRECT("'"&amp;$A69&amp;"'!$A$1:$W$30"),MATCH('All Positional Stats'!$A$62,INDIRECT("'"&amp;$A69&amp;"'!$A$1:$A$30"),0),MATCH('All Positional Stats'!Z$61,INDIRECT("'"&amp;$A69&amp;"'!$A$1:$W$1"),0))</f>
        <v>3.4</v>
      </c>
      <c r="AA69" s="1">
        <f t="shared" ca="1" si="258"/>
        <v>11</v>
      </c>
      <c r="AB69" s="1">
        <f ca="1">INDEX(INDIRECT("'"&amp;$A69&amp;"'!$A$1:$W$30"),MATCH('All Positional Stats'!$A$62,INDIRECT("'"&amp;$A69&amp;"'!$A$1:$A$30"),0),MATCH('All Positional Stats'!AB$61,INDIRECT("'"&amp;$A69&amp;"'!$A$1:$W$1"),0))</f>
        <v>12.3</v>
      </c>
      <c r="AC69" s="1">
        <f t="shared" ca="1" si="258"/>
        <v>5</v>
      </c>
      <c r="AD69" s="1">
        <f ca="1">INDEX(INDIRECT("'"&amp;$A69&amp;"'!$A$1:$W$30"),MATCH('All Positional Stats'!$A$62,INDIRECT("'"&amp;$A69&amp;"'!$A$1:$A$30"),0),MATCH('All Positional Stats'!AD$61,INDIRECT("'"&amp;$A69&amp;"'!$A$1:$W$1"),0))</f>
        <v>6.9</v>
      </c>
      <c r="AE69" s="1">
        <f t="shared" ca="1" si="258"/>
        <v>9</v>
      </c>
      <c r="AF69" s="1">
        <f ca="1">INDEX(INDIRECT("'"&amp;$A69&amp;"'!$A$1:$W$30"),MATCH('All Positional Stats'!$A$62,INDIRECT("'"&amp;$A69&amp;"'!$A$1:$A$30"),0),MATCH('All Positional Stats'!AF$61,INDIRECT("'"&amp;$A69&amp;"'!$A$1:$W$1"),0))</f>
        <v>18.399999999999999</v>
      </c>
      <c r="AG69" s="1">
        <f t="shared" ca="1" si="258"/>
        <v>1</v>
      </c>
      <c r="AH69" s="1">
        <f ca="1">INDEX(INDIRECT("'"&amp;$A69&amp;"'!$A$1:$W$30"),MATCH('All Positional Stats'!$A$62,INDIRECT("'"&amp;$A69&amp;"'!$A$1:$A$30"),0),MATCH('All Positional Stats'!AH$61,INDIRECT("'"&amp;$A69&amp;"'!$A$1:$W$1"),0))</f>
        <v>2.2000000000000002</v>
      </c>
      <c r="AI69" s="1">
        <f ca="1">INDEX(INDIRECT("'"&amp;$A69&amp;"'!$A$1:$W$30"),MATCH('All Positional Stats'!$A$62,INDIRECT("'"&amp;$A69&amp;"'!$A$1:$A$30"),0),MATCH('All Positional Stats'!AI$61,INDIRECT("'"&amp;$A69&amp;"'!$A$1:$W$1"),0))</f>
        <v>44.8</v>
      </c>
      <c r="AJ69" s="7">
        <f ca="1">INDEX(INDIRECT("'"&amp;$A69&amp;"'!$A$1:$W$30"),MATCH('All Positional Stats'!$A$62,INDIRECT("'"&amp;$A69&amp;"'!$A$1:$A$30"),0),MATCH('All Positional Stats'!AJ$61,INDIRECT("'"&amp;$A69&amp;"'!$A$1:$W$1"),0))</f>
        <v>13.256250000000003</v>
      </c>
      <c r="AK69" s="7">
        <f ca="1">INDEX(INDIRECT("'"&amp;$A69&amp;"'!$A$1:$W$30"),MATCH('All Positional Stats'!$A$62,INDIRECT("'"&amp;$A69&amp;"'!$A$1:$A$30"),0),MATCH('All Positional Stats'!AK$61,INDIRECT("'"&amp;$A69&amp;"'!$A$1:$W$1"),0))</f>
        <v>9.9328349899462172</v>
      </c>
      <c r="AL69" s="7">
        <f ca="1">INDEX(INDIRECT("'"&amp;$A69&amp;"'!$A$1:$W$30"),MATCH('All Positional Stats'!$A$62,INDIRECT("'"&amp;$A69&amp;"'!$A$1:$A$30"),0),MATCH('All Positional Stats'!AL$61,INDIRECT("'"&amp;$A69&amp;"'!$A$1:$W$1"),0))</f>
        <v>212.10000000000005</v>
      </c>
      <c r="AM69" s="6">
        <f ca="1">INDEX(INDIRECT("'"&amp;$A69&amp;"'!$A$1:$W$30"),MATCH('All Positional Stats'!$A$62,INDIRECT("'"&amp;$A69&amp;"'!$A$1:$A$30"),0),MATCH('All Positional Stats'!AM$61,INDIRECT("'"&amp;$A69&amp;"'!$A$1:$W$1"),0))</f>
        <v>0.14116472545757075</v>
      </c>
      <c r="AN69" s="9">
        <f t="shared" ca="1" si="256"/>
        <v>174.50000000000003</v>
      </c>
      <c r="AO69" s="8">
        <f t="shared" ca="1" si="257"/>
        <v>2</v>
      </c>
    </row>
    <row r="70" spans="1:41" ht="16.25" thickTop="1" thickBot="1" x14ac:dyDescent="0.9">
      <c r="A70" s="1" t="s">
        <v>8</v>
      </c>
      <c r="B70" s="1">
        <f ca="1">INDEX(INDIRECT("'"&amp;$A70&amp;"'!$A$1:$W$30"),MATCH('All Positional Stats'!$A$62,INDIRECT("'"&amp;$A70&amp;"'!$A$1:$A$30"),0),MATCH('All Positional Stats'!B$61,INDIRECT("'"&amp;$A70&amp;"'!$A$1:$W$1"),0))</f>
        <v>9.1999999999999993</v>
      </c>
      <c r="C70" s="1">
        <f t="shared" ca="1" si="255"/>
        <v>7</v>
      </c>
      <c r="D70" s="1">
        <f ca="1">INDEX(INDIRECT("'"&amp;$A70&amp;"'!$A$1:$W$30"),MATCH('All Positional Stats'!$A$62,INDIRECT("'"&amp;$A70&amp;"'!$A$1:$A$30"),0),MATCH('All Positional Stats'!D$61,INDIRECT("'"&amp;$A70&amp;"'!$A$1:$W$1"),0))</f>
        <v>10.1</v>
      </c>
      <c r="E70" s="1">
        <f t="shared" ca="1" si="258"/>
        <v>6</v>
      </c>
      <c r="F70" s="1">
        <f ca="1">INDEX(INDIRECT("'"&amp;$A70&amp;"'!$A$1:$W$30"),MATCH('All Positional Stats'!$A$62,INDIRECT("'"&amp;$A70&amp;"'!$A$1:$A$30"),0),MATCH('All Positional Stats'!F$61,INDIRECT("'"&amp;$A70&amp;"'!$A$1:$W$1"),0))</f>
        <v>12.8</v>
      </c>
      <c r="G70" s="1">
        <f t="shared" ca="1" si="258"/>
        <v>6</v>
      </c>
      <c r="H70" s="1">
        <f ca="1">INDEX(INDIRECT("'"&amp;$A70&amp;"'!$A$1:$W$30"),MATCH('All Positional Stats'!$A$62,INDIRECT("'"&amp;$A70&amp;"'!$A$1:$A$30"),0),MATCH('All Positional Stats'!H$61,INDIRECT("'"&amp;$A70&amp;"'!$A$1:$W$1"),0))</f>
        <v>1.6</v>
      </c>
      <c r="I70" s="1">
        <f t="shared" ca="1" si="258"/>
        <v>12</v>
      </c>
      <c r="J70" s="1">
        <f ca="1">INDEX(INDIRECT("'"&amp;$A70&amp;"'!$A$1:$W$30"),MATCH('All Positional Stats'!$A$62,INDIRECT("'"&amp;$A70&amp;"'!$A$1:$A$30"),0),MATCH('All Positional Stats'!J$61,INDIRECT("'"&amp;$A70&amp;"'!$A$1:$W$1"),0))</f>
        <v>4.5999999999999996</v>
      </c>
      <c r="K70" s="1">
        <f t="shared" ca="1" si="258"/>
        <v>11</v>
      </c>
      <c r="L70" s="1">
        <f ca="1">INDEX(INDIRECT("'"&amp;$A70&amp;"'!$A$1:$W$30"),MATCH('All Positional Stats'!$A$62,INDIRECT("'"&amp;$A70&amp;"'!$A$1:$A$30"),0),MATCH('All Positional Stats'!L$61,INDIRECT("'"&amp;$A70&amp;"'!$A$1:$W$1"),0))</f>
        <v>8.9</v>
      </c>
      <c r="M70" s="1">
        <f t="shared" ca="1" si="258"/>
        <v>5</v>
      </c>
      <c r="N70" s="1">
        <f ca="1">INDEX(INDIRECT("'"&amp;$A70&amp;"'!$A$1:$W$30"),MATCH('All Positional Stats'!$A$62,INDIRECT("'"&amp;$A70&amp;"'!$A$1:$A$30"),0),MATCH('All Positional Stats'!N$61,INDIRECT("'"&amp;$A70&amp;"'!$A$1:$W$1"),0))</f>
        <v>5.5</v>
      </c>
      <c r="O70" s="1">
        <f t="shared" ca="1" si="258"/>
        <v>8</v>
      </c>
      <c r="P70" s="1">
        <f ca="1">INDEX(INDIRECT("'"&amp;$A70&amp;"'!$A$1:$W$30"),MATCH('All Positional Stats'!$A$62,INDIRECT("'"&amp;$A70&amp;"'!$A$1:$A$30"),0),MATCH('All Positional Stats'!P$61,INDIRECT("'"&amp;$A70&amp;"'!$A$1:$W$1"),0))</f>
        <v>9.1</v>
      </c>
      <c r="Q70" s="1">
        <f t="shared" ca="1" si="258"/>
        <v>4</v>
      </c>
      <c r="R70" s="1">
        <f ca="1">INDEX(INDIRECT("'"&amp;$A70&amp;"'!$A$1:$W$30"),MATCH('All Positional Stats'!$A$62,INDIRECT("'"&amp;$A70&amp;"'!$A$1:$A$30"),0),MATCH('All Positional Stats'!R$61,INDIRECT("'"&amp;$A70&amp;"'!$A$1:$W$1"),0))</f>
        <v>17</v>
      </c>
      <c r="S70" s="1">
        <f t="shared" ca="1" si="258"/>
        <v>3</v>
      </c>
      <c r="T70" s="1">
        <f ca="1">INDEX(INDIRECT("'"&amp;$A70&amp;"'!$A$1:$W$30"),MATCH('All Positional Stats'!$A$62,INDIRECT("'"&amp;$A70&amp;"'!$A$1:$A$30"),0),MATCH('All Positional Stats'!T$61,INDIRECT("'"&amp;$A70&amp;"'!$A$1:$W$1"),0))</f>
        <v>12.9</v>
      </c>
      <c r="U70" s="1">
        <f t="shared" ca="1" si="258"/>
        <v>8</v>
      </c>
      <c r="V70" s="1">
        <f ca="1">INDEX(INDIRECT("'"&amp;$A70&amp;"'!$A$1:$W$30"),MATCH('All Positional Stats'!$A$62,INDIRECT("'"&amp;$A70&amp;"'!$A$1:$A$30"),0),MATCH('All Positional Stats'!V$61,INDIRECT("'"&amp;$A70&amp;"'!$A$1:$W$1"),0))</f>
        <v>3.3</v>
      </c>
      <c r="W70" s="1">
        <f t="shared" ca="1" si="258"/>
        <v>12</v>
      </c>
      <c r="X70" s="1">
        <f ca="1">INDEX(INDIRECT("'"&amp;$A70&amp;"'!$A$1:$W$30"),MATCH('All Positional Stats'!$A$62,INDIRECT("'"&amp;$A70&amp;"'!$A$1:$A$30"),0),MATCH('All Positional Stats'!X$61,INDIRECT("'"&amp;$A70&amp;"'!$A$1:$W$1"),0))</f>
        <v>4.3</v>
      </c>
      <c r="Y70" s="1">
        <f t="shared" ca="1" si="258"/>
        <v>10</v>
      </c>
      <c r="Z70" s="1">
        <f ca="1">INDEX(INDIRECT("'"&amp;$A70&amp;"'!$A$1:$W$30"),MATCH('All Positional Stats'!$A$62,INDIRECT("'"&amp;$A70&amp;"'!$A$1:$A$30"),0),MATCH('All Positional Stats'!Z$61,INDIRECT("'"&amp;$A70&amp;"'!$A$1:$W$1"),0))</f>
        <v>3.7</v>
      </c>
      <c r="AA70" s="1">
        <f t="shared" ca="1" si="258"/>
        <v>10</v>
      </c>
      <c r="AB70" s="1">
        <f ca="1">INDEX(INDIRECT("'"&amp;$A70&amp;"'!$A$1:$W$30"),MATCH('All Positional Stats'!$A$62,INDIRECT("'"&amp;$A70&amp;"'!$A$1:$A$30"),0),MATCH('All Positional Stats'!AB$61,INDIRECT("'"&amp;$A70&amp;"'!$A$1:$W$1"),0))</f>
        <v>19.3</v>
      </c>
      <c r="AC70" s="1">
        <f t="shared" ca="1" si="258"/>
        <v>2</v>
      </c>
      <c r="AD70" s="1">
        <f ca="1">INDEX(INDIRECT("'"&amp;$A70&amp;"'!$A$1:$W$30"),MATCH('All Positional Stats'!$A$62,INDIRECT("'"&amp;$A70&amp;"'!$A$1:$A$30"),0),MATCH('All Positional Stats'!AD$61,INDIRECT("'"&amp;$A70&amp;"'!$A$1:$W$1"),0))</f>
        <v>9.4</v>
      </c>
      <c r="AE70" s="1">
        <f t="shared" ca="1" si="258"/>
        <v>7</v>
      </c>
      <c r="AF70" s="1">
        <f ca="1">INDEX(INDIRECT("'"&amp;$A70&amp;"'!$A$1:$W$30"),MATCH('All Positional Stats'!$A$62,INDIRECT("'"&amp;$A70&amp;"'!$A$1:$A$30"),0),MATCH('All Positional Stats'!AF$61,INDIRECT("'"&amp;$A70&amp;"'!$A$1:$W$1"),0))</f>
        <v>7.2</v>
      </c>
      <c r="AG70" s="1">
        <f t="shared" ca="1" si="258"/>
        <v>7</v>
      </c>
      <c r="AH70" s="1">
        <f ca="1">INDEX(INDIRECT("'"&amp;$A70&amp;"'!$A$1:$W$30"),MATCH('All Positional Stats'!$A$62,INDIRECT("'"&amp;$A70&amp;"'!$A$1:$A$30"),0),MATCH('All Positional Stats'!AH$61,INDIRECT("'"&amp;$A70&amp;"'!$A$1:$W$1"),0))</f>
        <v>1.6</v>
      </c>
      <c r="AI70" s="1">
        <f ca="1">INDEX(INDIRECT("'"&amp;$A70&amp;"'!$A$1:$W$30"),MATCH('All Positional Stats'!$A$62,INDIRECT("'"&amp;$A70&amp;"'!$A$1:$A$30"),0),MATCH('All Positional Stats'!AI$61,INDIRECT("'"&amp;$A70&amp;"'!$A$1:$W$1"),0))</f>
        <v>19.3</v>
      </c>
      <c r="AJ70" s="7">
        <f ca="1">INDEX(INDIRECT("'"&amp;$A70&amp;"'!$A$1:$W$30"),MATCH('All Positional Stats'!$A$62,INDIRECT("'"&amp;$A70&amp;"'!$A$1:$A$30"),0),MATCH('All Positional Stats'!AJ$61,INDIRECT("'"&amp;$A70&amp;"'!$A$1:$W$1"),0))</f>
        <v>8.6812499999999986</v>
      </c>
      <c r="AK70" s="7">
        <f ca="1">INDEX(INDIRECT("'"&amp;$A70&amp;"'!$A$1:$W$30"),MATCH('All Positional Stats'!$A$62,INDIRECT("'"&amp;$A70&amp;"'!$A$1:$A$30"),0),MATCH('All Positional Stats'!AK$61,INDIRECT("'"&amp;$A70&amp;"'!$A$1:$W$1"),0))</f>
        <v>4.8206870296151783</v>
      </c>
      <c r="AL70" s="7">
        <f ca="1">INDEX(INDIRECT("'"&amp;$A70&amp;"'!$A$1:$W$30"),MATCH('All Positional Stats'!$A$62,INDIRECT("'"&amp;$A70&amp;"'!$A$1:$A$30"),0),MATCH('All Positional Stats'!AL$61,INDIRECT("'"&amp;$A70&amp;"'!$A$1:$W$1"),0))</f>
        <v>138.89999999999998</v>
      </c>
      <c r="AM70" s="6">
        <f ca="1">INDEX(INDIRECT("'"&amp;$A70&amp;"'!$A$1:$W$30"),MATCH('All Positional Stats'!$A$62,INDIRECT("'"&amp;$A70&amp;"'!$A$1:$A$30"),0),MATCH('All Positional Stats'!AM$61,INDIRECT("'"&amp;$A70&amp;"'!$A$1:$W$1"),0))</f>
        <v>9.4663667961562031E-2</v>
      </c>
      <c r="AN70" s="9">
        <f t="shared" ca="1" si="256"/>
        <v>103</v>
      </c>
      <c r="AO70" s="8">
        <f t="shared" ca="1" si="257"/>
        <v>11</v>
      </c>
    </row>
    <row r="71" spans="1:41" ht="16.25" thickTop="1" thickBot="1" x14ac:dyDescent="0.9">
      <c r="A71" s="1" t="s">
        <v>9</v>
      </c>
      <c r="B71" s="1">
        <f ca="1">INDEX(INDIRECT("'"&amp;$A71&amp;"'!$A$1:$W$30"),MATCH('All Positional Stats'!$A$62,INDIRECT("'"&amp;$A71&amp;"'!$A$1:$A$30"),0),MATCH('All Positional Stats'!B$61,INDIRECT("'"&amp;$A71&amp;"'!$A$1:$W$1"),0))</f>
        <v>9.6</v>
      </c>
      <c r="C71" s="1">
        <f t="shared" ca="1" si="255"/>
        <v>6</v>
      </c>
      <c r="D71" s="1">
        <f ca="1">INDEX(INDIRECT("'"&amp;$A71&amp;"'!$A$1:$W$30"),MATCH('All Positional Stats'!$A$62,INDIRECT("'"&amp;$A71&amp;"'!$A$1:$A$30"),0),MATCH('All Positional Stats'!D$61,INDIRECT("'"&amp;$A71&amp;"'!$A$1:$W$1"),0))</f>
        <v>4.0999999999999996</v>
      </c>
      <c r="E71" s="1">
        <f t="shared" ca="1" si="258"/>
        <v>10</v>
      </c>
      <c r="F71" s="1">
        <f ca="1">INDEX(INDIRECT("'"&amp;$A71&amp;"'!$A$1:$W$30"),MATCH('All Positional Stats'!$A$62,INDIRECT("'"&amp;$A71&amp;"'!$A$1:$A$30"),0),MATCH('All Positional Stats'!F$61,INDIRECT("'"&amp;$A71&amp;"'!$A$1:$W$1"),0))</f>
        <v>2.9</v>
      </c>
      <c r="G71" s="1">
        <f t="shared" ca="1" si="258"/>
        <v>11</v>
      </c>
      <c r="H71" s="1">
        <f ca="1">INDEX(INDIRECT("'"&amp;$A71&amp;"'!$A$1:$W$30"),MATCH('All Positional Stats'!$A$62,INDIRECT("'"&amp;$A71&amp;"'!$A$1:$A$30"),0),MATCH('All Positional Stats'!H$61,INDIRECT("'"&amp;$A71&amp;"'!$A$1:$W$1"),0))</f>
        <v>14.5</v>
      </c>
      <c r="I71" s="1">
        <f t="shared" ca="1" si="258"/>
        <v>2</v>
      </c>
      <c r="J71" s="1">
        <f ca="1">INDEX(INDIRECT("'"&amp;$A71&amp;"'!$A$1:$W$30"),MATCH('All Positional Stats'!$A$62,INDIRECT("'"&amp;$A71&amp;"'!$A$1:$A$30"),0),MATCH('All Positional Stats'!J$61,INDIRECT("'"&amp;$A71&amp;"'!$A$1:$W$1"),0))</f>
        <v>14.8</v>
      </c>
      <c r="K71" s="1">
        <f t="shared" ca="1" si="258"/>
        <v>3</v>
      </c>
      <c r="L71" s="1">
        <f ca="1">INDEX(INDIRECT("'"&amp;$A71&amp;"'!$A$1:$W$30"),MATCH('All Positional Stats'!$A$62,INDIRECT("'"&amp;$A71&amp;"'!$A$1:$A$30"),0),MATCH('All Positional Stats'!L$61,INDIRECT("'"&amp;$A71&amp;"'!$A$1:$W$1"),0))</f>
        <v>5.0999999999999996</v>
      </c>
      <c r="M71" s="1">
        <f t="shared" ca="1" si="258"/>
        <v>8</v>
      </c>
      <c r="N71" s="1">
        <f ca="1">INDEX(INDIRECT("'"&amp;$A71&amp;"'!$A$1:$W$30"),MATCH('All Positional Stats'!$A$62,INDIRECT("'"&amp;$A71&amp;"'!$A$1:$A$30"),0),MATCH('All Positional Stats'!N$61,INDIRECT("'"&amp;$A71&amp;"'!$A$1:$W$1"),0))</f>
        <v>6.1</v>
      </c>
      <c r="O71" s="1">
        <f t="shared" ca="1" si="258"/>
        <v>7</v>
      </c>
      <c r="P71" s="1">
        <f ca="1">INDEX(INDIRECT("'"&amp;$A71&amp;"'!$A$1:$W$30"),MATCH('All Positional Stats'!$A$62,INDIRECT("'"&amp;$A71&amp;"'!$A$1:$A$30"),0),MATCH('All Positional Stats'!P$61,INDIRECT("'"&amp;$A71&amp;"'!$A$1:$W$1"),0))</f>
        <v>2.1</v>
      </c>
      <c r="Q71" s="1">
        <f t="shared" ca="1" si="258"/>
        <v>12</v>
      </c>
      <c r="R71" s="1">
        <f ca="1">INDEX(INDIRECT("'"&amp;$A71&amp;"'!$A$1:$W$30"),MATCH('All Positional Stats'!$A$62,INDIRECT("'"&amp;$A71&amp;"'!$A$1:$A$30"),0),MATCH('All Positional Stats'!R$61,INDIRECT("'"&amp;$A71&amp;"'!$A$1:$W$1"),0))</f>
        <v>11.1</v>
      </c>
      <c r="S71" s="1">
        <f t="shared" ca="1" si="258"/>
        <v>6</v>
      </c>
      <c r="T71" s="1">
        <f ca="1">INDEX(INDIRECT("'"&amp;$A71&amp;"'!$A$1:$W$30"),MATCH('All Positional Stats'!$A$62,INDIRECT("'"&amp;$A71&amp;"'!$A$1:$A$30"),0),MATCH('All Positional Stats'!T$61,INDIRECT("'"&amp;$A71&amp;"'!$A$1:$W$1"),0))</f>
        <v>23.7</v>
      </c>
      <c r="U71" s="1">
        <f t="shared" ca="1" si="258"/>
        <v>2</v>
      </c>
      <c r="V71" s="1">
        <f ca="1">INDEX(INDIRECT("'"&amp;$A71&amp;"'!$A$1:$W$30"),MATCH('All Positional Stats'!$A$62,INDIRECT("'"&amp;$A71&amp;"'!$A$1:$A$30"),0),MATCH('All Positional Stats'!V$61,INDIRECT("'"&amp;$A71&amp;"'!$A$1:$W$1"),0))</f>
        <v>8.1</v>
      </c>
      <c r="W71" s="1">
        <f t="shared" ca="1" si="258"/>
        <v>8</v>
      </c>
      <c r="X71" s="1">
        <f ca="1">INDEX(INDIRECT("'"&amp;$A71&amp;"'!$A$1:$W$30"),MATCH('All Positional Stats'!$A$62,INDIRECT("'"&amp;$A71&amp;"'!$A$1:$A$30"),0),MATCH('All Positional Stats'!X$61,INDIRECT("'"&amp;$A71&amp;"'!$A$1:$W$1"),0))</f>
        <v>14.3</v>
      </c>
      <c r="Y71" s="1">
        <f t="shared" ca="1" si="258"/>
        <v>4</v>
      </c>
      <c r="Z71" s="1">
        <f ca="1">INDEX(INDIRECT("'"&amp;$A71&amp;"'!$A$1:$W$30"),MATCH('All Positional Stats'!$A$62,INDIRECT("'"&amp;$A71&amp;"'!$A$1:$A$30"),0),MATCH('All Positional Stats'!Z$61,INDIRECT("'"&amp;$A71&amp;"'!$A$1:$W$1"),0))</f>
        <v>14</v>
      </c>
      <c r="AA71" s="1">
        <f t="shared" ca="1" si="258"/>
        <v>3</v>
      </c>
      <c r="AB71" s="1">
        <f ca="1">INDEX(INDIRECT("'"&amp;$A71&amp;"'!$A$1:$W$30"),MATCH('All Positional Stats'!$A$62,INDIRECT("'"&amp;$A71&amp;"'!$A$1:$A$30"),0),MATCH('All Positional Stats'!AB$61,INDIRECT("'"&amp;$A71&amp;"'!$A$1:$W$1"),0))</f>
        <v>2.8</v>
      </c>
      <c r="AC71" s="1">
        <f t="shared" ca="1" si="258"/>
        <v>12</v>
      </c>
      <c r="AD71" s="1">
        <f ca="1">INDEX(INDIRECT("'"&amp;$A71&amp;"'!$A$1:$W$30"),MATCH('All Positional Stats'!$A$62,INDIRECT("'"&amp;$A71&amp;"'!$A$1:$A$30"),0),MATCH('All Positional Stats'!AD$61,INDIRECT("'"&amp;$A71&amp;"'!$A$1:$W$1"),0))</f>
        <v>2.4</v>
      </c>
      <c r="AE71" s="1">
        <f t="shared" ca="1" si="258"/>
        <v>12</v>
      </c>
      <c r="AF71" s="1">
        <f ca="1">INDEX(INDIRECT("'"&amp;$A71&amp;"'!$A$1:$W$30"),MATCH('All Positional Stats'!$A$62,INDIRECT("'"&amp;$A71&amp;"'!$A$1:$A$30"),0),MATCH('All Positional Stats'!AF$61,INDIRECT("'"&amp;$A71&amp;"'!$A$1:$W$1"),0))</f>
        <v>2.6</v>
      </c>
      <c r="AG71" s="1">
        <f t="shared" ca="1" si="258"/>
        <v>11</v>
      </c>
      <c r="AH71" s="1">
        <f ca="1">INDEX(INDIRECT("'"&amp;$A71&amp;"'!$A$1:$W$30"),MATCH('All Positional Stats'!$A$62,INDIRECT("'"&amp;$A71&amp;"'!$A$1:$A$30"),0),MATCH('All Positional Stats'!AH$61,INDIRECT("'"&amp;$A71&amp;"'!$A$1:$W$1"),0))</f>
        <v>2.1</v>
      </c>
      <c r="AI71" s="1">
        <f ca="1">INDEX(INDIRECT("'"&amp;$A71&amp;"'!$A$1:$W$30"),MATCH('All Positional Stats'!$A$62,INDIRECT("'"&amp;$A71&amp;"'!$A$1:$A$30"),0),MATCH('All Positional Stats'!AI$61,INDIRECT("'"&amp;$A71&amp;"'!$A$1:$W$1"),0))</f>
        <v>23.7</v>
      </c>
      <c r="AJ71" s="7">
        <f ca="1">INDEX(INDIRECT("'"&amp;$A71&amp;"'!$A$1:$W$30"),MATCH('All Positional Stats'!$A$62,INDIRECT("'"&amp;$A71&amp;"'!$A$1:$A$30"),0),MATCH('All Positional Stats'!AJ$61,INDIRECT("'"&amp;$A71&amp;"'!$A$1:$W$1"),0))</f>
        <v>8.6374999999999993</v>
      </c>
      <c r="AK71" s="7">
        <f ca="1">INDEX(INDIRECT("'"&amp;$A71&amp;"'!$A$1:$W$30"),MATCH('All Positional Stats'!$A$62,INDIRECT("'"&amp;$A71&amp;"'!$A$1:$A$30"),0),MATCH('All Positional Stats'!AK$61,INDIRECT("'"&amp;$A71&amp;"'!$A$1:$W$1"),0))</f>
        <v>6.0825441839743339</v>
      </c>
      <c r="AL71" s="7">
        <f ca="1">INDEX(INDIRECT("'"&amp;$A71&amp;"'!$A$1:$W$30"),MATCH('All Positional Stats'!$A$62,INDIRECT("'"&amp;$A71&amp;"'!$A$1:$A$30"),0),MATCH('All Positional Stats'!AL$61,INDIRECT("'"&amp;$A71&amp;"'!$A$1:$W$1"),0))</f>
        <v>138.19999999999999</v>
      </c>
      <c r="AM71" s="6">
        <f ca="1">INDEX(INDIRECT("'"&amp;$A71&amp;"'!$A$1:$W$30"),MATCH('All Positional Stats'!$A$62,INDIRECT("'"&amp;$A71&amp;"'!$A$1:$A$30"),0),MATCH('All Positional Stats'!AM$61,INDIRECT("'"&amp;$A71&amp;"'!$A$1:$W$1"),0))</f>
        <v>9.9531868923298517E-2</v>
      </c>
      <c r="AN71" s="9">
        <f t="shared" ca="1" si="256"/>
        <v>130.39999999999998</v>
      </c>
      <c r="AO71" s="8">
        <f t="shared" ca="1" si="257"/>
        <v>7</v>
      </c>
    </row>
    <row r="72" spans="1:41" ht="16.25" thickTop="1" thickBot="1" x14ac:dyDescent="0.9">
      <c r="A72" s="1" t="s">
        <v>10</v>
      </c>
      <c r="B72" s="1">
        <f ca="1">INDEX(INDIRECT("'"&amp;$A72&amp;"'!$A$1:$W$30"),MATCH('All Positional Stats'!$A$62,INDIRECT("'"&amp;$A72&amp;"'!$A$1:$A$30"),0),MATCH('All Positional Stats'!B$61,INDIRECT("'"&amp;$A72&amp;"'!$A$1:$W$1"),0))</f>
        <v>23.3</v>
      </c>
      <c r="C72" s="1">
        <f t="shared" ca="1" si="255"/>
        <v>2</v>
      </c>
      <c r="D72" s="1">
        <f ca="1">INDEX(INDIRECT("'"&amp;$A72&amp;"'!$A$1:$W$30"),MATCH('All Positional Stats'!$A$62,INDIRECT("'"&amp;$A72&amp;"'!$A$1:$A$30"),0),MATCH('All Positional Stats'!D$61,INDIRECT("'"&amp;$A72&amp;"'!$A$1:$W$1"),0))</f>
        <v>6.9</v>
      </c>
      <c r="E72" s="1">
        <f t="shared" ca="1" si="258"/>
        <v>8</v>
      </c>
      <c r="F72" s="1">
        <f ca="1">INDEX(INDIRECT("'"&amp;$A72&amp;"'!$A$1:$W$30"),MATCH('All Positional Stats'!$A$62,INDIRECT("'"&amp;$A72&amp;"'!$A$1:$A$30"),0),MATCH('All Positional Stats'!F$61,INDIRECT("'"&amp;$A72&amp;"'!$A$1:$W$1"),0))</f>
        <v>17.5</v>
      </c>
      <c r="G72" s="1">
        <f t="shared" ca="1" si="258"/>
        <v>5</v>
      </c>
      <c r="H72" s="1">
        <f ca="1">INDEX(INDIRECT("'"&amp;$A72&amp;"'!$A$1:$W$30"),MATCH('All Positional Stats'!$A$62,INDIRECT("'"&amp;$A72&amp;"'!$A$1:$A$30"),0),MATCH('All Positional Stats'!H$61,INDIRECT("'"&amp;$A72&amp;"'!$A$1:$W$1"),0))</f>
        <v>6</v>
      </c>
      <c r="I72" s="1">
        <f t="shared" ca="1" si="258"/>
        <v>10</v>
      </c>
      <c r="J72" s="1">
        <f ca="1">INDEX(INDIRECT("'"&amp;$A72&amp;"'!$A$1:$W$30"),MATCH('All Positional Stats'!$A$62,INDIRECT("'"&amp;$A72&amp;"'!$A$1:$A$30"),0),MATCH('All Positional Stats'!J$61,INDIRECT("'"&amp;$A72&amp;"'!$A$1:$W$1"),0))</f>
        <v>14.8</v>
      </c>
      <c r="K72" s="1">
        <f t="shared" ca="1" si="258"/>
        <v>3</v>
      </c>
      <c r="L72" s="1">
        <f ca="1">INDEX(INDIRECT("'"&amp;$A72&amp;"'!$A$1:$W$30"),MATCH('All Positional Stats'!$A$62,INDIRECT("'"&amp;$A72&amp;"'!$A$1:$A$30"),0),MATCH('All Positional Stats'!L$61,INDIRECT("'"&amp;$A72&amp;"'!$A$1:$W$1"),0))</f>
        <v>5</v>
      </c>
      <c r="M72" s="1">
        <f t="shared" ca="1" si="258"/>
        <v>9</v>
      </c>
      <c r="N72" s="1">
        <f ca="1">INDEX(INDIRECT("'"&amp;$A72&amp;"'!$A$1:$W$30"),MATCH('All Positional Stats'!$A$62,INDIRECT("'"&amp;$A72&amp;"'!$A$1:$A$30"),0),MATCH('All Positional Stats'!N$61,INDIRECT("'"&amp;$A72&amp;"'!$A$1:$W$1"),0))</f>
        <v>22.2</v>
      </c>
      <c r="O72" s="1">
        <f t="shared" ca="1" si="258"/>
        <v>1</v>
      </c>
      <c r="P72" s="1">
        <f ca="1">INDEX(INDIRECT("'"&amp;$A72&amp;"'!$A$1:$W$30"),MATCH('All Positional Stats'!$A$62,INDIRECT("'"&amp;$A72&amp;"'!$A$1:$A$30"),0),MATCH('All Positional Stats'!P$61,INDIRECT("'"&amp;$A72&amp;"'!$A$1:$W$1"),0))</f>
        <v>2.8</v>
      </c>
      <c r="Q72" s="1">
        <f t="shared" ca="1" si="258"/>
        <v>10</v>
      </c>
      <c r="R72" s="1">
        <f ca="1">INDEX(INDIRECT("'"&amp;$A72&amp;"'!$A$1:$W$30"),MATCH('All Positional Stats'!$A$62,INDIRECT("'"&amp;$A72&amp;"'!$A$1:$A$30"),0),MATCH('All Positional Stats'!R$61,INDIRECT("'"&amp;$A72&amp;"'!$A$1:$W$1"),0))</f>
        <v>5.6</v>
      </c>
      <c r="S72" s="1">
        <f t="shared" ca="1" si="258"/>
        <v>9</v>
      </c>
      <c r="T72" s="1">
        <f ca="1">INDEX(INDIRECT("'"&amp;$A72&amp;"'!$A$1:$W$30"),MATCH('All Positional Stats'!$A$62,INDIRECT("'"&amp;$A72&amp;"'!$A$1:$A$30"),0),MATCH('All Positional Stats'!T$61,INDIRECT("'"&amp;$A72&amp;"'!$A$1:$W$1"),0))</f>
        <v>18.2</v>
      </c>
      <c r="U72" s="1">
        <f t="shared" ca="1" si="258"/>
        <v>3</v>
      </c>
      <c r="V72" s="1">
        <f ca="1">INDEX(INDIRECT("'"&amp;$A72&amp;"'!$A$1:$W$30"),MATCH('All Positional Stats'!$A$62,INDIRECT("'"&amp;$A72&amp;"'!$A$1:$A$30"),0),MATCH('All Positional Stats'!V$61,INDIRECT("'"&amp;$A72&amp;"'!$A$1:$W$1"),0))</f>
        <v>6.7</v>
      </c>
      <c r="W72" s="1">
        <f t="shared" ca="1" si="258"/>
        <v>9</v>
      </c>
      <c r="X72" s="1">
        <f ca="1">INDEX(INDIRECT("'"&amp;$A72&amp;"'!$A$1:$W$30"),MATCH('All Positional Stats'!$A$62,INDIRECT("'"&amp;$A72&amp;"'!$A$1:$A$30"),0),MATCH('All Positional Stats'!X$61,INDIRECT("'"&amp;$A72&amp;"'!$A$1:$W$1"),0))</f>
        <v>9.8000000000000007</v>
      </c>
      <c r="Y72" s="1">
        <f t="shared" ca="1" si="258"/>
        <v>8</v>
      </c>
      <c r="Z72" s="1">
        <f ca="1">INDEX(INDIRECT("'"&amp;$A72&amp;"'!$A$1:$W$30"),MATCH('All Positional Stats'!$A$62,INDIRECT("'"&amp;$A72&amp;"'!$A$1:$A$30"),0),MATCH('All Positional Stats'!Z$61,INDIRECT("'"&amp;$A72&amp;"'!$A$1:$W$1"),0))</f>
        <v>10.1</v>
      </c>
      <c r="AA72" s="1">
        <f t="shared" ca="1" si="258"/>
        <v>6</v>
      </c>
      <c r="AB72" s="1">
        <f ca="1">INDEX(INDIRECT("'"&amp;$A72&amp;"'!$A$1:$W$30"),MATCH('All Positional Stats'!$A$62,INDIRECT("'"&amp;$A72&amp;"'!$A$1:$A$30"),0),MATCH('All Positional Stats'!AB$61,INDIRECT("'"&amp;$A72&amp;"'!$A$1:$W$1"),0))</f>
        <v>4.9000000000000004</v>
      </c>
      <c r="AC72" s="1">
        <f t="shared" ca="1" si="258"/>
        <v>9</v>
      </c>
      <c r="AD72" s="1">
        <f ca="1">INDEX(INDIRECT("'"&amp;$A72&amp;"'!$A$1:$W$30"),MATCH('All Positional Stats'!$A$62,INDIRECT("'"&amp;$A72&amp;"'!$A$1:$A$30"),0),MATCH('All Positional Stats'!AD$61,INDIRECT("'"&amp;$A72&amp;"'!$A$1:$W$1"),0))</f>
        <v>7.2</v>
      </c>
      <c r="AE72" s="1">
        <f t="shared" ca="1" si="258"/>
        <v>8</v>
      </c>
      <c r="AF72" s="1">
        <f ca="1">INDEX(INDIRECT("'"&amp;$A72&amp;"'!$A$1:$W$30"),MATCH('All Positional Stats'!$A$62,INDIRECT("'"&amp;$A72&amp;"'!$A$1:$A$30"),0),MATCH('All Positional Stats'!AF$61,INDIRECT("'"&amp;$A72&amp;"'!$A$1:$W$1"),0))</f>
        <v>16.5</v>
      </c>
      <c r="AG72" s="1">
        <f t="shared" ca="1" si="258"/>
        <v>2</v>
      </c>
      <c r="AH72" s="1">
        <f ca="1">INDEX(INDIRECT("'"&amp;$A72&amp;"'!$A$1:$W$30"),MATCH('All Positional Stats'!$A$62,INDIRECT("'"&amp;$A72&amp;"'!$A$1:$A$30"),0),MATCH('All Positional Stats'!AH$61,INDIRECT("'"&amp;$A72&amp;"'!$A$1:$W$1"),0))</f>
        <v>2.8</v>
      </c>
      <c r="AI72" s="1">
        <f ca="1">INDEX(INDIRECT("'"&amp;$A72&amp;"'!$A$1:$W$30"),MATCH('All Positional Stats'!$A$62,INDIRECT("'"&amp;$A72&amp;"'!$A$1:$A$30"),0),MATCH('All Positional Stats'!AI$61,INDIRECT("'"&amp;$A72&amp;"'!$A$1:$W$1"),0))</f>
        <v>23.3</v>
      </c>
      <c r="AJ72" s="7">
        <f ca="1">INDEX(INDIRECT("'"&amp;$A72&amp;"'!$A$1:$W$30"),MATCH('All Positional Stats'!$A$62,INDIRECT("'"&amp;$A72&amp;"'!$A$1:$A$30"),0),MATCH('All Positional Stats'!AJ$61,INDIRECT("'"&amp;$A72&amp;"'!$A$1:$W$1"),0))</f>
        <v>11.09375</v>
      </c>
      <c r="AK72" s="7">
        <f ca="1">INDEX(INDIRECT("'"&amp;$A72&amp;"'!$A$1:$W$30"),MATCH('All Positional Stats'!$A$62,INDIRECT("'"&amp;$A72&amp;"'!$A$1:$A$30"),0),MATCH('All Positional Stats'!AK$61,INDIRECT("'"&amp;$A72&amp;"'!$A$1:$W$1"),0))</f>
        <v>6.4321913791102316</v>
      </c>
      <c r="AL72" s="7">
        <f ca="1">INDEX(INDIRECT("'"&amp;$A72&amp;"'!$A$1:$W$30"),MATCH('All Positional Stats'!$A$62,INDIRECT("'"&amp;$A72&amp;"'!$A$1:$A$30"),0),MATCH('All Positional Stats'!AL$61,INDIRECT("'"&amp;$A72&amp;"'!$A$1:$W$1"),0))</f>
        <v>177.5</v>
      </c>
      <c r="AM72" s="6">
        <f ca="1">INDEX(INDIRECT("'"&amp;$A72&amp;"'!$A$1:$W$30"),MATCH('All Positional Stats'!$A$62,INDIRECT("'"&amp;$A72&amp;"'!$A$1:$A$30"),0),MATCH('All Positional Stats'!AM$61,INDIRECT("'"&amp;$A72&amp;"'!$A$1:$W$1"),0))</f>
        <v>0.11879266497122204</v>
      </c>
      <c r="AN72" s="9">
        <f t="shared" ca="1" si="256"/>
        <v>148.9</v>
      </c>
      <c r="AO72" s="8">
        <f t="shared" ca="1" si="257"/>
        <v>5</v>
      </c>
    </row>
    <row r="73" spans="1:41" ht="16.25" thickTop="1" thickBot="1" x14ac:dyDescent="0.9">
      <c r="A73" s="1" t="s">
        <v>11</v>
      </c>
      <c r="B73" s="1">
        <f ca="1">INDEX(INDIRECT("'"&amp;$A73&amp;"'!$A$1:$W$30"),MATCH('All Positional Stats'!$A$62,INDIRECT("'"&amp;$A73&amp;"'!$A$1:$A$30"),0),MATCH('All Positional Stats'!B$61,INDIRECT("'"&amp;$A73&amp;"'!$A$1:$W$1"),0))</f>
        <v>24.2</v>
      </c>
      <c r="C73" s="1">
        <f t="shared" ca="1" si="255"/>
        <v>1</v>
      </c>
      <c r="D73" s="1">
        <f ca="1">INDEX(INDIRECT("'"&amp;$A73&amp;"'!$A$1:$W$30"),MATCH('All Positional Stats'!$A$62,INDIRECT("'"&amp;$A73&amp;"'!$A$1:$A$30"),0),MATCH('All Positional Stats'!D$61,INDIRECT("'"&amp;$A73&amp;"'!$A$1:$W$1"),0))</f>
        <v>4.0999999999999996</v>
      </c>
      <c r="E73" s="1">
        <f t="shared" ca="1" si="258"/>
        <v>10</v>
      </c>
      <c r="F73" s="1">
        <f ca="1">INDEX(INDIRECT("'"&amp;$A73&amp;"'!$A$1:$W$30"),MATCH('All Positional Stats'!$A$62,INDIRECT("'"&amp;$A73&amp;"'!$A$1:$A$30"),0),MATCH('All Positional Stats'!F$61,INDIRECT("'"&amp;$A73&amp;"'!$A$1:$W$1"),0))</f>
        <v>33.299999999999997</v>
      </c>
      <c r="G73" s="1">
        <f t="shared" ca="1" si="258"/>
        <v>1</v>
      </c>
      <c r="H73" s="1">
        <f ca="1">INDEX(INDIRECT("'"&amp;$A73&amp;"'!$A$1:$W$30"),MATCH('All Positional Stats'!$A$62,INDIRECT("'"&amp;$A73&amp;"'!$A$1:$A$30"),0),MATCH('All Positional Stats'!H$61,INDIRECT("'"&amp;$A73&amp;"'!$A$1:$W$1"),0))</f>
        <v>12.3</v>
      </c>
      <c r="I73" s="1">
        <f t="shared" ca="1" si="258"/>
        <v>3</v>
      </c>
      <c r="J73" s="1">
        <f ca="1">INDEX(INDIRECT("'"&amp;$A73&amp;"'!$A$1:$W$30"),MATCH('All Positional Stats'!$A$62,INDIRECT("'"&amp;$A73&amp;"'!$A$1:$A$30"),0),MATCH('All Positional Stats'!J$61,INDIRECT("'"&amp;$A73&amp;"'!$A$1:$W$1"),0))</f>
        <v>11.7</v>
      </c>
      <c r="K73" s="1">
        <f t="shared" ca="1" si="258"/>
        <v>6</v>
      </c>
      <c r="L73" s="1">
        <f ca="1">INDEX(INDIRECT("'"&amp;$A73&amp;"'!$A$1:$W$30"),MATCH('All Positional Stats'!$A$62,INDIRECT("'"&amp;$A73&amp;"'!$A$1:$A$30"),0),MATCH('All Positional Stats'!L$61,INDIRECT("'"&amp;$A73&amp;"'!$A$1:$W$1"),0))</f>
        <v>5.5</v>
      </c>
      <c r="M73" s="1">
        <f t="shared" ca="1" si="258"/>
        <v>7</v>
      </c>
      <c r="N73" s="1">
        <f ca="1">INDEX(INDIRECT("'"&amp;$A73&amp;"'!$A$1:$W$30"),MATCH('All Positional Stats'!$A$62,INDIRECT("'"&amp;$A73&amp;"'!$A$1:$A$30"),0),MATCH('All Positional Stats'!N$61,INDIRECT("'"&amp;$A73&amp;"'!$A$1:$W$1"),0))</f>
        <v>3.2</v>
      </c>
      <c r="O73" s="1">
        <f t="shared" ca="1" si="258"/>
        <v>10</v>
      </c>
      <c r="P73" s="1">
        <f ca="1">INDEX(INDIRECT("'"&amp;$A73&amp;"'!$A$1:$W$30"),MATCH('All Positional Stats'!$A$62,INDIRECT("'"&amp;$A73&amp;"'!$A$1:$A$30"),0),MATCH('All Positional Stats'!P$61,INDIRECT("'"&amp;$A73&amp;"'!$A$1:$W$1"),0))</f>
        <v>4.5999999999999996</v>
      </c>
      <c r="Q73" s="1">
        <f t="shared" ca="1" si="258"/>
        <v>8</v>
      </c>
      <c r="R73" s="1">
        <f ca="1">INDEX(INDIRECT("'"&amp;$A73&amp;"'!$A$1:$W$30"),MATCH('All Positional Stats'!$A$62,INDIRECT("'"&amp;$A73&amp;"'!$A$1:$A$30"),0),MATCH('All Positional Stats'!R$61,INDIRECT("'"&amp;$A73&amp;"'!$A$1:$W$1"),0))</f>
        <v>4.2</v>
      </c>
      <c r="S73" s="1">
        <f t="shared" ca="1" si="258"/>
        <v>12</v>
      </c>
      <c r="T73" s="1">
        <f ca="1">INDEX(INDIRECT("'"&amp;$A73&amp;"'!$A$1:$W$30"),MATCH('All Positional Stats'!$A$62,INDIRECT("'"&amp;$A73&amp;"'!$A$1:$A$30"),0),MATCH('All Positional Stats'!T$61,INDIRECT("'"&amp;$A73&amp;"'!$A$1:$W$1"),0))</f>
        <v>15.8</v>
      </c>
      <c r="U73" s="1">
        <f t="shared" ca="1" si="258"/>
        <v>6</v>
      </c>
      <c r="V73" s="1">
        <f ca="1">INDEX(INDIRECT("'"&amp;$A73&amp;"'!$A$1:$W$30"),MATCH('All Positional Stats'!$A$62,INDIRECT("'"&amp;$A73&amp;"'!$A$1:$A$30"),0),MATCH('All Positional Stats'!V$61,INDIRECT("'"&amp;$A73&amp;"'!$A$1:$W$1"),0))</f>
        <v>5.2</v>
      </c>
      <c r="W73" s="1">
        <f t="shared" ca="1" si="258"/>
        <v>10</v>
      </c>
      <c r="X73" s="1">
        <f ca="1">INDEX(INDIRECT("'"&amp;$A73&amp;"'!$A$1:$W$30"),MATCH('All Positional Stats'!$A$62,INDIRECT("'"&amp;$A73&amp;"'!$A$1:$A$30"),0),MATCH('All Positional Stats'!X$61,INDIRECT("'"&amp;$A73&amp;"'!$A$1:$W$1"),0))</f>
        <v>10</v>
      </c>
      <c r="Y73" s="1">
        <f t="shared" ca="1" si="258"/>
        <v>7</v>
      </c>
      <c r="Z73" s="1">
        <f ca="1">INDEX(INDIRECT("'"&amp;$A73&amp;"'!$A$1:$W$30"),MATCH('All Positional Stats'!$A$62,INDIRECT("'"&amp;$A73&amp;"'!$A$1:$A$30"),0),MATCH('All Positional Stats'!Z$61,INDIRECT("'"&amp;$A73&amp;"'!$A$1:$W$1"),0))</f>
        <v>4.7</v>
      </c>
      <c r="AA73" s="1">
        <f t="shared" ca="1" si="258"/>
        <v>9</v>
      </c>
      <c r="AB73" s="1">
        <f ca="1">INDEX(INDIRECT("'"&amp;$A73&amp;"'!$A$1:$W$30"),MATCH('All Positional Stats'!$A$62,INDIRECT("'"&amp;$A73&amp;"'!$A$1:$A$30"),0),MATCH('All Positional Stats'!AB$61,INDIRECT("'"&amp;$A73&amp;"'!$A$1:$W$1"),0))</f>
        <v>13.6</v>
      </c>
      <c r="AC73" s="1">
        <f t="shared" ca="1" si="258"/>
        <v>4</v>
      </c>
      <c r="AD73" s="1">
        <f ca="1">INDEX(INDIRECT("'"&amp;$A73&amp;"'!$A$1:$W$30"),MATCH('All Positional Stats'!$A$62,INDIRECT("'"&amp;$A73&amp;"'!$A$1:$A$30"),0),MATCH('All Positional Stats'!AD$61,INDIRECT("'"&amp;$A73&amp;"'!$A$1:$W$1"),0))</f>
        <v>17.399999999999999</v>
      </c>
      <c r="AE73" s="1">
        <f t="shared" ca="1" si="258"/>
        <v>2</v>
      </c>
      <c r="AF73" s="1">
        <f ca="1">INDEX(INDIRECT("'"&amp;$A73&amp;"'!$A$1:$W$30"),MATCH('All Positional Stats'!$A$62,INDIRECT("'"&amp;$A73&amp;"'!$A$1:$A$30"),0),MATCH('All Positional Stats'!AF$61,INDIRECT("'"&amp;$A73&amp;"'!$A$1:$W$1"),0))</f>
        <v>14.8</v>
      </c>
      <c r="AG73" s="1">
        <f t="shared" ca="1" si="258"/>
        <v>3</v>
      </c>
      <c r="AH73" s="1">
        <f ca="1">INDEX(INDIRECT("'"&amp;$A73&amp;"'!$A$1:$W$30"),MATCH('All Positional Stats'!$A$62,INDIRECT("'"&amp;$A73&amp;"'!$A$1:$A$30"),0),MATCH('All Positional Stats'!AH$61,INDIRECT("'"&amp;$A73&amp;"'!$A$1:$W$1"),0))</f>
        <v>3.2</v>
      </c>
      <c r="AI73" s="1">
        <f ca="1">INDEX(INDIRECT("'"&amp;$A73&amp;"'!$A$1:$W$30"),MATCH('All Positional Stats'!$A$62,INDIRECT("'"&amp;$A73&amp;"'!$A$1:$A$30"),0),MATCH('All Positional Stats'!AI$61,INDIRECT("'"&amp;$A73&amp;"'!$A$1:$W$1"),0))</f>
        <v>33.299999999999997</v>
      </c>
      <c r="AJ73" s="7">
        <f ca="1">INDEX(INDIRECT("'"&amp;$A73&amp;"'!$A$1:$W$30"),MATCH('All Positional Stats'!$A$62,INDIRECT("'"&amp;$A73&amp;"'!$A$1:$A$30"),0),MATCH('All Positional Stats'!AJ$61,INDIRECT("'"&amp;$A73&amp;"'!$A$1:$W$1"),0))</f>
        <v>11.5375</v>
      </c>
      <c r="AK73" s="7">
        <f ca="1">INDEX(INDIRECT("'"&amp;$A73&amp;"'!$A$1:$W$30"),MATCH('All Positional Stats'!$A$62,INDIRECT("'"&amp;$A73&amp;"'!$A$1:$A$30"),0),MATCH('All Positional Stats'!AK$61,INDIRECT("'"&amp;$A73&amp;"'!$A$1:$W$1"),0))</f>
        <v>8.1183338038048163</v>
      </c>
      <c r="AL73" s="7">
        <f ca="1">INDEX(INDIRECT("'"&amp;$A73&amp;"'!$A$1:$W$30"),MATCH('All Positional Stats'!$A$62,INDIRECT("'"&amp;$A73&amp;"'!$A$1:$A$30"),0),MATCH('All Positional Stats'!AL$61,INDIRECT("'"&amp;$A73&amp;"'!$A$1:$W$1"),0))</f>
        <v>184.6</v>
      </c>
      <c r="AM73" s="6">
        <f ca="1">INDEX(INDIRECT("'"&amp;$A73&amp;"'!$A$1:$W$30"),MATCH('All Positional Stats'!$A$62,INDIRECT("'"&amp;$A73&amp;"'!$A$1:$A$30"),0),MATCH('All Positional Stats'!AM$61,INDIRECT("'"&amp;$A73&amp;"'!$A$1:$W$1"),0))</f>
        <v>0.10923076923076924</v>
      </c>
      <c r="AN73" s="9">
        <f t="shared" ca="1" si="256"/>
        <v>138.79999999999998</v>
      </c>
      <c r="AO73" s="8">
        <f t="shared" ca="1" si="257"/>
        <v>6</v>
      </c>
    </row>
    <row r="74" spans="1:41" ht="16.25" thickTop="1" thickBot="1" x14ac:dyDescent="0.9">
      <c r="A74" s="1" t="s">
        <v>12</v>
      </c>
      <c r="B74" s="1">
        <f ca="1">INDEX(INDIRECT("'"&amp;$A74&amp;"'!$A$1:$W$30"),MATCH('All Positional Stats'!$A$62,INDIRECT("'"&amp;$A74&amp;"'!$A$1:$A$30"),0),MATCH('All Positional Stats'!B$61,INDIRECT("'"&amp;$A74&amp;"'!$A$1:$W$1"),0))</f>
        <v>6.2</v>
      </c>
      <c r="C74" s="1">
        <f t="shared" ca="1" si="255"/>
        <v>8</v>
      </c>
      <c r="D74" s="1">
        <f ca="1">INDEX(INDIRECT("'"&amp;$A74&amp;"'!$A$1:$W$30"),MATCH('All Positional Stats'!$A$62,INDIRECT("'"&amp;$A74&amp;"'!$A$1:$A$30"),0),MATCH('All Positional Stats'!D$61,INDIRECT("'"&amp;$A74&amp;"'!$A$1:$W$1"),0))</f>
        <v>19.899999999999999</v>
      </c>
      <c r="E74" s="1">
        <f t="shared" ca="1" si="258"/>
        <v>2</v>
      </c>
      <c r="F74" s="1">
        <f ca="1">INDEX(INDIRECT("'"&amp;$A74&amp;"'!$A$1:$W$30"),MATCH('All Positional Stats'!$A$62,INDIRECT("'"&amp;$A74&amp;"'!$A$1:$A$30"),0),MATCH('All Positional Stats'!F$61,INDIRECT("'"&amp;$A74&amp;"'!$A$1:$W$1"),0))</f>
        <v>7.5</v>
      </c>
      <c r="G74" s="1">
        <f t="shared" ca="1" si="258"/>
        <v>9</v>
      </c>
      <c r="H74" s="1">
        <f ca="1">INDEX(INDIRECT("'"&amp;$A74&amp;"'!$A$1:$W$30"),MATCH('All Positional Stats'!$A$62,INDIRECT("'"&amp;$A74&amp;"'!$A$1:$A$30"),0),MATCH('All Positional Stats'!H$61,INDIRECT("'"&amp;$A74&amp;"'!$A$1:$W$1"),0))</f>
        <v>8.3000000000000007</v>
      </c>
      <c r="I74" s="1">
        <f t="shared" ca="1" si="258"/>
        <v>6</v>
      </c>
      <c r="J74" s="1">
        <f ca="1">INDEX(INDIRECT("'"&amp;$A74&amp;"'!$A$1:$W$30"),MATCH('All Positional Stats'!$A$62,INDIRECT("'"&amp;$A74&amp;"'!$A$1:$A$30"),0),MATCH('All Positional Stats'!J$61,INDIRECT("'"&amp;$A74&amp;"'!$A$1:$W$1"),0))</f>
        <v>22.1</v>
      </c>
      <c r="K74" s="1">
        <f t="shared" ca="1" si="258"/>
        <v>2</v>
      </c>
      <c r="L74" s="1">
        <f ca="1">INDEX(INDIRECT("'"&amp;$A74&amp;"'!$A$1:$W$30"),MATCH('All Positional Stats'!$A$62,INDIRECT("'"&amp;$A74&amp;"'!$A$1:$A$30"),0),MATCH('All Positional Stats'!L$61,INDIRECT("'"&amp;$A74&amp;"'!$A$1:$W$1"),0))</f>
        <v>13.9</v>
      </c>
      <c r="M74" s="1">
        <f t="shared" ca="1" si="258"/>
        <v>2</v>
      </c>
      <c r="N74" s="1">
        <f ca="1">INDEX(INDIRECT("'"&amp;$A74&amp;"'!$A$1:$W$30"),MATCH('All Positional Stats'!$A$62,INDIRECT("'"&amp;$A74&amp;"'!$A$1:$A$30"),0),MATCH('All Positional Stats'!N$61,INDIRECT("'"&amp;$A74&amp;"'!$A$1:$W$1"),0))</f>
        <v>0</v>
      </c>
      <c r="O74" s="1">
        <f t="shared" ca="1" si="258"/>
        <v>12</v>
      </c>
      <c r="P74" s="1">
        <f ca="1">INDEX(INDIRECT("'"&amp;$A74&amp;"'!$A$1:$W$30"),MATCH('All Positional Stats'!$A$62,INDIRECT("'"&amp;$A74&amp;"'!$A$1:$A$30"),0),MATCH('All Positional Stats'!P$61,INDIRECT("'"&amp;$A74&amp;"'!$A$1:$W$1"),0))</f>
        <v>7.8</v>
      </c>
      <c r="Q74" s="1">
        <f t="shared" ca="1" si="258"/>
        <v>7</v>
      </c>
      <c r="R74" s="1">
        <f ca="1">INDEX(INDIRECT("'"&amp;$A74&amp;"'!$A$1:$W$30"),MATCH('All Positional Stats'!$A$62,INDIRECT("'"&amp;$A74&amp;"'!$A$1:$A$30"),0),MATCH('All Positional Stats'!R$61,INDIRECT("'"&amp;$A74&amp;"'!$A$1:$W$1"),0))</f>
        <v>13.9</v>
      </c>
      <c r="S74" s="1">
        <f t="shared" ca="1" si="258"/>
        <v>5</v>
      </c>
      <c r="T74" s="1">
        <f ca="1">INDEX(INDIRECT("'"&amp;$A74&amp;"'!$A$1:$W$30"),MATCH('All Positional Stats'!$A$62,INDIRECT("'"&amp;$A74&amp;"'!$A$1:$A$30"),0),MATCH('All Positional Stats'!T$61,INDIRECT("'"&amp;$A74&amp;"'!$A$1:$W$1"),0))</f>
        <v>16.5</v>
      </c>
      <c r="U74" s="1">
        <f t="shared" ca="1" si="258"/>
        <v>5</v>
      </c>
      <c r="V74" s="1">
        <f ca="1">INDEX(INDIRECT("'"&amp;$A74&amp;"'!$A$1:$W$30"),MATCH('All Positional Stats'!$A$62,INDIRECT("'"&amp;$A74&amp;"'!$A$1:$A$30"),0),MATCH('All Positional Stats'!V$61,INDIRECT("'"&amp;$A74&amp;"'!$A$1:$W$1"),0))</f>
        <v>10.5</v>
      </c>
      <c r="W74" s="1">
        <f t="shared" ca="1" si="258"/>
        <v>5</v>
      </c>
      <c r="X74" s="1">
        <f ca="1">INDEX(INDIRECT("'"&amp;$A74&amp;"'!$A$1:$W$30"),MATCH('All Positional Stats'!$A$62,INDIRECT("'"&amp;$A74&amp;"'!$A$1:$A$30"),0),MATCH('All Positional Stats'!X$61,INDIRECT("'"&amp;$A74&amp;"'!$A$1:$W$1"),0))</f>
        <v>10.6</v>
      </c>
      <c r="Y74" s="1">
        <f t="shared" ca="1" si="258"/>
        <v>6</v>
      </c>
      <c r="Z74" s="1">
        <f ca="1">INDEX(INDIRECT("'"&amp;$A74&amp;"'!$A$1:$W$30"),MATCH('All Positional Stats'!$A$62,INDIRECT("'"&amp;$A74&amp;"'!$A$1:$A$30"),0),MATCH('All Positional Stats'!Z$61,INDIRECT("'"&amp;$A74&amp;"'!$A$1:$W$1"),0))</f>
        <v>15.4</v>
      </c>
      <c r="AA74" s="1">
        <f t="shared" ca="1" si="258"/>
        <v>1</v>
      </c>
      <c r="AB74" s="1">
        <f ca="1">INDEX(INDIRECT("'"&amp;$A74&amp;"'!$A$1:$W$30"),MATCH('All Positional Stats'!$A$62,INDIRECT("'"&amp;$A74&amp;"'!$A$1:$A$30"),0),MATCH('All Positional Stats'!AB$61,INDIRECT("'"&amp;$A74&amp;"'!$A$1:$W$1"),0))</f>
        <v>4.2</v>
      </c>
      <c r="AC74" s="1">
        <f t="shared" ca="1" si="258"/>
        <v>11</v>
      </c>
      <c r="AD74" s="1">
        <f ca="1">INDEX(INDIRECT("'"&amp;$A74&amp;"'!$A$1:$W$30"),MATCH('All Positional Stats'!$A$62,INDIRECT("'"&amp;$A74&amp;"'!$A$1:$A$30"),0),MATCH('All Positional Stats'!AD$61,INDIRECT("'"&amp;$A74&amp;"'!$A$1:$W$1"),0))</f>
        <v>6.5</v>
      </c>
      <c r="AE74" s="1">
        <f t="shared" ca="1" si="258"/>
        <v>10</v>
      </c>
      <c r="AF74" s="1">
        <f ca="1">INDEX(INDIRECT("'"&amp;$A74&amp;"'!$A$1:$W$30"),MATCH('All Positional Stats'!$A$62,INDIRECT("'"&amp;$A74&amp;"'!$A$1:$A$30"),0),MATCH('All Positional Stats'!AF$61,INDIRECT("'"&amp;$A74&amp;"'!$A$1:$W$1"),0))</f>
        <v>7.6</v>
      </c>
      <c r="AG74" s="1">
        <f t="shared" ca="1" si="258"/>
        <v>6</v>
      </c>
      <c r="AH74" s="1">
        <f ca="1">INDEX(INDIRECT("'"&amp;$A74&amp;"'!$A$1:$W$30"),MATCH('All Positional Stats'!$A$62,INDIRECT("'"&amp;$A74&amp;"'!$A$1:$A$30"),0),MATCH('All Positional Stats'!AH$61,INDIRECT("'"&amp;$A74&amp;"'!$A$1:$W$1"),0))</f>
        <v>0</v>
      </c>
      <c r="AI74" s="1">
        <f ca="1">INDEX(INDIRECT("'"&amp;$A74&amp;"'!$A$1:$W$30"),MATCH('All Positional Stats'!$A$62,INDIRECT("'"&amp;$A74&amp;"'!$A$1:$A$30"),0),MATCH('All Positional Stats'!AI$61,INDIRECT("'"&amp;$A74&amp;"'!$A$1:$W$1"),0))</f>
        <v>22.1</v>
      </c>
      <c r="AJ74" s="7">
        <f ca="1">INDEX(INDIRECT("'"&amp;$A74&amp;"'!$A$1:$W$30"),MATCH('All Positional Stats'!$A$62,INDIRECT("'"&amp;$A74&amp;"'!$A$1:$A$30"),0),MATCH('All Positional Stats'!AJ$61,INDIRECT("'"&amp;$A74&amp;"'!$A$1:$W$1"),0))</f>
        <v>10.68125</v>
      </c>
      <c r="AK74" s="7">
        <f ca="1">INDEX(INDIRECT("'"&amp;$A74&amp;"'!$A$1:$W$30"),MATCH('All Positional Stats'!$A$62,INDIRECT("'"&amp;$A74&amp;"'!$A$1:$A$30"),0),MATCH('All Positional Stats'!AK$61,INDIRECT("'"&amp;$A74&amp;"'!$A$1:$W$1"),0))</f>
        <v>5.6981596535635974</v>
      </c>
      <c r="AL74" s="7">
        <f ca="1">INDEX(INDIRECT("'"&amp;$A74&amp;"'!$A$1:$W$30"),MATCH('All Positional Stats'!$A$62,INDIRECT("'"&amp;$A74&amp;"'!$A$1:$A$30"),0),MATCH('All Positional Stats'!AL$61,INDIRECT("'"&amp;$A74&amp;"'!$A$1:$W$1"),0))</f>
        <v>170.89999999999998</v>
      </c>
      <c r="AM74" s="6">
        <f ca="1">INDEX(INDIRECT("'"&amp;$A74&amp;"'!$A$1:$W$30"),MATCH('All Positional Stats'!$A$62,INDIRECT("'"&amp;$A74&amp;"'!$A$1:$A$30"),0),MATCH('All Positional Stats'!AM$61,INDIRECT("'"&amp;$A74&amp;"'!$A$1:$W$1"),0))</f>
        <v>0.12226355701817142</v>
      </c>
      <c r="AN74" s="9">
        <f t="shared" ca="1" si="256"/>
        <v>152.6</v>
      </c>
      <c r="AO74" s="8">
        <f t="shared" ca="1" si="257"/>
        <v>4</v>
      </c>
    </row>
    <row r="75" spans="1:41" ht="16.25" thickTop="1" thickBot="1" x14ac:dyDescent="0.9"/>
    <row r="76" spans="1:41" ht="16.25" thickTop="1" thickBot="1" x14ac:dyDescent="0.9">
      <c r="B76" s="13" t="s">
        <v>13</v>
      </c>
      <c r="C76" s="15"/>
      <c r="D76" s="13" t="s">
        <v>14</v>
      </c>
      <c r="E76" s="15"/>
      <c r="F76" s="13" t="s">
        <v>15</v>
      </c>
      <c r="G76" s="15"/>
      <c r="H76" s="13" t="s">
        <v>16</v>
      </c>
      <c r="I76" s="15"/>
      <c r="J76" s="13" t="s">
        <v>17</v>
      </c>
      <c r="K76" s="15"/>
      <c r="L76" s="13" t="s">
        <v>18</v>
      </c>
      <c r="M76" s="15"/>
      <c r="N76" s="13" t="s">
        <v>19</v>
      </c>
      <c r="O76" s="15"/>
      <c r="P76" s="13" t="s">
        <v>20</v>
      </c>
      <c r="Q76" s="15"/>
      <c r="R76" s="13" t="s">
        <v>21</v>
      </c>
      <c r="S76" s="15"/>
      <c r="T76" s="13" t="s">
        <v>22</v>
      </c>
      <c r="U76" s="15"/>
      <c r="V76" s="13" t="s">
        <v>23</v>
      </c>
      <c r="W76" s="15"/>
      <c r="X76" s="13" t="s">
        <v>24</v>
      </c>
      <c r="Y76" s="15"/>
      <c r="Z76" s="13" t="s">
        <v>25</v>
      </c>
      <c r="AA76" s="15"/>
      <c r="AB76" s="13" t="s">
        <v>26</v>
      </c>
      <c r="AC76" s="15"/>
      <c r="AD76" s="13" t="s">
        <v>27</v>
      </c>
      <c r="AE76" s="15"/>
      <c r="AF76" s="13" t="s">
        <v>28</v>
      </c>
      <c r="AG76" s="15"/>
      <c r="AH76" s="16" t="s">
        <v>30</v>
      </c>
      <c r="AI76" s="16" t="s">
        <v>31</v>
      </c>
      <c r="AJ76" s="16" t="s">
        <v>32</v>
      </c>
      <c r="AK76" s="16" t="s">
        <v>33</v>
      </c>
      <c r="AL76" s="16" t="s">
        <v>34</v>
      </c>
      <c r="AM76" s="16" t="s">
        <v>35</v>
      </c>
      <c r="AN76" s="16" t="s">
        <v>64</v>
      </c>
      <c r="AO76" s="16" t="s">
        <v>63</v>
      </c>
    </row>
    <row r="77" spans="1:41" ht="16.25" thickTop="1" thickBot="1" x14ac:dyDescent="0.9">
      <c r="A77" t="s">
        <v>59</v>
      </c>
      <c r="B77" s="5" t="s">
        <v>29</v>
      </c>
      <c r="C77" s="5" t="s">
        <v>63</v>
      </c>
      <c r="D77" s="5" t="s">
        <v>29</v>
      </c>
      <c r="E77" s="5" t="s">
        <v>63</v>
      </c>
      <c r="F77" s="5" t="s">
        <v>29</v>
      </c>
      <c r="G77" s="5" t="s">
        <v>63</v>
      </c>
      <c r="H77" s="5" t="s">
        <v>29</v>
      </c>
      <c r="I77" s="5" t="s">
        <v>63</v>
      </c>
      <c r="J77" s="5" t="s">
        <v>29</v>
      </c>
      <c r="K77" s="5" t="s">
        <v>63</v>
      </c>
      <c r="L77" s="5" t="s">
        <v>29</v>
      </c>
      <c r="M77" s="5" t="s">
        <v>63</v>
      </c>
      <c r="N77" s="5" t="s">
        <v>29</v>
      </c>
      <c r="O77" s="5" t="s">
        <v>63</v>
      </c>
      <c r="P77" s="5" t="s">
        <v>29</v>
      </c>
      <c r="Q77" s="5" t="s">
        <v>63</v>
      </c>
      <c r="R77" s="5" t="s">
        <v>29</v>
      </c>
      <c r="S77" s="5" t="s">
        <v>63</v>
      </c>
      <c r="T77" s="5" t="s">
        <v>29</v>
      </c>
      <c r="U77" s="5" t="s">
        <v>63</v>
      </c>
      <c r="V77" s="5" t="s">
        <v>29</v>
      </c>
      <c r="W77" s="5" t="s">
        <v>63</v>
      </c>
      <c r="X77" s="5" t="s">
        <v>29</v>
      </c>
      <c r="Y77" s="5" t="s">
        <v>63</v>
      </c>
      <c r="Z77" s="5" t="s">
        <v>29</v>
      </c>
      <c r="AA77" s="5" t="s">
        <v>63</v>
      </c>
      <c r="AB77" s="5" t="s">
        <v>29</v>
      </c>
      <c r="AC77" s="5" t="s">
        <v>63</v>
      </c>
      <c r="AD77" s="5" t="s">
        <v>29</v>
      </c>
      <c r="AE77" s="5" t="s">
        <v>63</v>
      </c>
      <c r="AF77" s="5" t="s">
        <v>29</v>
      </c>
      <c r="AG77" s="5" t="s">
        <v>63</v>
      </c>
      <c r="AH77" s="17"/>
      <c r="AI77" s="17"/>
      <c r="AJ77" s="17"/>
      <c r="AK77" s="17"/>
      <c r="AL77" s="17"/>
      <c r="AM77" s="17"/>
      <c r="AN77" s="17"/>
      <c r="AO77" s="17"/>
    </row>
    <row r="78" spans="1:41" ht="16.25" thickTop="1" thickBot="1" x14ac:dyDescent="0.9">
      <c r="A78" s="1" t="s">
        <v>1</v>
      </c>
      <c r="B78" s="1">
        <f ca="1">INDEX(INDIRECT("'"&amp;$A78&amp;"'!$A$1:$W$30"),MATCH('All Positional Stats'!$A$77,INDIRECT("'"&amp;$A78&amp;"'!$A$1:$A$30"),0),MATCH('All Positional Stats'!B$76,INDIRECT("'"&amp;$A78&amp;"'!$A$1:$W$1"),0))</f>
        <v>5.8</v>
      </c>
      <c r="C78" s="1">
        <f ca="1">_xlfn.RANK.EQ(B78,B$78:B$89)</f>
        <v>6</v>
      </c>
      <c r="D78" s="1">
        <f ca="1">INDEX(INDIRECT("'"&amp;$A78&amp;"'!$A$1:$W$30"),MATCH('All Positional Stats'!$A$77,INDIRECT("'"&amp;$A78&amp;"'!$A$1:$A$30"),0),MATCH('All Positional Stats'!D$76,INDIRECT("'"&amp;$A78&amp;"'!$A$1:$W$1"),0))</f>
        <v>7.2</v>
      </c>
      <c r="E78" s="1">
        <f t="shared" ref="E78" ca="1" si="259">_xlfn.RANK.EQ(D78,D$78:D$89)</f>
        <v>6</v>
      </c>
      <c r="F78" s="1">
        <f ca="1">INDEX(INDIRECT("'"&amp;$A78&amp;"'!$A$1:$W$30"),MATCH('All Positional Stats'!$A$77,INDIRECT("'"&amp;$A78&amp;"'!$A$1:$A$30"),0),MATCH('All Positional Stats'!F$76,INDIRECT("'"&amp;$A78&amp;"'!$A$1:$W$1"),0))</f>
        <v>2.7</v>
      </c>
      <c r="G78" s="1">
        <f t="shared" ref="G78" ca="1" si="260">_xlfn.RANK.EQ(F78,F$78:F$89)</f>
        <v>5</v>
      </c>
      <c r="H78" s="1">
        <f ca="1">INDEX(INDIRECT("'"&amp;$A78&amp;"'!$A$1:$W$30"),MATCH('All Positional Stats'!$A$77,INDIRECT("'"&amp;$A78&amp;"'!$A$1:$A$30"),0),MATCH('All Positional Stats'!H$76,INDIRECT("'"&amp;$A78&amp;"'!$A$1:$W$1"),0))</f>
        <v>6.9</v>
      </c>
      <c r="I78" s="1">
        <f t="shared" ref="I78" ca="1" si="261">_xlfn.RANK.EQ(H78,H$78:H$89)</f>
        <v>6</v>
      </c>
      <c r="J78" s="1">
        <f ca="1">INDEX(INDIRECT("'"&amp;$A78&amp;"'!$A$1:$W$30"),MATCH('All Positional Stats'!$A$77,INDIRECT("'"&amp;$A78&amp;"'!$A$1:$A$30"),0),MATCH('All Positional Stats'!J$76,INDIRECT("'"&amp;$A78&amp;"'!$A$1:$W$1"),0))</f>
        <v>6.8</v>
      </c>
      <c r="K78" s="1">
        <f t="shared" ref="K78" ca="1" si="262">_xlfn.RANK.EQ(J78,J$78:J$89)</f>
        <v>6</v>
      </c>
      <c r="L78" s="1">
        <f ca="1">INDEX(INDIRECT("'"&amp;$A78&amp;"'!$A$1:$W$30"),MATCH('All Positional Stats'!$A$77,INDIRECT("'"&amp;$A78&amp;"'!$A$1:$A$30"),0),MATCH('All Positional Stats'!L$76,INDIRECT("'"&amp;$A78&amp;"'!$A$1:$W$1"),0))</f>
        <v>3.2</v>
      </c>
      <c r="M78" s="1">
        <f t="shared" ref="M78" ca="1" si="263">_xlfn.RANK.EQ(L78,L$78:L$89)</f>
        <v>11</v>
      </c>
      <c r="N78" s="1">
        <f ca="1">INDEX(INDIRECT("'"&amp;$A78&amp;"'!$A$1:$W$30"),MATCH('All Positional Stats'!$A$77,INDIRECT("'"&amp;$A78&amp;"'!$A$1:$A$30"),0),MATCH('All Positional Stats'!N$76,INDIRECT("'"&amp;$A78&amp;"'!$A$1:$W$1"),0))</f>
        <v>2.7</v>
      </c>
      <c r="O78" s="1">
        <f t="shared" ref="O78" ca="1" si="264">_xlfn.RANK.EQ(N78,N$78:N$89)</f>
        <v>12</v>
      </c>
      <c r="P78" s="1">
        <f ca="1">INDEX(INDIRECT("'"&amp;$A78&amp;"'!$A$1:$W$30"),MATCH('All Positional Stats'!$A$77,INDIRECT("'"&amp;$A78&amp;"'!$A$1:$A$30"),0),MATCH('All Positional Stats'!P$76,INDIRECT("'"&amp;$A78&amp;"'!$A$1:$W$1"),0))</f>
        <v>0.4</v>
      </c>
      <c r="Q78" s="1">
        <f t="shared" ref="Q78" ca="1" si="265">_xlfn.RANK.EQ(P78,P$78:P$89)</f>
        <v>11</v>
      </c>
      <c r="R78" s="1">
        <f ca="1">INDEX(INDIRECT("'"&amp;$A78&amp;"'!$A$1:$W$30"),MATCH('All Positional Stats'!$A$77,INDIRECT("'"&amp;$A78&amp;"'!$A$1:$A$30"),0),MATCH('All Positional Stats'!R$76,INDIRECT("'"&amp;$A78&amp;"'!$A$1:$W$1"),0))</f>
        <v>5.6</v>
      </c>
      <c r="S78" s="1">
        <f t="shared" ref="S78:AG79" ca="1" si="266">_xlfn.RANK.EQ(R78,R$78:R$89)</f>
        <v>8</v>
      </c>
      <c r="T78" s="1">
        <f ca="1">INDEX(INDIRECT("'"&amp;$A78&amp;"'!$A$1:$W$30"),MATCH('All Positional Stats'!$A$77,INDIRECT("'"&amp;$A78&amp;"'!$A$1:$A$30"),0),MATCH('All Positional Stats'!T$76,INDIRECT("'"&amp;$A78&amp;"'!$A$1:$W$1"),0))</f>
        <v>0</v>
      </c>
      <c r="U78" s="1">
        <f t="shared" ref="U78" ca="1" si="267">_xlfn.RANK.EQ(T78,T$78:T$89)</f>
        <v>12</v>
      </c>
      <c r="V78" s="1">
        <f ca="1">INDEX(INDIRECT("'"&amp;$A78&amp;"'!$A$1:$W$30"),MATCH('All Positional Stats'!$A$77,INDIRECT("'"&amp;$A78&amp;"'!$A$1:$A$30"),0),MATCH('All Positional Stats'!V$76,INDIRECT("'"&amp;$A78&amp;"'!$A$1:$W$1"),0))</f>
        <v>11.6</v>
      </c>
      <c r="W78" s="1">
        <f t="shared" ref="W78" ca="1" si="268">_xlfn.RANK.EQ(V78,V$78:V$89)</f>
        <v>4</v>
      </c>
      <c r="X78" s="1">
        <f ca="1">INDEX(INDIRECT("'"&amp;$A78&amp;"'!$A$1:$W$30"),MATCH('All Positional Stats'!$A$77,INDIRECT("'"&amp;$A78&amp;"'!$A$1:$A$30"),0),MATCH('All Positional Stats'!X$76,INDIRECT("'"&amp;$A78&amp;"'!$A$1:$W$1"),0))</f>
        <v>1.3</v>
      </c>
      <c r="Y78" s="1">
        <f t="shared" ref="Y78" ca="1" si="269">_xlfn.RANK.EQ(X78,X$78:X$89)</f>
        <v>10</v>
      </c>
      <c r="Z78" s="1">
        <f ca="1">INDEX(INDIRECT("'"&amp;$A78&amp;"'!$A$1:$W$30"),MATCH('All Positional Stats'!$A$77,INDIRECT("'"&amp;$A78&amp;"'!$A$1:$A$30"),0),MATCH('All Positional Stats'!Z$76,INDIRECT("'"&amp;$A78&amp;"'!$A$1:$W$1"),0))</f>
        <v>2.8</v>
      </c>
      <c r="AA78" s="1">
        <f t="shared" ref="AA78" ca="1" si="270">_xlfn.RANK.EQ(Z78,Z$78:Z$89)</f>
        <v>10</v>
      </c>
      <c r="AB78" s="1">
        <f ca="1">INDEX(INDIRECT("'"&amp;$A78&amp;"'!$A$1:$W$30"),MATCH('All Positional Stats'!$A$77,INDIRECT("'"&amp;$A78&amp;"'!$A$1:$A$30"),0),MATCH('All Positional Stats'!AB$76,INDIRECT("'"&amp;$A78&amp;"'!$A$1:$W$1"),0))</f>
        <v>2.5</v>
      </c>
      <c r="AC78" s="1">
        <f t="shared" ref="AC78" ca="1" si="271">_xlfn.RANK.EQ(AB78,AB$78:AB$89)</f>
        <v>8</v>
      </c>
      <c r="AD78" s="1">
        <f ca="1">INDEX(INDIRECT("'"&amp;$A78&amp;"'!$A$1:$W$30"),MATCH('All Positional Stats'!$A$77,INDIRECT("'"&amp;$A78&amp;"'!$A$1:$A$30"),0),MATCH('All Positional Stats'!AD$76,INDIRECT("'"&amp;$A78&amp;"'!$A$1:$W$1"),0))</f>
        <v>22.1</v>
      </c>
      <c r="AE78" s="1">
        <f t="shared" ref="AE78" ca="1" si="272">_xlfn.RANK.EQ(AD78,AD$78:AD$89)</f>
        <v>1</v>
      </c>
      <c r="AF78" s="1">
        <f ca="1">INDEX(INDIRECT("'"&amp;$A78&amp;"'!$A$1:$W$30"),MATCH('All Positional Stats'!$A$77,INDIRECT("'"&amp;$A78&amp;"'!$A$1:$A$30"),0),MATCH('All Positional Stats'!AF$76,INDIRECT("'"&amp;$A78&amp;"'!$A$1:$W$1"),0))</f>
        <v>4.2</v>
      </c>
      <c r="AG78" s="1">
        <f t="shared" ref="AG78" ca="1" si="273">_xlfn.RANK.EQ(AF78,AF$78:AF$89)</f>
        <v>9</v>
      </c>
      <c r="AH78" s="1">
        <f ca="1">INDEX(INDIRECT("'"&amp;$A78&amp;"'!$A$1:$W$30"),MATCH('All Positional Stats'!$A$77,INDIRECT("'"&amp;$A78&amp;"'!$A$1:$A$30"),0),MATCH('All Positional Stats'!AH$76,INDIRECT("'"&amp;$A78&amp;"'!$A$1:$W$1"),0))</f>
        <v>0</v>
      </c>
      <c r="AI78" s="1">
        <f ca="1">INDEX(INDIRECT("'"&amp;$A78&amp;"'!$A$1:$W$30"),MATCH('All Positional Stats'!$A$77,INDIRECT("'"&amp;$A78&amp;"'!$A$1:$A$30"),0),MATCH('All Positional Stats'!AI$76,INDIRECT("'"&amp;$A78&amp;"'!$A$1:$W$1"),0))</f>
        <v>22.1</v>
      </c>
      <c r="AJ78" s="7">
        <f ca="1">INDEX(INDIRECT("'"&amp;$A78&amp;"'!$A$1:$W$30"),MATCH('All Positional Stats'!$A$77,INDIRECT("'"&amp;$A78&amp;"'!$A$1:$A$30"),0),MATCH('All Positional Stats'!AJ$76,INDIRECT("'"&amp;$A78&amp;"'!$A$1:$W$1"),0))</f>
        <v>5.3624999999999998</v>
      </c>
      <c r="AK78" s="7">
        <f ca="1">INDEX(INDIRECT("'"&amp;$A78&amp;"'!$A$1:$W$30"),MATCH('All Positional Stats'!$A$77,INDIRECT("'"&amp;$A78&amp;"'!$A$1:$A$30"),0),MATCH('All Positional Stats'!AK$76,INDIRECT("'"&amp;$A78&amp;"'!$A$1:$W$1"),0))</f>
        <v>5.1958968186444974</v>
      </c>
      <c r="AL78" s="7">
        <f ca="1">INDEX(INDIRECT("'"&amp;$A78&amp;"'!$A$1:$W$30"),MATCH('All Positional Stats'!$A$77,INDIRECT("'"&amp;$A78&amp;"'!$A$1:$A$30"),0),MATCH('All Positional Stats'!AL$76,INDIRECT("'"&amp;$A78&amp;"'!$A$1:$W$1"),0))</f>
        <v>85.8</v>
      </c>
      <c r="AM78" s="6">
        <f ca="1">INDEX(INDIRECT("'"&amp;$A78&amp;"'!$A$1:$W$30"),MATCH('All Positional Stats'!$A$77,INDIRECT("'"&amp;$A78&amp;"'!$A$1:$A$30"),0),MATCH('All Positional Stats'!AM$76,INDIRECT("'"&amp;$A78&amp;"'!$A$1:$W$1"),0))</f>
        <v>6.2963234754531458E-2</v>
      </c>
      <c r="AN78" s="9">
        <f ca="1">SUMIF($B$77:$AA$77, "Points", B78:AA78)</f>
        <v>57</v>
      </c>
      <c r="AO78" s="8">
        <f ca="1">_xlfn.RANK.EQ(AN78,$AN$78:$AN$89)</f>
        <v>12</v>
      </c>
    </row>
    <row r="79" spans="1:41" ht="16.25" thickTop="1" thickBot="1" x14ac:dyDescent="0.9">
      <c r="A79" s="1" t="s">
        <v>2</v>
      </c>
      <c r="B79" s="1">
        <f ca="1">INDEX(INDIRECT("'"&amp;$A79&amp;"'!$A$1:$W$30"),MATCH('All Positional Stats'!$A$77,INDIRECT("'"&amp;$A79&amp;"'!$A$1:$A$30"),0),MATCH('All Positional Stats'!B$76,INDIRECT("'"&amp;$A79&amp;"'!$A$1:$W$1"),0))</f>
        <v>6.1</v>
      </c>
      <c r="C79" s="1">
        <f t="shared" ref="C79:Q89" ca="1" si="274">_xlfn.RANK.EQ(B79,B$78:B$89)</f>
        <v>5</v>
      </c>
      <c r="D79" s="1">
        <f ca="1">INDEX(INDIRECT("'"&amp;$A79&amp;"'!$A$1:$W$30"),MATCH('All Positional Stats'!$A$77,INDIRECT("'"&amp;$A79&amp;"'!$A$1:$A$30"),0),MATCH('All Positional Stats'!D$76,INDIRECT("'"&amp;$A79&amp;"'!$A$1:$W$1"),0))</f>
        <v>7.8</v>
      </c>
      <c r="E79" s="1">
        <f t="shared" ca="1" si="274"/>
        <v>5</v>
      </c>
      <c r="F79" s="1">
        <f ca="1">INDEX(INDIRECT("'"&amp;$A79&amp;"'!$A$1:$W$30"),MATCH('All Positional Stats'!$A$77,INDIRECT("'"&amp;$A79&amp;"'!$A$1:$A$30"),0),MATCH('All Positional Stats'!F$76,INDIRECT("'"&amp;$A79&amp;"'!$A$1:$W$1"),0))</f>
        <v>0.6</v>
      </c>
      <c r="G79" s="1">
        <f t="shared" ca="1" si="274"/>
        <v>9</v>
      </c>
      <c r="H79" s="1">
        <f ca="1">INDEX(INDIRECT("'"&amp;$A79&amp;"'!$A$1:$W$30"),MATCH('All Positional Stats'!$A$77,INDIRECT("'"&amp;$A79&amp;"'!$A$1:$A$30"),0),MATCH('All Positional Stats'!H$76,INDIRECT("'"&amp;$A79&amp;"'!$A$1:$W$1"),0))</f>
        <v>3.6</v>
      </c>
      <c r="I79" s="1">
        <f t="shared" ca="1" si="274"/>
        <v>11</v>
      </c>
      <c r="J79" s="1">
        <f ca="1">INDEX(INDIRECT("'"&amp;$A79&amp;"'!$A$1:$W$30"),MATCH('All Positional Stats'!$A$77,INDIRECT("'"&amp;$A79&amp;"'!$A$1:$A$30"),0),MATCH('All Positional Stats'!J$76,INDIRECT("'"&amp;$A79&amp;"'!$A$1:$W$1"),0))</f>
        <v>11.9</v>
      </c>
      <c r="K79" s="1">
        <f t="shared" ca="1" si="274"/>
        <v>4</v>
      </c>
      <c r="L79" s="1">
        <f ca="1">INDEX(INDIRECT("'"&amp;$A79&amp;"'!$A$1:$W$30"),MATCH('All Positional Stats'!$A$77,INDIRECT("'"&amp;$A79&amp;"'!$A$1:$A$30"),0),MATCH('All Positional Stats'!L$76,INDIRECT("'"&amp;$A79&amp;"'!$A$1:$W$1"),0))</f>
        <v>5.7</v>
      </c>
      <c r="M79" s="1">
        <f t="shared" ca="1" si="274"/>
        <v>7</v>
      </c>
      <c r="N79" s="1">
        <f ca="1">INDEX(INDIRECT("'"&amp;$A79&amp;"'!$A$1:$W$30"),MATCH('All Positional Stats'!$A$77,INDIRECT("'"&amp;$A79&amp;"'!$A$1:$A$30"),0),MATCH('All Positional Stats'!N$76,INDIRECT("'"&amp;$A79&amp;"'!$A$1:$W$1"),0))</f>
        <v>22.4</v>
      </c>
      <c r="O79" s="1">
        <f t="shared" ca="1" si="274"/>
        <v>1</v>
      </c>
      <c r="P79" s="1">
        <f ca="1">INDEX(INDIRECT("'"&amp;$A79&amp;"'!$A$1:$W$30"),MATCH('All Positional Stats'!$A$77,INDIRECT("'"&amp;$A79&amp;"'!$A$1:$A$30"),0),MATCH('All Positional Stats'!P$76,INDIRECT("'"&amp;$A79&amp;"'!$A$1:$W$1"),0))</f>
        <v>1</v>
      </c>
      <c r="Q79" s="1">
        <f t="shared" ca="1" si="274"/>
        <v>10</v>
      </c>
      <c r="R79" s="1">
        <f ca="1">INDEX(INDIRECT("'"&amp;$A79&amp;"'!$A$1:$W$30"),MATCH('All Positional Stats'!$A$77,INDIRECT("'"&amp;$A79&amp;"'!$A$1:$A$30"),0),MATCH('All Positional Stats'!R$76,INDIRECT("'"&amp;$A79&amp;"'!$A$1:$W$1"),0))</f>
        <v>10.199999999999999</v>
      </c>
      <c r="S79" s="1">
        <f t="shared" ca="1" si="266"/>
        <v>4</v>
      </c>
      <c r="T79" s="1">
        <f ca="1">INDEX(INDIRECT("'"&amp;$A79&amp;"'!$A$1:$W$30"),MATCH('All Positional Stats'!$A$77,INDIRECT("'"&amp;$A79&amp;"'!$A$1:$A$30"),0),MATCH('All Positional Stats'!T$76,INDIRECT("'"&amp;$A79&amp;"'!$A$1:$W$1"),0))</f>
        <v>11.1</v>
      </c>
      <c r="U79" s="1">
        <f t="shared" ca="1" si="266"/>
        <v>4</v>
      </c>
      <c r="V79" s="1">
        <f ca="1">INDEX(INDIRECT("'"&amp;$A79&amp;"'!$A$1:$W$30"),MATCH('All Positional Stats'!$A$77,INDIRECT("'"&amp;$A79&amp;"'!$A$1:$A$30"),0),MATCH('All Positional Stats'!V$76,INDIRECT("'"&amp;$A79&amp;"'!$A$1:$W$1"),0))</f>
        <v>8.1999999999999993</v>
      </c>
      <c r="W79" s="1">
        <f t="shared" ca="1" si="266"/>
        <v>6</v>
      </c>
      <c r="X79" s="1">
        <f ca="1">INDEX(INDIRECT("'"&amp;$A79&amp;"'!$A$1:$W$30"),MATCH('All Positional Stats'!$A$77,INDIRECT("'"&amp;$A79&amp;"'!$A$1:$A$30"),0),MATCH('All Positional Stats'!X$76,INDIRECT("'"&amp;$A79&amp;"'!$A$1:$W$1"),0))</f>
        <v>0</v>
      </c>
      <c r="Y79" s="1">
        <f t="shared" ca="1" si="266"/>
        <v>12</v>
      </c>
      <c r="Z79" s="1">
        <f ca="1">INDEX(INDIRECT("'"&amp;$A79&amp;"'!$A$1:$W$30"),MATCH('All Positional Stats'!$A$77,INDIRECT("'"&amp;$A79&amp;"'!$A$1:$A$30"),0),MATCH('All Positional Stats'!Z$76,INDIRECT("'"&amp;$A79&amp;"'!$A$1:$W$1"),0))</f>
        <v>2.5</v>
      </c>
      <c r="AA79" s="1">
        <f t="shared" ca="1" si="266"/>
        <v>11</v>
      </c>
      <c r="AB79" s="1">
        <f ca="1">INDEX(INDIRECT("'"&amp;$A79&amp;"'!$A$1:$W$30"),MATCH('All Positional Stats'!$A$77,INDIRECT("'"&amp;$A79&amp;"'!$A$1:$A$30"),0),MATCH('All Positional Stats'!AB$76,INDIRECT("'"&amp;$A79&amp;"'!$A$1:$W$1"),0))</f>
        <v>9.6</v>
      </c>
      <c r="AC79" s="1">
        <f t="shared" ca="1" si="266"/>
        <v>5</v>
      </c>
      <c r="AD79" s="1">
        <f ca="1">INDEX(INDIRECT("'"&amp;$A79&amp;"'!$A$1:$W$30"),MATCH('All Positional Stats'!$A$77,INDIRECT("'"&amp;$A79&amp;"'!$A$1:$A$30"),0),MATCH('All Positional Stats'!AD$76,INDIRECT("'"&amp;$A79&amp;"'!$A$1:$W$1"),0))</f>
        <v>0.8</v>
      </c>
      <c r="AE79" s="1">
        <f t="shared" ca="1" si="266"/>
        <v>10</v>
      </c>
      <c r="AF79" s="1">
        <f ca="1">INDEX(INDIRECT("'"&amp;$A79&amp;"'!$A$1:$W$30"),MATCH('All Positional Stats'!$A$77,INDIRECT("'"&amp;$A79&amp;"'!$A$1:$A$30"),0),MATCH('All Positional Stats'!AF$76,INDIRECT("'"&amp;$A79&amp;"'!$A$1:$W$1"),0))</f>
        <v>11.2</v>
      </c>
      <c r="AG79" s="1">
        <f t="shared" ca="1" si="266"/>
        <v>5</v>
      </c>
      <c r="AH79" s="1">
        <f ca="1">INDEX(INDIRECT("'"&amp;$A79&amp;"'!$A$1:$W$30"),MATCH('All Positional Stats'!$A$77,INDIRECT("'"&amp;$A79&amp;"'!$A$1:$A$30"),0),MATCH('All Positional Stats'!AH$76,INDIRECT("'"&amp;$A79&amp;"'!$A$1:$W$1"),0))</f>
        <v>0</v>
      </c>
      <c r="AI79" s="1">
        <f ca="1">INDEX(INDIRECT("'"&amp;$A79&amp;"'!$A$1:$W$30"),MATCH('All Positional Stats'!$A$77,INDIRECT("'"&amp;$A79&amp;"'!$A$1:$A$30"),0),MATCH('All Positional Stats'!AI$76,INDIRECT("'"&amp;$A79&amp;"'!$A$1:$W$1"),0))</f>
        <v>22.4</v>
      </c>
      <c r="AJ79" s="7">
        <f ca="1">INDEX(INDIRECT("'"&amp;$A79&amp;"'!$A$1:$W$30"),MATCH('All Positional Stats'!$A$77,INDIRECT("'"&amp;$A79&amp;"'!$A$1:$A$30"),0),MATCH('All Positional Stats'!AJ$76,INDIRECT("'"&amp;$A79&amp;"'!$A$1:$W$1"),0))</f>
        <v>7.0437499999999993</v>
      </c>
      <c r="AK79" s="7">
        <f ca="1">INDEX(INDIRECT("'"&amp;$A79&amp;"'!$A$1:$W$30"),MATCH('All Positional Stats'!$A$77,INDIRECT("'"&amp;$A79&amp;"'!$A$1:$A$30"),0),MATCH('All Positional Stats'!AK$76,INDIRECT("'"&amp;$A79&amp;"'!$A$1:$W$1"),0))</f>
        <v>5.6644691664356346</v>
      </c>
      <c r="AL79" s="7">
        <f ca="1">INDEX(INDIRECT("'"&amp;$A79&amp;"'!$A$1:$W$30"),MATCH('All Positional Stats'!$A$77,INDIRECT("'"&amp;$A79&amp;"'!$A$1:$A$30"),0),MATCH('All Positional Stats'!AL$76,INDIRECT("'"&amp;$A79&amp;"'!$A$1:$W$1"),0))</f>
        <v>112.7</v>
      </c>
      <c r="AM79" s="6">
        <f ca="1">INDEX(INDIRECT("'"&amp;$A79&amp;"'!$A$1:$W$30"),MATCH('All Positional Stats'!$A$77,INDIRECT("'"&amp;$A79&amp;"'!$A$1:$A$30"),0),MATCH('All Positional Stats'!AM$76,INDIRECT("'"&amp;$A79&amp;"'!$A$1:$W$1"),0))</f>
        <v>7.4804194875879457E-2</v>
      </c>
      <c r="AN79" s="9">
        <f t="shared" ref="AN79:AN89" ca="1" si="275">SUMIF($B$77:$AA$77, "Points", B79:AA79)</f>
        <v>91.1</v>
      </c>
      <c r="AO79" s="8">
        <f t="shared" ref="AO79:AO89" ca="1" si="276">_xlfn.RANK.EQ(AN79,$AN$78:$AN$89)</f>
        <v>9</v>
      </c>
    </row>
    <row r="80" spans="1:41" ht="16.25" thickTop="1" thickBot="1" x14ac:dyDescent="0.9">
      <c r="A80" s="1" t="s">
        <v>3</v>
      </c>
      <c r="B80" s="1">
        <f ca="1">INDEX(INDIRECT("'"&amp;$A80&amp;"'!$A$1:$W$30"),MATCH('All Positional Stats'!$A$77,INDIRECT("'"&amp;$A80&amp;"'!$A$1:$A$30"),0),MATCH('All Positional Stats'!B$76,INDIRECT("'"&amp;$A80&amp;"'!$A$1:$W$1"),0))</f>
        <v>0.9</v>
      </c>
      <c r="C80" s="1">
        <f t="shared" ca="1" si="274"/>
        <v>11</v>
      </c>
      <c r="D80" s="1">
        <f ca="1">INDEX(INDIRECT("'"&amp;$A80&amp;"'!$A$1:$W$30"),MATCH('All Positional Stats'!$A$77,INDIRECT("'"&amp;$A80&amp;"'!$A$1:$A$30"),0),MATCH('All Positional Stats'!D$76,INDIRECT("'"&amp;$A80&amp;"'!$A$1:$W$1"),0))</f>
        <v>5.7</v>
      </c>
      <c r="E80" s="1">
        <f t="shared" ref="E80:AG89" ca="1" si="277">_xlfn.RANK.EQ(D80,D$78:D$89)</f>
        <v>8</v>
      </c>
      <c r="F80" s="1">
        <f ca="1">INDEX(INDIRECT("'"&amp;$A80&amp;"'!$A$1:$W$30"),MATCH('All Positional Stats'!$A$77,INDIRECT("'"&amp;$A80&amp;"'!$A$1:$A$30"),0),MATCH('All Positional Stats'!F$76,INDIRECT("'"&amp;$A80&amp;"'!$A$1:$W$1"),0))</f>
        <v>0</v>
      </c>
      <c r="G80" s="1">
        <f t="shared" ca="1" si="277"/>
        <v>11</v>
      </c>
      <c r="H80" s="1">
        <f ca="1">INDEX(INDIRECT("'"&amp;$A80&amp;"'!$A$1:$W$30"),MATCH('All Positional Stats'!$A$77,INDIRECT("'"&amp;$A80&amp;"'!$A$1:$A$30"),0),MATCH('All Positional Stats'!H$76,INDIRECT("'"&amp;$A80&amp;"'!$A$1:$W$1"),0))</f>
        <v>6.1</v>
      </c>
      <c r="I80" s="1">
        <f t="shared" ca="1" si="277"/>
        <v>7</v>
      </c>
      <c r="J80" s="1">
        <f ca="1">INDEX(INDIRECT("'"&amp;$A80&amp;"'!$A$1:$W$30"),MATCH('All Positional Stats'!$A$77,INDIRECT("'"&amp;$A80&amp;"'!$A$1:$A$30"),0),MATCH('All Positional Stats'!J$76,INDIRECT("'"&amp;$A80&amp;"'!$A$1:$W$1"),0))</f>
        <v>2</v>
      </c>
      <c r="K80" s="1">
        <f t="shared" ca="1" si="277"/>
        <v>10</v>
      </c>
      <c r="L80" s="1">
        <f ca="1">INDEX(INDIRECT("'"&amp;$A80&amp;"'!$A$1:$W$30"),MATCH('All Positional Stats'!$A$77,INDIRECT("'"&amp;$A80&amp;"'!$A$1:$A$30"),0),MATCH('All Positional Stats'!L$76,INDIRECT("'"&amp;$A80&amp;"'!$A$1:$W$1"),0))</f>
        <v>2.4</v>
      </c>
      <c r="M80" s="1">
        <f t="shared" ca="1" si="277"/>
        <v>12</v>
      </c>
      <c r="N80" s="1">
        <f ca="1">INDEX(INDIRECT("'"&amp;$A80&amp;"'!$A$1:$W$30"),MATCH('All Positional Stats'!$A$77,INDIRECT("'"&amp;$A80&amp;"'!$A$1:$A$30"),0),MATCH('All Positional Stats'!N$76,INDIRECT("'"&amp;$A80&amp;"'!$A$1:$W$1"),0))</f>
        <v>9.3000000000000007</v>
      </c>
      <c r="O80" s="1">
        <f t="shared" ca="1" si="277"/>
        <v>7</v>
      </c>
      <c r="P80" s="1">
        <f ca="1">INDEX(INDIRECT("'"&amp;$A80&amp;"'!$A$1:$W$30"),MATCH('All Positional Stats'!$A$77,INDIRECT("'"&amp;$A80&amp;"'!$A$1:$A$30"),0),MATCH('All Positional Stats'!P$76,INDIRECT("'"&amp;$A80&amp;"'!$A$1:$W$1"),0))</f>
        <v>2.1</v>
      </c>
      <c r="Q80" s="1">
        <f t="shared" ca="1" si="277"/>
        <v>9</v>
      </c>
      <c r="R80" s="1">
        <f ca="1">INDEX(INDIRECT("'"&amp;$A80&amp;"'!$A$1:$W$30"),MATCH('All Positional Stats'!$A$77,INDIRECT("'"&amp;$A80&amp;"'!$A$1:$A$30"),0),MATCH('All Positional Stats'!R$76,INDIRECT("'"&amp;$A80&amp;"'!$A$1:$W$1"),0))</f>
        <v>16.600000000000001</v>
      </c>
      <c r="S80" s="1">
        <f t="shared" ca="1" si="277"/>
        <v>2</v>
      </c>
      <c r="T80" s="1">
        <f ca="1">INDEX(INDIRECT("'"&amp;$A80&amp;"'!$A$1:$W$30"),MATCH('All Positional Stats'!$A$77,INDIRECT("'"&amp;$A80&amp;"'!$A$1:$A$30"),0),MATCH('All Positional Stats'!T$76,INDIRECT("'"&amp;$A80&amp;"'!$A$1:$W$1"),0))</f>
        <v>13.9</v>
      </c>
      <c r="U80" s="1">
        <f t="shared" ca="1" si="277"/>
        <v>2</v>
      </c>
      <c r="V80" s="1">
        <f ca="1">INDEX(INDIRECT("'"&amp;$A80&amp;"'!$A$1:$W$30"),MATCH('All Positional Stats'!$A$77,INDIRECT("'"&amp;$A80&amp;"'!$A$1:$A$30"),0),MATCH('All Positional Stats'!V$76,INDIRECT("'"&amp;$A80&amp;"'!$A$1:$W$1"),0))</f>
        <v>4.5999999999999996</v>
      </c>
      <c r="W80" s="1">
        <f t="shared" ca="1" si="277"/>
        <v>8</v>
      </c>
      <c r="X80" s="1">
        <f ca="1">INDEX(INDIRECT("'"&amp;$A80&amp;"'!$A$1:$W$30"),MATCH('All Positional Stats'!$A$77,INDIRECT("'"&amp;$A80&amp;"'!$A$1:$A$30"),0),MATCH('All Positional Stats'!X$76,INDIRECT("'"&amp;$A80&amp;"'!$A$1:$W$1"),0))</f>
        <v>0.7</v>
      </c>
      <c r="Y80" s="1">
        <f t="shared" ca="1" si="277"/>
        <v>11</v>
      </c>
      <c r="Z80" s="1">
        <f ca="1">INDEX(INDIRECT("'"&amp;$A80&amp;"'!$A$1:$W$30"),MATCH('All Positional Stats'!$A$77,INDIRECT("'"&amp;$A80&amp;"'!$A$1:$A$30"),0),MATCH('All Positional Stats'!Z$76,INDIRECT("'"&amp;$A80&amp;"'!$A$1:$W$1"),0))</f>
        <v>1.4</v>
      </c>
      <c r="AA80" s="1">
        <f t="shared" ca="1" si="277"/>
        <v>12</v>
      </c>
      <c r="AB80" s="1">
        <f ca="1">INDEX(INDIRECT("'"&amp;$A80&amp;"'!$A$1:$W$30"),MATCH('All Positional Stats'!$A$77,INDIRECT("'"&amp;$A80&amp;"'!$A$1:$A$30"),0),MATCH('All Positional Stats'!AB$76,INDIRECT("'"&amp;$A80&amp;"'!$A$1:$W$1"),0))</f>
        <v>16</v>
      </c>
      <c r="AC80" s="1">
        <f t="shared" ca="1" si="277"/>
        <v>1</v>
      </c>
      <c r="AD80" s="1">
        <f ca="1">INDEX(INDIRECT("'"&amp;$A80&amp;"'!$A$1:$W$30"),MATCH('All Positional Stats'!$A$77,INDIRECT("'"&amp;$A80&amp;"'!$A$1:$A$30"),0),MATCH('All Positional Stats'!AD$76,INDIRECT("'"&amp;$A80&amp;"'!$A$1:$W$1"),0))</f>
        <v>2.2000000000000002</v>
      </c>
      <c r="AE80" s="1">
        <f t="shared" ca="1" si="277"/>
        <v>9</v>
      </c>
      <c r="AF80" s="1">
        <f ca="1">INDEX(INDIRECT("'"&amp;$A80&amp;"'!$A$1:$W$30"),MATCH('All Positional Stats'!$A$77,INDIRECT("'"&amp;$A80&amp;"'!$A$1:$A$30"),0),MATCH('All Positional Stats'!AF$76,INDIRECT("'"&amp;$A80&amp;"'!$A$1:$W$1"),0))</f>
        <v>3.3</v>
      </c>
      <c r="AG80" s="1">
        <f t="shared" ca="1" si="277"/>
        <v>10</v>
      </c>
      <c r="AH80" s="1">
        <f ca="1">INDEX(INDIRECT("'"&amp;$A80&amp;"'!$A$1:$W$30"),MATCH('All Positional Stats'!$A$77,INDIRECT("'"&amp;$A80&amp;"'!$A$1:$A$30"),0),MATCH('All Positional Stats'!AH$76,INDIRECT("'"&amp;$A80&amp;"'!$A$1:$W$1"),0))</f>
        <v>0</v>
      </c>
      <c r="AI80" s="1">
        <f ca="1">INDEX(INDIRECT("'"&amp;$A80&amp;"'!$A$1:$W$30"),MATCH('All Positional Stats'!$A$77,INDIRECT("'"&amp;$A80&amp;"'!$A$1:$A$30"),0),MATCH('All Positional Stats'!AI$76,INDIRECT("'"&amp;$A80&amp;"'!$A$1:$W$1"),0))</f>
        <v>16.600000000000001</v>
      </c>
      <c r="AJ80" s="7">
        <f ca="1">INDEX(INDIRECT("'"&amp;$A80&amp;"'!$A$1:$W$30"),MATCH('All Positional Stats'!$A$77,INDIRECT("'"&amp;$A80&amp;"'!$A$1:$A$30"),0),MATCH('All Positional Stats'!AJ$76,INDIRECT("'"&amp;$A80&amp;"'!$A$1:$W$1"),0))</f>
        <v>5.45</v>
      </c>
      <c r="AK80" s="7">
        <f ca="1">INDEX(INDIRECT("'"&amp;$A80&amp;"'!$A$1:$W$30"),MATCH('All Positional Stats'!$A$77,INDIRECT("'"&amp;$A80&amp;"'!$A$1:$A$30"),0),MATCH('All Positional Stats'!AK$76,INDIRECT("'"&amp;$A80&amp;"'!$A$1:$W$1"),0))</f>
        <v>5.3621357685161239</v>
      </c>
      <c r="AL80" s="7">
        <f ca="1">INDEX(INDIRECT("'"&amp;$A80&amp;"'!$A$1:$W$30"),MATCH('All Positional Stats'!$A$77,INDIRECT("'"&amp;$A80&amp;"'!$A$1:$A$30"),0),MATCH('All Positional Stats'!AL$76,INDIRECT("'"&amp;$A80&amp;"'!$A$1:$W$1"),0))</f>
        <v>87.2</v>
      </c>
      <c r="AM80" s="6">
        <f ca="1">INDEX(INDIRECT("'"&amp;$A80&amp;"'!$A$1:$W$30"),MATCH('All Positional Stats'!$A$77,INDIRECT("'"&amp;$A80&amp;"'!$A$1:$A$30"),0),MATCH('All Positional Stats'!AM$76,INDIRECT("'"&amp;$A80&amp;"'!$A$1:$W$1"),0))</f>
        <v>6.0287610619469037E-2</v>
      </c>
      <c r="AN80" s="9">
        <f t="shared" ca="1" si="275"/>
        <v>65.7</v>
      </c>
      <c r="AO80" s="8">
        <f t="shared" ca="1" si="276"/>
        <v>10</v>
      </c>
    </row>
    <row r="81" spans="1:41" ht="16.25" thickTop="1" thickBot="1" x14ac:dyDescent="0.9">
      <c r="A81" s="1" t="s">
        <v>4</v>
      </c>
      <c r="B81" s="1">
        <f ca="1">INDEX(INDIRECT("'"&amp;$A81&amp;"'!$A$1:$W$30"),MATCH('All Positional Stats'!$A$77,INDIRECT("'"&amp;$A81&amp;"'!$A$1:$A$30"),0),MATCH('All Positional Stats'!B$76,INDIRECT("'"&amp;$A81&amp;"'!$A$1:$W$1"),0))</f>
        <v>2.8</v>
      </c>
      <c r="C81" s="1">
        <f t="shared" ca="1" si="274"/>
        <v>8</v>
      </c>
      <c r="D81" s="1">
        <f ca="1">INDEX(INDIRECT("'"&amp;$A81&amp;"'!$A$1:$W$30"),MATCH('All Positional Stats'!$A$77,INDIRECT("'"&amp;$A81&amp;"'!$A$1:$A$30"),0),MATCH('All Positional Stats'!D$76,INDIRECT("'"&amp;$A81&amp;"'!$A$1:$W$1"),0))</f>
        <v>1.5</v>
      </c>
      <c r="E81" s="1">
        <f t="shared" ca="1" si="277"/>
        <v>11</v>
      </c>
      <c r="F81" s="1">
        <f ca="1">INDEX(INDIRECT("'"&amp;$A81&amp;"'!$A$1:$W$30"),MATCH('All Positional Stats'!$A$77,INDIRECT("'"&amp;$A81&amp;"'!$A$1:$A$30"),0),MATCH('All Positional Stats'!F$76,INDIRECT("'"&amp;$A81&amp;"'!$A$1:$W$1"),0))</f>
        <v>0</v>
      </c>
      <c r="G81" s="1">
        <f t="shared" ca="1" si="277"/>
        <v>11</v>
      </c>
      <c r="H81" s="1">
        <f ca="1">INDEX(INDIRECT("'"&amp;$A81&amp;"'!$A$1:$W$30"),MATCH('All Positional Stats'!$A$77,INDIRECT("'"&amp;$A81&amp;"'!$A$1:$A$30"),0),MATCH('All Positional Stats'!H$76,INDIRECT("'"&amp;$A81&amp;"'!$A$1:$W$1"),0))</f>
        <v>5.5</v>
      </c>
      <c r="I81" s="1">
        <f t="shared" ca="1" si="277"/>
        <v>8</v>
      </c>
      <c r="J81" s="1">
        <f ca="1">INDEX(INDIRECT("'"&amp;$A81&amp;"'!$A$1:$W$30"),MATCH('All Positional Stats'!$A$77,INDIRECT("'"&amp;$A81&amp;"'!$A$1:$A$30"),0),MATCH('All Positional Stats'!J$76,INDIRECT("'"&amp;$A81&amp;"'!$A$1:$W$1"),0))</f>
        <v>3.9</v>
      </c>
      <c r="K81" s="1">
        <f t="shared" ca="1" si="277"/>
        <v>9</v>
      </c>
      <c r="L81" s="1">
        <f ca="1">INDEX(INDIRECT("'"&amp;$A81&amp;"'!$A$1:$W$30"),MATCH('All Positional Stats'!$A$77,INDIRECT("'"&amp;$A81&amp;"'!$A$1:$A$30"),0),MATCH('All Positional Stats'!L$76,INDIRECT("'"&amp;$A81&amp;"'!$A$1:$W$1"),0))</f>
        <v>14.8</v>
      </c>
      <c r="M81" s="1">
        <f t="shared" ca="1" si="277"/>
        <v>3</v>
      </c>
      <c r="N81" s="1">
        <f ca="1">INDEX(INDIRECT("'"&amp;$A81&amp;"'!$A$1:$W$30"),MATCH('All Positional Stats'!$A$77,INDIRECT("'"&amp;$A81&amp;"'!$A$1:$A$30"),0),MATCH('All Positional Stats'!N$76,INDIRECT("'"&amp;$A81&amp;"'!$A$1:$W$1"),0))</f>
        <v>17.399999999999999</v>
      </c>
      <c r="O81" s="1">
        <f t="shared" ca="1" si="277"/>
        <v>2</v>
      </c>
      <c r="P81" s="1">
        <f ca="1">INDEX(INDIRECT("'"&amp;$A81&amp;"'!$A$1:$W$30"),MATCH('All Positional Stats'!$A$77,INDIRECT("'"&amp;$A81&amp;"'!$A$1:$A$30"),0),MATCH('All Positional Stats'!P$76,INDIRECT("'"&amp;$A81&amp;"'!$A$1:$W$1"),0))</f>
        <v>11.4</v>
      </c>
      <c r="Q81" s="1">
        <f t="shared" ca="1" si="277"/>
        <v>5</v>
      </c>
      <c r="R81" s="1">
        <f ca="1">INDEX(INDIRECT("'"&amp;$A81&amp;"'!$A$1:$W$30"),MATCH('All Positional Stats'!$A$77,INDIRECT("'"&amp;$A81&amp;"'!$A$1:$A$30"),0),MATCH('All Positional Stats'!R$76,INDIRECT("'"&amp;$A81&amp;"'!$A$1:$W$1"),0))</f>
        <v>8.9</v>
      </c>
      <c r="S81" s="1">
        <f t="shared" ca="1" si="277"/>
        <v>5</v>
      </c>
      <c r="T81" s="1">
        <f ca="1">INDEX(INDIRECT("'"&amp;$A81&amp;"'!$A$1:$W$30"),MATCH('All Positional Stats'!$A$77,INDIRECT("'"&amp;$A81&amp;"'!$A$1:$A$30"),0),MATCH('All Positional Stats'!T$76,INDIRECT("'"&amp;$A81&amp;"'!$A$1:$W$1"),0))</f>
        <v>0.9</v>
      </c>
      <c r="U81" s="1">
        <f t="shared" ca="1" si="277"/>
        <v>11</v>
      </c>
      <c r="V81" s="1">
        <f ca="1">INDEX(INDIRECT("'"&amp;$A81&amp;"'!$A$1:$W$30"),MATCH('All Positional Stats'!$A$77,INDIRECT("'"&amp;$A81&amp;"'!$A$1:$A$30"),0),MATCH('All Positional Stats'!V$76,INDIRECT("'"&amp;$A81&amp;"'!$A$1:$W$1"),0))</f>
        <v>1.8</v>
      </c>
      <c r="W81" s="1">
        <f t="shared" ca="1" si="277"/>
        <v>10</v>
      </c>
      <c r="X81" s="1">
        <f ca="1">INDEX(INDIRECT("'"&amp;$A81&amp;"'!$A$1:$W$30"),MATCH('All Positional Stats'!$A$77,INDIRECT("'"&amp;$A81&amp;"'!$A$1:$A$30"),0),MATCH('All Positional Stats'!X$76,INDIRECT("'"&amp;$A81&amp;"'!$A$1:$W$1"),0))</f>
        <v>21.3</v>
      </c>
      <c r="Y81" s="1">
        <f t="shared" ca="1" si="277"/>
        <v>2</v>
      </c>
      <c r="Z81" s="1">
        <f ca="1">INDEX(INDIRECT("'"&amp;$A81&amp;"'!$A$1:$W$30"),MATCH('All Positional Stats'!$A$77,INDIRECT("'"&amp;$A81&amp;"'!$A$1:$A$30"),0),MATCH('All Positional Stats'!Z$76,INDIRECT("'"&amp;$A81&amp;"'!$A$1:$W$1"),0))</f>
        <v>3.4</v>
      </c>
      <c r="AA81" s="1">
        <f t="shared" ca="1" si="277"/>
        <v>9</v>
      </c>
      <c r="AB81" s="1">
        <f ca="1">INDEX(INDIRECT("'"&amp;$A81&amp;"'!$A$1:$W$30"),MATCH('All Positional Stats'!$A$77,INDIRECT("'"&amp;$A81&amp;"'!$A$1:$A$30"),0),MATCH('All Positional Stats'!AB$76,INDIRECT("'"&amp;$A81&amp;"'!$A$1:$W$1"),0))</f>
        <v>0</v>
      </c>
      <c r="AC81" s="1">
        <f t="shared" ca="1" si="277"/>
        <v>11</v>
      </c>
      <c r="AD81" s="1">
        <f ca="1">INDEX(INDIRECT("'"&amp;$A81&amp;"'!$A$1:$W$30"),MATCH('All Positional Stats'!$A$77,INDIRECT("'"&amp;$A81&amp;"'!$A$1:$A$30"),0),MATCH('All Positional Stats'!AD$76,INDIRECT("'"&amp;$A81&amp;"'!$A$1:$W$1"),0))</f>
        <v>14.6</v>
      </c>
      <c r="AE81" s="1">
        <f t="shared" ca="1" si="277"/>
        <v>2</v>
      </c>
      <c r="AF81" s="1">
        <f ca="1">INDEX(INDIRECT("'"&amp;$A81&amp;"'!$A$1:$W$30"),MATCH('All Positional Stats'!$A$77,INDIRECT("'"&amp;$A81&amp;"'!$A$1:$A$30"),0),MATCH('All Positional Stats'!AF$76,INDIRECT("'"&amp;$A81&amp;"'!$A$1:$W$1"),0))</f>
        <v>12.6</v>
      </c>
      <c r="AG81" s="1">
        <f t="shared" ca="1" si="277"/>
        <v>4</v>
      </c>
      <c r="AH81" s="1">
        <f ca="1">INDEX(INDIRECT("'"&amp;$A81&amp;"'!$A$1:$W$30"),MATCH('All Positional Stats'!$A$77,INDIRECT("'"&amp;$A81&amp;"'!$A$1:$A$30"),0),MATCH('All Positional Stats'!AH$76,INDIRECT("'"&amp;$A81&amp;"'!$A$1:$W$1"),0))</f>
        <v>0</v>
      </c>
      <c r="AI81" s="1">
        <f ca="1">INDEX(INDIRECT("'"&amp;$A81&amp;"'!$A$1:$W$30"),MATCH('All Positional Stats'!$A$77,INDIRECT("'"&amp;$A81&amp;"'!$A$1:$A$30"),0),MATCH('All Positional Stats'!AI$76,INDIRECT("'"&amp;$A81&amp;"'!$A$1:$W$1"),0))</f>
        <v>21.3</v>
      </c>
      <c r="AJ81" s="7">
        <f ca="1">INDEX(INDIRECT("'"&amp;$A81&amp;"'!$A$1:$W$30"),MATCH('All Positional Stats'!$A$77,INDIRECT("'"&amp;$A81&amp;"'!$A$1:$A$30"),0),MATCH('All Positional Stats'!AJ$76,INDIRECT("'"&amp;$A81&amp;"'!$A$1:$W$1"),0))</f>
        <v>7.55</v>
      </c>
      <c r="AK81" s="7">
        <f ca="1">INDEX(INDIRECT("'"&amp;$A81&amp;"'!$A$1:$W$30"),MATCH('All Positional Stats'!$A$77,INDIRECT("'"&amp;$A81&amp;"'!$A$1:$A$30"),0),MATCH('All Positional Stats'!AK$76,INDIRECT("'"&amp;$A81&amp;"'!$A$1:$W$1"),0))</f>
        <v>6.6881424925011883</v>
      </c>
      <c r="AL81" s="7">
        <f ca="1">INDEX(INDIRECT("'"&amp;$A81&amp;"'!$A$1:$W$30"),MATCH('All Positional Stats'!$A$77,INDIRECT("'"&amp;$A81&amp;"'!$A$1:$A$30"),0),MATCH('All Positional Stats'!AL$76,INDIRECT("'"&amp;$A81&amp;"'!$A$1:$W$1"),0))</f>
        <v>120.8</v>
      </c>
      <c r="AM81" s="6">
        <f ca="1">INDEX(INDIRECT("'"&amp;$A81&amp;"'!$A$1:$W$30"),MATCH('All Positional Stats'!$A$77,INDIRECT("'"&amp;$A81&amp;"'!$A$1:$A$30"),0),MATCH('All Positional Stats'!AM$76,INDIRECT("'"&amp;$A81&amp;"'!$A$1:$W$1"),0))</f>
        <v>7.7764902793871507E-2</v>
      </c>
      <c r="AN81" s="9">
        <f t="shared" ca="1" si="275"/>
        <v>93.600000000000009</v>
      </c>
      <c r="AO81" s="8">
        <f t="shared" ca="1" si="276"/>
        <v>7</v>
      </c>
    </row>
    <row r="82" spans="1:41" ht="16.25" thickTop="1" thickBot="1" x14ac:dyDescent="0.9">
      <c r="A82" s="1" t="s">
        <v>5</v>
      </c>
      <c r="B82" s="1">
        <f ca="1">INDEX(INDIRECT("'"&amp;$A82&amp;"'!$A$1:$W$30"),MATCH('All Positional Stats'!$A$77,INDIRECT("'"&amp;$A82&amp;"'!$A$1:$A$30"),0),MATCH('All Positional Stats'!B$76,INDIRECT("'"&amp;$A82&amp;"'!$A$1:$W$1"),0))</f>
        <v>0</v>
      </c>
      <c r="C82" s="1">
        <f t="shared" ca="1" si="274"/>
        <v>12</v>
      </c>
      <c r="D82" s="1">
        <f ca="1">INDEX(INDIRECT("'"&amp;$A82&amp;"'!$A$1:$W$30"),MATCH('All Positional Stats'!$A$77,INDIRECT("'"&amp;$A82&amp;"'!$A$1:$A$30"),0),MATCH('All Positional Stats'!D$76,INDIRECT("'"&amp;$A82&amp;"'!$A$1:$W$1"),0))</f>
        <v>3.8</v>
      </c>
      <c r="E82" s="1">
        <f t="shared" ca="1" si="277"/>
        <v>9</v>
      </c>
      <c r="F82" s="1">
        <f ca="1">INDEX(INDIRECT("'"&amp;$A82&amp;"'!$A$1:$W$30"),MATCH('All Positional Stats'!$A$77,INDIRECT("'"&amp;$A82&amp;"'!$A$1:$A$30"),0),MATCH('All Positional Stats'!F$76,INDIRECT("'"&amp;$A82&amp;"'!$A$1:$W$1"),0))</f>
        <v>7</v>
      </c>
      <c r="G82" s="1">
        <f t="shared" ca="1" si="277"/>
        <v>3</v>
      </c>
      <c r="H82" s="1">
        <f ca="1">INDEX(INDIRECT("'"&amp;$A82&amp;"'!$A$1:$W$30"),MATCH('All Positional Stats'!$A$77,INDIRECT("'"&amp;$A82&amp;"'!$A$1:$A$30"),0),MATCH('All Positional Stats'!H$76,INDIRECT("'"&amp;$A82&amp;"'!$A$1:$W$1"),0))</f>
        <v>13.7</v>
      </c>
      <c r="I82" s="1">
        <f t="shared" ca="1" si="277"/>
        <v>2</v>
      </c>
      <c r="J82" s="1">
        <f ca="1">INDEX(INDIRECT("'"&amp;$A82&amp;"'!$A$1:$W$30"),MATCH('All Positional Stats'!$A$77,INDIRECT("'"&amp;$A82&amp;"'!$A$1:$A$30"),0),MATCH('All Positional Stats'!J$76,INDIRECT("'"&amp;$A82&amp;"'!$A$1:$W$1"),0))</f>
        <v>4.0999999999999996</v>
      </c>
      <c r="K82" s="1">
        <f t="shared" ca="1" si="277"/>
        <v>7</v>
      </c>
      <c r="L82" s="1">
        <f ca="1">INDEX(INDIRECT("'"&amp;$A82&amp;"'!$A$1:$W$30"),MATCH('All Positional Stats'!$A$77,INDIRECT("'"&amp;$A82&amp;"'!$A$1:$A$30"),0),MATCH('All Positional Stats'!L$76,INDIRECT("'"&amp;$A82&amp;"'!$A$1:$W$1"),0))</f>
        <v>16.7</v>
      </c>
      <c r="M82" s="1">
        <f t="shared" ca="1" si="277"/>
        <v>2</v>
      </c>
      <c r="N82" s="1">
        <f ca="1">INDEX(INDIRECT("'"&amp;$A82&amp;"'!$A$1:$W$30"),MATCH('All Positional Stats'!$A$77,INDIRECT("'"&amp;$A82&amp;"'!$A$1:$A$30"),0),MATCH('All Positional Stats'!N$76,INDIRECT("'"&amp;$A82&amp;"'!$A$1:$W$1"),0))</f>
        <v>15</v>
      </c>
      <c r="O82" s="1">
        <f t="shared" ca="1" si="277"/>
        <v>3</v>
      </c>
      <c r="P82" s="1">
        <f ca="1">INDEX(INDIRECT("'"&amp;$A82&amp;"'!$A$1:$W$30"),MATCH('All Positional Stats'!$A$77,INDIRECT("'"&amp;$A82&amp;"'!$A$1:$A$30"),0),MATCH('All Positional Stats'!P$76,INDIRECT("'"&amp;$A82&amp;"'!$A$1:$W$1"),0))</f>
        <v>2.6</v>
      </c>
      <c r="Q82" s="1">
        <f t="shared" ca="1" si="277"/>
        <v>8</v>
      </c>
      <c r="R82" s="1">
        <f ca="1">INDEX(INDIRECT("'"&amp;$A82&amp;"'!$A$1:$W$30"),MATCH('All Positional Stats'!$A$77,INDIRECT("'"&amp;$A82&amp;"'!$A$1:$A$30"),0),MATCH('All Positional Stats'!R$76,INDIRECT("'"&amp;$A82&amp;"'!$A$1:$W$1"),0))</f>
        <v>15</v>
      </c>
      <c r="S82" s="1">
        <f t="shared" ca="1" si="277"/>
        <v>3</v>
      </c>
      <c r="T82" s="1">
        <f ca="1">INDEX(INDIRECT("'"&amp;$A82&amp;"'!$A$1:$W$30"),MATCH('All Positional Stats'!$A$77,INDIRECT("'"&amp;$A82&amp;"'!$A$1:$A$30"),0),MATCH('All Positional Stats'!T$76,INDIRECT("'"&amp;$A82&amp;"'!$A$1:$W$1"),0))</f>
        <v>12.1</v>
      </c>
      <c r="U82" s="1">
        <f t="shared" ca="1" si="277"/>
        <v>3</v>
      </c>
      <c r="V82" s="1">
        <f ca="1">INDEX(INDIRECT("'"&amp;$A82&amp;"'!$A$1:$W$30"),MATCH('All Positional Stats'!$A$77,INDIRECT("'"&amp;$A82&amp;"'!$A$1:$A$30"),0),MATCH('All Positional Stats'!V$76,INDIRECT("'"&amp;$A82&amp;"'!$A$1:$W$1"),0))</f>
        <v>1.4</v>
      </c>
      <c r="W82" s="1">
        <f t="shared" ca="1" si="277"/>
        <v>12</v>
      </c>
      <c r="X82" s="1">
        <f ca="1">INDEX(INDIRECT("'"&amp;$A82&amp;"'!$A$1:$W$30"),MATCH('All Positional Stats'!$A$77,INDIRECT("'"&amp;$A82&amp;"'!$A$1:$A$30"),0),MATCH('All Positional Stats'!X$76,INDIRECT("'"&amp;$A82&amp;"'!$A$1:$W$1"),0))</f>
        <v>3.3</v>
      </c>
      <c r="Y82" s="1">
        <f t="shared" ca="1" si="277"/>
        <v>8</v>
      </c>
      <c r="Z82" s="1">
        <f ca="1">INDEX(INDIRECT("'"&amp;$A82&amp;"'!$A$1:$W$30"),MATCH('All Positional Stats'!$A$77,INDIRECT("'"&amp;$A82&amp;"'!$A$1:$A$30"),0),MATCH('All Positional Stats'!Z$76,INDIRECT("'"&amp;$A82&amp;"'!$A$1:$W$1"),0))</f>
        <v>19.399999999999999</v>
      </c>
      <c r="AA82" s="1">
        <f t="shared" ca="1" si="277"/>
        <v>2</v>
      </c>
      <c r="AB82" s="1">
        <f ca="1">INDEX(INDIRECT("'"&amp;$A82&amp;"'!$A$1:$W$30"),MATCH('All Positional Stats'!$A$77,INDIRECT("'"&amp;$A82&amp;"'!$A$1:$A$30"),0),MATCH('All Positional Stats'!AB$76,INDIRECT("'"&amp;$A82&amp;"'!$A$1:$W$1"),0))</f>
        <v>7.4</v>
      </c>
      <c r="AC82" s="1">
        <f t="shared" ca="1" si="277"/>
        <v>6</v>
      </c>
      <c r="AD82" s="1">
        <f ca="1">INDEX(INDIRECT("'"&amp;$A82&amp;"'!$A$1:$W$30"),MATCH('All Positional Stats'!$A$77,INDIRECT("'"&amp;$A82&amp;"'!$A$1:$A$30"),0),MATCH('All Positional Stats'!AD$76,INDIRECT("'"&amp;$A82&amp;"'!$A$1:$W$1"),0))</f>
        <v>14.1</v>
      </c>
      <c r="AE82" s="1">
        <f t="shared" ca="1" si="277"/>
        <v>3</v>
      </c>
      <c r="AF82" s="1">
        <f ca="1">INDEX(INDIRECT("'"&amp;$A82&amp;"'!$A$1:$W$30"),MATCH('All Positional Stats'!$A$77,INDIRECT("'"&amp;$A82&amp;"'!$A$1:$A$30"),0),MATCH('All Positional Stats'!AF$76,INDIRECT("'"&amp;$A82&amp;"'!$A$1:$W$1"),0))</f>
        <v>1.7</v>
      </c>
      <c r="AG82" s="1">
        <f t="shared" ca="1" si="277"/>
        <v>11</v>
      </c>
      <c r="AH82" s="1">
        <f ca="1">INDEX(INDIRECT("'"&amp;$A82&amp;"'!$A$1:$W$30"),MATCH('All Positional Stats'!$A$77,INDIRECT("'"&amp;$A82&amp;"'!$A$1:$A$30"),0),MATCH('All Positional Stats'!AH$76,INDIRECT("'"&amp;$A82&amp;"'!$A$1:$W$1"),0))</f>
        <v>0</v>
      </c>
      <c r="AI82" s="1">
        <f ca="1">INDEX(INDIRECT("'"&amp;$A82&amp;"'!$A$1:$W$30"),MATCH('All Positional Stats'!$A$77,INDIRECT("'"&amp;$A82&amp;"'!$A$1:$A$30"),0),MATCH('All Positional Stats'!AI$76,INDIRECT("'"&amp;$A82&amp;"'!$A$1:$W$1"),0))</f>
        <v>19.399999999999999</v>
      </c>
      <c r="AJ82" s="7">
        <f ca="1">INDEX(INDIRECT("'"&amp;$A82&amp;"'!$A$1:$W$30"),MATCH('All Positional Stats'!$A$77,INDIRECT("'"&amp;$A82&amp;"'!$A$1:$A$30"),0),MATCH('All Positional Stats'!AJ$76,INDIRECT("'"&amp;$A82&amp;"'!$A$1:$W$1"),0))</f>
        <v>8.5812499999999989</v>
      </c>
      <c r="AK82" s="7">
        <f ca="1">INDEX(INDIRECT("'"&amp;$A82&amp;"'!$A$1:$W$30"),MATCH('All Positional Stats'!$A$77,INDIRECT("'"&amp;$A82&amp;"'!$A$1:$A$30"),0),MATCH('All Positional Stats'!AK$76,INDIRECT("'"&amp;$A82&amp;"'!$A$1:$W$1"),0))</f>
        <v>6.2122076138438924</v>
      </c>
      <c r="AL82" s="7">
        <f ca="1">INDEX(INDIRECT("'"&amp;$A82&amp;"'!$A$1:$W$30"),MATCH('All Positional Stats'!$A$77,INDIRECT("'"&amp;$A82&amp;"'!$A$1:$A$30"),0),MATCH('All Positional Stats'!AL$76,INDIRECT("'"&amp;$A82&amp;"'!$A$1:$W$1"),0))</f>
        <v>137.29999999999998</v>
      </c>
      <c r="AM82" s="6">
        <f ca="1">INDEX(INDIRECT("'"&amp;$A82&amp;"'!$A$1:$W$30"),MATCH('All Positional Stats'!$A$77,INDIRECT("'"&amp;$A82&amp;"'!$A$1:$A$30"),0),MATCH('All Positional Stats'!AM$76,INDIRECT("'"&amp;$A82&amp;"'!$A$1:$W$1"),0))</f>
        <v>8.964481587881952E-2</v>
      </c>
      <c r="AN82" s="9">
        <f t="shared" ca="1" si="275"/>
        <v>114.1</v>
      </c>
      <c r="AO82" s="8">
        <f t="shared" ca="1" si="276"/>
        <v>4</v>
      </c>
    </row>
    <row r="83" spans="1:41" ht="16.25" thickTop="1" thickBot="1" x14ac:dyDescent="0.9">
      <c r="A83" s="1" t="s">
        <v>6</v>
      </c>
      <c r="B83" s="1">
        <f ca="1">INDEX(INDIRECT("'"&amp;$A83&amp;"'!$A$1:$W$30"),MATCH('All Positional Stats'!$A$77,INDIRECT("'"&amp;$A83&amp;"'!$A$1:$A$30"),0),MATCH('All Positional Stats'!B$76,INDIRECT("'"&amp;$A83&amp;"'!$A$1:$W$1"),0))</f>
        <v>1.9</v>
      </c>
      <c r="C83" s="1">
        <f t="shared" ca="1" si="274"/>
        <v>10</v>
      </c>
      <c r="D83" s="1">
        <f ca="1">INDEX(INDIRECT("'"&amp;$A83&amp;"'!$A$1:$W$30"),MATCH('All Positional Stats'!$A$77,INDIRECT("'"&amp;$A83&amp;"'!$A$1:$A$30"),0),MATCH('All Positional Stats'!D$76,INDIRECT("'"&amp;$A83&amp;"'!$A$1:$W$1"),0))</f>
        <v>12.7</v>
      </c>
      <c r="E83" s="1">
        <f t="shared" ca="1" si="277"/>
        <v>3</v>
      </c>
      <c r="F83" s="1">
        <f ca="1">INDEX(INDIRECT("'"&amp;$A83&amp;"'!$A$1:$W$30"),MATCH('All Positional Stats'!$A$77,INDIRECT("'"&amp;$A83&amp;"'!$A$1:$A$30"),0),MATCH('All Positional Stats'!F$76,INDIRECT("'"&amp;$A83&amp;"'!$A$1:$W$1"),0))</f>
        <v>1.9</v>
      </c>
      <c r="G83" s="1">
        <f t="shared" ca="1" si="277"/>
        <v>7</v>
      </c>
      <c r="H83" s="1">
        <f ca="1">INDEX(INDIRECT("'"&amp;$A83&amp;"'!$A$1:$W$30"),MATCH('All Positional Stats'!$A$77,INDIRECT("'"&amp;$A83&amp;"'!$A$1:$A$30"),0),MATCH('All Positional Stats'!H$76,INDIRECT("'"&amp;$A83&amp;"'!$A$1:$W$1"),0))</f>
        <v>3.7</v>
      </c>
      <c r="I83" s="1">
        <f t="shared" ca="1" si="277"/>
        <v>10</v>
      </c>
      <c r="J83" s="1">
        <f ca="1">INDEX(INDIRECT("'"&amp;$A83&amp;"'!$A$1:$W$30"),MATCH('All Positional Stats'!$A$77,INDIRECT("'"&amp;$A83&amp;"'!$A$1:$A$30"),0),MATCH('All Positional Stats'!J$76,INDIRECT("'"&amp;$A83&amp;"'!$A$1:$W$1"),0))</f>
        <v>1.1000000000000001</v>
      </c>
      <c r="K83" s="1">
        <f t="shared" ca="1" si="277"/>
        <v>11</v>
      </c>
      <c r="L83" s="1">
        <f ca="1">INDEX(INDIRECT("'"&amp;$A83&amp;"'!$A$1:$W$30"),MATCH('All Positional Stats'!$A$77,INDIRECT("'"&amp;$A83&amp;"'!$A$1:$A$30"),0),MATCH('All Positional Stats'!L$76,INDIRECT("'"&amp;$A83&amp;"'!$A$1:$W$1"),0))</f>
        <v>5.6</v>
      </c>
      <c r="M83" s="1">
        <f t="shared" ca="1" si="277"/>
        <v>9</v>
      </c>
      <c r="N83" s="1">
        <f ca="1">INDEX(INDIRECT("'"&amp;$A83&amp;"'!$A$1:$W$30"),MATCH('All Positional Stats'!$A$77,INDIRECT("'"&amp;$A83&amp;"'!$A$1:$A$30"),0),MATCH('All Positional Stats'!N$76,INDIRECT("'"&amp;$A83&amp;"'!$A$1:$W$1"),0))</f>
        <v>3.3</v>
      </c>
      <c r="O83" s="1">
        <f t="shared" ca="1" si="277"/>
        <v>11</v>
      </c>
      <c r="P83" s="1">
        <f ca="1">INDEX(INDIRECT("'"&amp;$A83&amp;"'!$A$1:$W$30"),MATCH('All Positional Stats'!$A$77,INDIRECT("'"&amp;$A83&amp;"'!$A$1:$A$30"),0),MATCH('All Positional Stats'!P$76,INDIRECT("'"&amp;$A83&amp;"'!$A$1:$W$1"),0))</f>
        <v>4.4000000000000004</v>
      </c>
      <c r="Q83" s="1">
        <f t="shared" ca="1" si="277"/>
        <v>7</v>
      </c>
      <c r="R83" s="1">
        <f ca="1">INDEX(INDIRECT("'"&amp;$A83&amp;"'!$A$1:$W$30"),MATCH('All Positional Stats'!$A$77,INDIRECT("'"&amp;$A83&amp;"'!$A$1:$A$30"),0),MATCH('All Positional Stats'!R$76,INDIRECT("'"&amp;$A83&amp;"'!$A$1:$W$1"),0))</f>
        <v>0</v>
      </c>
      <c r="S83" s="1">
        <f t="shared" ca="1" si="277"/>
        <v>11</v>
      </c>
      <c r="T83" s="1">
        <f ca="1">INDEX(INDIRECT("'"&amp;$A83&amp;"'!$A$1:$W$30"),MATCH('All Positional Stats'!$A$77,INDIRECT("'"&amp;$A83&amp;"'!$A$1:$A$30"),0),MATCH('All Positional Stats'!T$76,INDIRECT("'"&amp;$A83&amp;"'!$A$1:$W$1"),0))</f>
        <v>10.8</v>
      </c>
      <c r="U83" s="1">
        <f t="shared" ca="1" si="277"/>
        <v>5</v>
      </c>
      <c r="V83" s="1">
        <f ca="1">INDEX(INDIRECT("'"&amp;$A83&amp;"'!$A$1:$W$30"),MATCH('All Positional Stats'!$A$77,INDIRECT("'"&amp;$A83&amp;"'!$A$1:$A$30"),0),MATCH('All Positional Stats'!V$76,INDIRECT("'"&amp;$A83&amp;"'!$A$1:$W$1"),0))</f>
        <v>4.2</v>
      </c>
      <c r="W83" s="1">
        <f t="shared" ca="1" si="277"/>
        <v>9</v>
      </c>
      <c r="X83" s="1">
        <f ca="1">INDEX(INDIRECT("'"&amp;$A83&amp;"'!$A$1:$W$30"),MATCH('All Positional Stats'!$A$77,INDIRECT("'"&amp;$A83&amp;"'!$A$1:$A$30"),0),MATCH('All Positional Stats'!X$76,INDIRECT("'"&amp;$A83&amp;"'!$A$1:$W$1"),0))</f>
        <v>8</v>
      </c>
      <c r="Y83" s="1">
        <f t="shared" ca="1" si="277"/>
        <v>6</v>
      </c>
      <c r="Z83" s="1">
        <f ca="1">INDEX(INDIRECT("'"&amp;$A83&amp;"'!$A$1:$W$30"),MATCH('All Positional Stats'!$A$77,INDIRECT("'"&amp;$A83&amp;"'!$A$1:$A$30"),0),MATCH('All Positional Stats'!Z$76,INDIRECT("'"&amp;$A83&amp;"'!$A$1:$W$1"),0))</f>
        <v>3.5</v>
      </c>
      <c r="AA83" s="1">
        <f t="shared" ca="1" si="277"/>
        <v>8</v>
      </c>
      <c r="AB83" s="1">
        <f ca="1">INDEX(INDIRECT("'"&amp;$A83&amp;"'!$A$1:$W$30"),MATCH('All Positional Stats'!$A$77,INDIRECT("'"&amp;$A83&amp;"'!$A$1:$A$30"),0),MATCH('All Positional Stats'!AB$76,INDIRECT("'"&amp;$A83&amp;"'!$A$1:$W$1"),0))</f>
        <v>1.6</v>
      </c>
      <c r="AC83" s="1">
        <f t="shared" ca="1" si="277"/>
        <v>9</v>
      </c>
      <c r="AD83" s="1">
        <f ca="1">INDEX(INDIRECT("'"&amp;$A83&amp;"'!$A$1:$W$30"),MATCH('All Positional Stats'!$A$77,INDIRECT("'"&amp;$A83&amp;"'!$A$1:$A$30"),0),MATCH('All Positional Stats'!AD$76,INDIRECT("'"&amp;$A83&amp;"'!$A$1:$W$1"),0))</f>
        <v>9.3000000000000007</v>
      </c>
      <c r="AE83" s="1">
        <f t="shared" ca="1" si="277"/>
        <v>5</v>
      </c>
      <c r="AF83" s="1">
        <f ca="1">INDEX(INDIRECT("'"&amp;$A83&amp;"'!$A$1:$W$30"),MATCH('All Positional Stats'!$A$77,INDIRECT("'"&amp;$A83&amp;"'!$A$1:$A$30"),0),MATCH('All Positional Stats'!AF$76,INDIRECT("'"&amp;$A83&amp;"'!$A$1:$W$1"),0))</f>
        <v>5.7</v>
      </c>
      <c r="AG83" s="1">
        <f t="shared" ca="1" si="277"/>
        <v>7</v>
      </c>
      <c r="AH83" s="1">
        <f ca="1">INDEX(INDIRECT("'"&amp;$A83&amp;"'!$A$1:$W$30"),MATCH('All Positional Stats'!$A$77,INDIRECT("'"&amp;$A83&amp;"'!$A$1:$A$30"),0),MATCH('All Positional Stats'!AH$76,INDIRECT("'"&amp;$A83&amp;"'!$A$1:$W$1"),0))</f>
        <v>0</v>
      </c>
      <c r="AI83" s="1">
        <f ca="1">INDEX(INDIRECT("'"&amp;$A83&amp;"'!$A$1:$W$30"),MATCH('All Positional Stats'!$A$77,INDIRECT("'"&amp;$A83&amp;"'!$A$1:$A$30"),0),MATCH('All Positional Stats'!AI$76,INDIRECT("'"&amp;$A83&amp;"'!$A$1:$W$1"),0))</f>
        <v>12.7</v>
      </c>
      <c r="AJ83" s="7">
        <f ca="1">INDEX(INDIRECT("'"&amp;$A83&amp;"'!$A$1:$W$30"),MATCH('All Positional Stats'!$A$77,INDIRECT("'"&amp;$A83&amp;"'!$A$1:$A$30"),0),MATCH('All Positional Stats'!AJ$76,INDIRECT("'"&amp;$A83&amp;"'!$A$1:$W$1"),0))</f>
        <v>4.8562500000000011</v>
      </c>
      <c r="AK83" s="7">
        <f ca="1">INDEX(INDIRECT("'"&amp;$A83&amp;"'!$A$1:$W$30"),MATCH('All Positional Stats'!$A$77,INDIRECT("'"&amp;$A83&amp;"'!$A$1:$A$30"),0),MATCH('All Positional Stats'!AK$76,INDIRECT("'"&amp;$A83&amp;"'!$A$1:$W$1"),0))</f>
        <v>3.5334064212173488</v>
      </c>
      <c r="AL83" s="7">
        <f ca="1">INDEX(INDIRECT("'"&amp;$A83&amp;"'!$A$1:$W$30"),MATCH('All Positional Stats'!$A$77,INDIRECT("'"&amp;$A83&amp;"'!$A$1:$A$30"),0),MATCH('All Positional Stats'!AL$76,INDIRECT("'"&amp;$A83&amp;"'!$A$1:$W$1"),0))</f>
        <v>77.700000000000017</v>
      </c>
      <c r="AM83" s="6">
        <f ca="1">INDEX(INDIRECT("'"&amp;$A83&amp;"'!$A$1:$W$30"),MATCH('All Positional Stats'!$A$77,INDIRECT("'"&amp;$A83&amp;"'!$A$1:$A$30"),0),MATCH('All Positional Stats'!AM$76,INDIRECT("'"&amp;$A83&amp;"'!$A$1:$W$1"),0))</f>
        <v>4.9383500699122909E-2</v>
      </c>
      <c r="AN83" s="9">
        <f t="shared" ca="1" si="275"/>
        <v>61.100000000000009</v>
      </c>
      <c r="AO83" s="8">
        <f t="shared" ca="1" si="276"/>
        <v>11</v>
      </c>
    </row>
    <row r="84" spans="1:41" ht="16.25" thickTop="1" thickBot="1" x14ac:dyDescent="0.9">
      <c r="A84" s="1" t="s">
        <v>7</v>
      </c>
      <c r="B84" s="1">
        <f ca="1">INDEX(INDIRECT("'"&amp;$A84&amp;"'!$A$1:$W$30"),MATCH('All Positional Stats'!$A$77,INDIRECT("'"&amp;$A84&amp;"'!$A$1:$A$30"),0),MATCH('All Positional Stats'!B$76,INDIRECT("'"&amp;$A84&amp;"'!$A$1:$W$1"),0))</f>
        <v>13.3</v>
      </c>
      <c r="C84" s="1">
        <f t="shared" ca="1" si="274"/>
        <v>1</v>
      </c>
      <c r="D84" s="1">
        <f ca="1">INDEX(INDIRECT("'"&amp;$A84&amp;"'!$A$1:$W$30"),MATCH('All Positional Stats'!$A$77,INDIRECT("'"&amp;$A84&amp;"'!$A$1:$A$30"),0),MATCH('All Positional Stats'!D$76,INDIRECT("'"&amp;$A84&amp;"'!$A$1:$W$1"),0))</f>
        <v>12.2</v>
      </c>
      <c r="E84" s="1">
        <f t="shared" ca="1" si="277"/>
        <v>4</v>
      </c>
      <c r="F84" s="1">
        <f ca="1">INDEX(INDIRECT("'"&amp;$A84&amp;"'!$A$1:$W$30"),MATCH('All Positional Stats'!$A$77,INDIRECT("'"&amp;$A84&amp;"'!$A$1:$A$30"),0),MATCH('All Positional Stats'!F$76,INDIRECT("'"&amp;$A84&amp;"'!$A$1:$W$1"),0))</f>
        <v>13.5</v>
      </c>
      <c r="G84" s="1">
        <f t="shared" ca="1" si="277"/>
        <v>2</v>
      </c>
      <c r="H84" s="1">
        <f ca="1">INDEX(INDIRECT("'"&amp;$A84&amp;"'!$A$1:$W$30"),MATCH('All Positional Stats'!$A$77,INDIRECT("'"&amp;$A84&amp;"'!$A$1:$A$30"),0),MATCH('All Positional Stats'!H$76,INDIRECT("'"&amp;$A84&amp;"'!$A$1:$W$1"),0))</f>
        <v>10.6</v>
      </c>
      <c r="I84" s="1">
        <f t="shared" ca="1" si="277"/>
        <v>3</v>
      </c>
      <c r="J84" s="1">
        <f ca="1">INDEX(INDIRECT("'"&amp;$A84&amp;"'!$A$1:$W$30"),MATCH('All Positional Stats'!$A$77,INDIRECT("'"&amp;$A84&amp;"'!$A$1:$A$30"),0),MATCH('All Positional Stats'!J$76,INDIRECT("'"&amp;$A84&amp;"'!$A$1:$W$1"),0))</f>
        <v>15.1</v>
      </c>
      <c r="K84" s="1">
        <f t="shared" ca="1" si="277"/>
        <v>1</v>
      </c>
      <c r="L84" s="1">
        <f ca="1">INDEX(INDIRECT("'"&amp;$A84&amp;"'!$A$1:$W$30"),MATCH('All Positional Stats'!$A$77,INDIRECT("'"&amp;$A84&amp;"'!$A$1:$A$30"),0),MATCH('All Positional Stats'!L$76,INDIRECT("'"&amp;$A84&amp;"'!$A$1:$W$1"),0))</f>
        <v>12.6</v>
      </c>
      <c r="M84" s="1">
        <f t="shared" ca="1" si="277"/>
        <v>4</v>
      </c>
      <c r="N84" s="1">
        <f ca="1">INDEX(INDIRECT("'"&amp;$A84&amp;"'!$A$1:$W$30"),MATCH('All Positional Stats'!$A$77,INDIRECT("'"&amp;$A84&amp;"'!$A$1:$A$30"),0),MATCH('All Positional Stats'!N$76,INDIRECT("'"&amp;$A84&amp;"'!$A$1:$W$1"),0))</f>
        <v>9.6</v>
      </c>
      <c r="O84" s="1">
        <f t="shared" ca="1" si="277"/>
        <v>6</v>
      </c>
      <c r="P84" s="1">
        <f ca="1">INDEX(INDIRECT("'"&amp;$A84&amp;"'!$A$1:$W$30"),MATCH('All Positional Stats'!$A$77,INDIRECT("'"&amp;$A84&amp;"'!$A$1:$A$30"),0),MATCH('All Positional Stats'!P$76,INDIRECT("'"&amp;$A84&amp;"'!$A$1:$W$1"),0))</f>
        <v>5.3</v>
      </c>
      <c r="Q84" s="1">
        <f t="shared" ca="1" si="277"/>
        <v>6</v>
      </c>
      <c r="R84" s="1">
        <f ca="1">INDEX(INDIRECT("'"&amp;$A84&amp;"'!$A$1:$W$30"),MATCH('All Positional Stats'!$A$77,INDIRECT("'"&amp;$A84&amp;"'!$A$1:$A$30"),0),MATCH('All Positional Stats'!R$76,INDIRECT("'"&amp;$A84&amp;"'!$A$1:$W$1"),0))</f>
        <v>3</v>
      </c>
      <c r="S84" s="1">
        <f t="shared" ca="1" si="277"/>
        <v>9</v>
      </c>
      <c r="T84" s="1">
        <f ca="1">INDEX(INDIRECT("'"&amp;$A84&amp;"'!$A$1:$W$30"),MATCH('All Positional Stats'!$A$77,INDIRECT("'"&amp;$A84&amp;"'!$A$1:$A$30"),0),MATCH('All Positional Stats'!T$76,INDIRECT("'"&amp;$A84&amp;"'!$A$1:$W$1"),0))</f>
        <v>1.2</v>
      </c>
      <c r="U84" s="1">
        <f t="shared" ca="1" si="277"/>
        <v>10</v>
      </c>
      <c r="V84" s="1">
        <f ca="1">INDEX(INDIRECT("'"&amp;$A84&amp;"'!$A$1:$W$30"),MATCH('All Positional Stats'!$A$77,INDIRECT("'"&amp;$A84&amp;"'!$A$1:$A$30"),0),MATCH('All Positional Stats'!V$76,INDIRECT("'"&amp;$A84&amp;"'!$A$1:$W$1"),0))</f>
        <v>1.7</v>
      </c>
      <c r="W84" s="1">
        <f t="shared" ca="1" si="277"/>
        <v>11</v>
      </c>
      <c r="X84" s="1">
        <f ca="1">INDEX(INDIRECT("'"&amp;$A84&amp;"'!$A$1:$W$30"),MATCH('All Positional Stats'!$A$77,INDIRECT("'"&amp;$A84&amp;"'!$A$1:$A$30"),0),MATCH('All Positional Stats'!X$76,INDIRECT("'"&amp;$A84&amp;"'!$A$1:$W$1"),0))</f>
        <v>1.5</v>
      </c>
      <c r="Y84" s="1">
        <f t="shared" ca="1" si="277"/>
        <v>9</v>
      </c>
      <c r="Z84" s="1">
        <f ca="1">INDEX(INDIRECT("'"&amp;$A84&amp;"'!$A$1:$W$30"),MATCH('All Positional Stats'!$A$77,INDIRECT("'"&amp;$A84&amp;"'!$A$1:$A$30"),0),MATCH('All Positional Stats'!Z$76,INDIRECT("'"&amp;$A84&amp;"'!$A$1:$W$1"),0))</f>
        <v>11.6</v>
      </c>
      <c r="AA84" s="1">
        <f t="shared" ca="1" si="277"/>
        <v>5</v>
      </c>
      <c r="AB84" s="1">
        <f ca="1">INDEX(INDIRECT("'"&amp;$A84&amp;"'!$A$1:$W$30"),MATCH('All Positional Stats'!$A$77,INDIRECT("'"&amp;$A84&amp;"'!$A$1:$A$30"),0),MATCH('All Positional Stats'!AB$76,INDIRECT("'"&amp;$A84&amp;"'!$A$1:$W$1"),0))</f>
        <v>13</v>
      </c>
      <c r="AC84" s="1">
        <f t="shared" ca="1" si="277"/>
        <v>2</v>
      </c>
      <c r="AD84" s="1">
        <f ca="1">INDEX(INDIRECT("'"&amp;$A84&amp;"'!$A$1:$W$30"),MATCH('All Positional Stats'!$A$77,INDIRECT("'"&amp;$A84&amp;"'!$A$1:$A$30"),0),MATCH('All Positional Stats'!AD$76,INDIRECT("'"&amp;$A84&amp;"'!$A$1:$W$1"),0))</f>
        <v>4.3</v>
      </c>
      <c r="AE84" s="1">
        <f t="shared" ca="1" si="277"/>
        <v>8</v>
      </c>
      <c r="AF84" s="1">
        <f ca="1">INDEX(INDIRECT("'"&amp;$A84&amp;"'!$A$1:$W$30"),MATCH('All Positional Stats'!$A$77,INDIRECT("'"&amp;$A84&amp;"'!$A$1:$A$30"),0),MATCH('All Positional Stats'!AF$76,INDIRECT("'"&amp;$A84&amp;"'!$A$1:$W$1"),0))</f>
        <v>17.100000000000001</v>
      </c>
      <c r="AG84" s="1">
        <f t="shared" ca="1" si="277"/>
        <v>1</v>
      </c>
      <c r="AH84" s="1">
        <f ca="1">INDEX(INDIRECT("'"&amp;$A84&amp;"'!$A$1:$W$30"),MATCH('All Positional Stats'!$A$77,INDIRECT("'"&amp;$A84&amp;"'!$A$1:$A$30"),0),MATCH('All Positional Stats'!AH$76,INDIRECT("'"&amp;$A84&amp;"'!$A$1:$W$1"),0))</f>
        <v>1.2</v>
      </c>
      <c r="AI84" s="1">
        <f ca="1">INDEX(INDIRECT("'"&amp;$A84&amp;"'!$A$1:$W$30"),MATCH('All Positional Stats'!$A$77,INDIRECT("'"&amp;$A84&amp;"'!$A$1:$A$30"),0),MATCH('All Positional Stats'!AI$76,INDIRECT("'"&amp;$A84&amp;"'!$A$1:$W$1"),0))</f>
        <v>17.100000000000001</v>
      </c>
      <c r="AJ84" s="7">
        <f ca="1">INDEX(INDIRECT("'"&amp;$A84&amp;"'!$A$1:$W$30"),MATCH('All Positional Stats'!$A$77,INDIRECT("'"&amp;$A84&amp;"'!$A$1:$A$30"),0),MATCH('All Positional Stats'!AJ$76,INDIRECT("'"&amp;$A84&amp;"'!$A$1:$W$1"),0))</f>
        <v>9.1</v>
      </c>
      <c r="AK84" s="7">
        <f ca="1">INDEX(INDIRECT("'"&amp;$A84&amp;"'!$A$1:$W$30"),MATCH('All Positional Stats'!$A$77,INDIRECT("'"&amp;$A84&amp;"'!$A$1:$A$30"),0),MATCH('All Positional Stats'!AK$76,INDIRECT("'"&amp;$A84&amp;"'!$A$1:$W$1"),0))</f>
        <v>5.1987979379852813</v>
      </c>
      <c r="AL84" s="7">
        <f ca="1">INDEX(INDIRECT("'"&amp;$A84&amp;"'!$A$1:$W$30"),MATCH('All Positional Stats'!$A$77,INDIRECT("'"&amp;$A84&amp;"'!$A$1:$A$30"),0),MATCH('All Positional Stats'!AL$76,INDIRECT("'"&amp;$A84&amp;"'!$A$1:$W$1"),0))</f>
        <v>145.6</v>
      </c>
      <c r="AM84" s="6">
        <f ca="1">INDEX(INDIRECT("'"&amp;$A84&amp;"'!$A$1:$W$30"),MATCH('All Positional Stats'!$A$77,INDIRECT("'"&amp;$A84&amp;"'!$A$1:$A$30"),0),MATCH('All Positional Stats'!AM$76,INDIRECT("'"&amp;$A84&amp;"'!$A$1:$W$1"),0))</f>
        <v>9.6905158069883521E-2</v>
      </c>
      <c r="AN84" s="9">
        <f t="shared" ca="1" si="275"/>
        <v>111.19999999999999</v>
      </c>
      <c r="AO84" s="8">
        <f t="shared" ca="1" si="276"/>
        <v>5</v>
      </c>
    </row>
    <row r="85" spans="1:41" ht="16.25" thickTop="1" thickBot="1" x14ac:dyDescent="0.9">
      <c r="A85" s="1" t="s">
        <v>8</v>
      </c>
      <c r="B85" s="1">
        <f ca="1">INDEX(INDIRECT("'"&amp;$A85&amp;"'!$A$1:$W$30"),MATCH('All Positional Stats'!$A$77,INDIRECT("'"&amp;$A85&amp;"'!$A$1:$A$30"),0),MATCH('All Positional Stats'!B$76,INDIRECT("'"&amp;$A85&amp;"'!$A$1:$W$1"),0))</f>
        <v>10.1</v>
      </c>
      <c r="C85" s="1">
        <f t="shared" ca="1" si="274"/>
        <v>3</v>
      </c>
      <c r="D85" s="1">
        <f ca="1">INDEX(INDIRECT("'"&amp;$A85&amp;"'!$A$1:$W$30"),MATCH('All Positional Stats'!$A$77,INDIRECT("'"&amp;$A85&amp;"'!$A$1:$A$30"),0),MATCH('All Positional Stats'!D$76,INDIRECT("'"&amp;$A85&amp;"'!$A$1:$W$1"),0))</f>
        <v>6.5</v>
      </c>
      <c r="E85" s="1">
        <f t="shared" ca="1" si="277"/>
        <v>7</v>
      </c>
      <c r="F85" s="1">
        <f ca="1">INDEX(INDIRECT("'"&amp;$A85&amp;"'!$A$1:$W$30"),MATCH('All Positional Stats'!$A$77,INDIRECT("'"&amp;$A85&amp;"'!$A$1:$A$30"),0),MATCH('All Positional Stats'!F$76,INDIRECT("'"&amp;$A85&amp;"'!$A$1:$W$1"),0))</f>
        <v>0.8</v>
      </c>
      <c r="G85" s="1">
        <f t="shared" ca="1" si="277"/>
        <v>8</v>
      </c>
      <c r="H85" s="1">
        <f ca="1">INDEX(INDIRECT("'"&amp;$A85&amp;"'!$A$1:$W$30"),MATCH('All Positional Stats'!$A$77,INDIRECT("'"&amp;$A85&amp;"'!$A$1:$A$30"),0),MATCH('All Positional Stats'!H$76,INDIRECT("'"&amp;$A85&amp;"'!$A$1:$W$1"),0))</f>
        <v>1.4</v>
      </c>
      <c r="I85" s="1">
        <f t="shared" ca="1" si="277"/>
        <v>12</v>
      </c>
      <c r="J85" s="1">
        <f ca="1">INDEX(INDIRECT("'"&amp;$A85&amp;"'!$A$1:$W$30"),MATCH('All Positional Stats'!$A$77,INDIRECT("'"&amp;$A85&amp;"'!$A$1:$A$30"),0),MATCH('All Positional Stats'!J$76,INDIRECT("'"&amp;$A85&amp;"'!$A$1:$W$1"),0))</f>
        <v>8.1</v>
      </c>
      <c r="K85" s="1">
        <f t="shared" ca="1" si="277"/>
        <v>5</v>
      </c>
      <c r="L85" s="1">
        <f ca="1">INDEX(INDIRECT("'"&amp;$A85&amp;"'!$A$1:$W$30"),MATCH('All Positional Stats'!$A$77,INDIRECT("'"&amp;$A85&amp;"'!$A$1:$A$30"),0),MATCH('All Positional Stats'!L$76,INDIRECT("'"&amp;$A85&amp;"'!$A$1:$W$1"),0))</f>
        <v>7.2</v>
      </c>
      <c r="M85" s="1">
        <f t="shared" ca="1" si="277"/>
        <v>6</v>
      </c>
      <c r="N85" s="1">
        <f ca="1">INDEX(INDIRECT("'"&amp;$A85&amp;"'!$A$1:$W$30"),MATCH('All Positional Stats'!$A$77,INDIRECT("'"&amp;$A85&amp;"'!$A$1:$A$30"),0),MATCH('All Positional Stats'!N$76,INDIRECT("'"&amp;$A85&amp;"'!$A$1:$W$1"),0))</f>
        <v>6.8</v>
      </c>
      <c r="O85" s="1">
        <f t="shared" ca="1" si="277"/>
        <v>8</v>
      </c>
      <c r="P85" s="1">
        <f ca="1">INDEX(INDIRECT("'"&amp;$A85&amp;"'!$A$1:$W$30"),MATCH('All Positional Stats'!$A$77,INDIRECT("'"&amp;$A85&amp;"'!$A$1:$A$30"),0),MATCH('All Positional Stats'!P$76,INDIRECT("'"&amp;$A85&amp;"'!$A$1:$W$1"),0))</f>
        <v>11.7</v>
      </c>
      <c r="Q85" s="1">
        <f t="shared" ca="1" si="277"/>
        <v>4</v>
      </c>
      <c r="R85" s="1">
        <f ca="1">INDEX(INDIRECT("'"&amp;$A85&amp;"'!$A$1:$W$30"),MATCH('All Positional Stats'!$A$77,INDIRECT("'"&amp;$A85&amp;"'!$A$1:$A$30"),0),MATCH('All Positional Stats'!R$76,INDIRECT("'"&amp;$A85&amp;"'!$A$1:$W$1"),0))</f>
        <v>1</v>
      </c>
      <c r="S85" s="1">
        <f t="shared" ca="1" si="277"/>
        <v>10</v>
      </c>
      <c r="T85" s="1">
        <f ca="1">INDEX(INDIRECT("'"&amp;$A85&amp;"'!$A$1:$W$30"),MATCH('All Positional Stats'!$A$77,INDIRECT("'"&amp;$A85&amp;"'!$A$1:$A$30"),0),MATCH('All Positional Stats'!T$76,INDIRECT("'"&amp;$A85&amp;"'!$A$1:$W$1"),0))</f>
        <v>6.2</v>
      </c>
      <c r="U85" s="1">
        <f t="shared" ca="1" si="277"/>
        <v>8</v>
      </c>
      <c r="V85" s="1">
        <f ca="1">INDEX(INDIRECT("'"&amp;$A85&amp;"'!$A$1:$W$30"),MATCH('All Positional Stats'!$A$77,INDIRECT("'"&amp;$A85&amp;"'!$A$1:$A$30"),0),MATCH('All Positional Stats'!V$76,INDIRECT("'"&amp;$A85&amp;"'!$A$1:$W$1"),0))</f>
        <v>8.3000000000000007</v>
      </c>
      <c r="W85" s="1">
        <f t="shared" ca="1" si="277"/>
        <v>5</v>
      </c>
      <c r="X85" s="1">
        <f ca="1">INDEX(INDIRECT("'"&amp;$A85&amp;"'!$A$1:$W$30"),MATCH('All Positional Stats'!$A$77,INDIRECT("'"&amp;$A85&amp;"'!$A$1:$A$30"),0),MATCH('All Positional Stats'!X$76,INDIRECT("'"&amp;$A85&amp;"'!$A$1:$W$1"),0))</f>
        <v>20.3</v>
      </c>
      <c r="Y85" s="1">
        <f t="shared" ca="1" si="277"/>
        <v>3</v>
      </c>
      <c r="Z85" s="1">
        <f ca="1">INDEX(INDIRECT("'"&amp;$A85&amp;"'!$A$1:$W$30"),MATCH('All Positional Stats'!$A$77,INDIRECT("'"&amp;$A85&amp;"'!$A$1:$A$30"),0),MATCH('All Positional Stats'!Z$76,INDIRECT("'"&amp;$A85&amp;"'!$A$1:$W$1"),0))</f>
        <v>11.6</v>
      </c>
      <c r="AA85" s="1">
        <f t="shared" ca="1" si="277"/>
        <v>5</v>
      </c>
      <c r="AB85" s="1">
        <f ca="1">INDEX(INDIRECT("'"&amp;$A85&amp;"'!$A$1:$W$30"),MATCH('All Positional Stats'!$A$77,INDIRECT("'"&amp;$A85&amp;"'!$A$1:$A$30"),0),MATCH('All Positional Stats'!AB$76,INDIRECT("'"&amp;$A85&amp;"'!$A$1:$W$1"),0))</f>
        <v>11.6</v>
      </c>
      <c r="AC85" s="1">
        <f t="shared" ca="1" si="277"/>
        <v>3</v>
      </c>
      <c r="AD85" s="1">
        <f ca="1">INDEX(INDIRECT("'"&amp;$A85&amp;"'!$A$1:$W$30"),MATCH('All Positional Stats'!$A$77,INDIRECT("'"&amp;$A85&amp;"'!$A$1:$A$30"),0),MATCH('All Positional Stats'!AD$76,INDIRECT("'"&amp;$A85&amp;"'!$A$1:$W$1"),0))</f>
        <v>6.7</v>
      </c>
      <c r="AE85" s="1">
        <f t="shared" ca="1" si="277"/>
        <v>7</v>
      </c>
      <c r="AF85" s="1">
        <f ca="1">INDEX(INDIRECT("'"&amp;$A85&amp;"'!$A$1:$W$30"),MATCH('All Positional Stats'!$A$77,INDIRECT("'"&amp;$A85&amp;"'!$A$1:$A$30"),0),MATCH('All Positional Stats'!AF$76,INDIRECT("'"&amp;$A85&amp;"'!$A$1:$W$1"),0))</f>
        <v>1.1000000000000001</v>
      </c>
      <c r="AG85" s="1">
        <f t="shared" ca="1" si="277"/>
        <v>12</v>
      </c>
      <c r="AH85" s="1">
        <f ca="1">INDEX(INDIRECT("'"&amp;$A85&amp;"'!$A$1:$W$30"),MATCH('All Positional Stats'!$A$77,INDIRECT("'"&amp;$A85&amp;"'!$A$1:$A$30"),0),MATCH('All Positional Stats'!AH$76,INDIRECT("'"&amp;$A85&amp;"'!$A$1:$W$1"),0))</f>
        <v>0.8</v>
      </c>
      <c r="AI85" s="1">
        <f ca="1">INDEX(INDIRECT("'"&amp;$A85&amp;"'!$A$1:$W$30"),MATCH('All Positional Stats'!$A$77,INDIRECT("'"&amp;$A85&amp;"'!$A$1:$A$30"),0),MATCH('All Positional Stats'!AI$76,INDIRECT("'"&amp;$A85&amp;"'!$A$1:$W$1"),0))</f>
        <v>20.3</v>
      </c>
      <c r="AJ85" s="7">
        <f ca="1">INDEX(INDIRECT("'"&amp;$A85&amp;"'!$A$1:$W$30"),MATCH('All Positional Stats'!$A$77,INDIRECT("'"&amp;$A85&amp;"'!$A$1:$A$30"),0),MATCH('All Positional Stats'!AJ$76,INDIRECT("'"&amp;$A85&amp;"'!$A$1:$W$1"),0))</f>
        <v>7.4624999999999986</v>
      </c>
      <c r="AK85" s="7">
        <f ca="1">INDEX(INDIRECT("'"&amp;$A85&amp;"'!$A$1:$W$30"),MATCH('All Positional Stats'!$A$77,INDIRECT("'"&amp;$A85&amp;"'!$A$1:$A$30"),0),MATCH('All Positional Stats'!AK$76,INDIRECT("'"&amp;$A85&amp;"'!$A$1:$W$1"),0))</f>
        <v>4.9501104785651027</v>
      </c>
      <c r="AL85" s="7">
        <f ca="1">INDEX(INDIRECT("'"&amp;$A85&amp;"'!$A$1:$W$30"),MATCH('All Positional Stats'!$A$77,INDIRECT("'"&amp;$A85&amp;"'!$A$1:$A$30"),0),MATCH('All Positional Stats'!AL$76,INDIRECT("'"&amp;$A85&amp;"'!$A$1:$W$1"),0))</f>
        <v>119.39999999999998</v>
      </c>
      <c r="AM85" s="6">
        <f ca="1">INDEX(INDIRECT("'"&amp;$A85&amp;"'!$A$1:$W$30"),MATCH('All Positional Stats'!$A$77,INDIRECT("'"&amp;$A85&amp;"'!$A$1:$A$30"),0),MATCH('All Positional Stats'!AM$76,INDIRECT("'"&amp;$A85&amp;"'!$A$1:$W$1"),0))</f>
        <v>8.1373952157023074E-2</v>
      </c>
      <c r="AN85" s="9">
        <f t="shared" ca="1" si="275"/>
        <v>99.999999999999986</v>
      </c>
      <c r="AO85" s="8">
        <f t="shared" ca="1" si="276"/>
        <v>6</v>
      </c>
    </row>
    <row r="86" spans="1:41" ht="16.25" thickTop="1" thickBot="1" x14ac:dyDescent="0.9">
      <c r="A86" s="1" t="s">
        <v>9</v>
      </c>
      <c r="B86" s="1">
        <f ca="1">INDEX(INDIRECT("'"&amp;$A86&amp;"'!$A$1:$W$30"),MATCH('All Positional Stats'!$A$77,INDIRECT("'"&amp;$A86&amp;"'!$A$1:$A$30"),0),MATCH('All Positional Stats'!B$76,INDIRECT("'"&amp;$A86&amp;"'!$A$1:$W$1"),0))</f>
        <v>11.1</v>
      </c>
      <c r="C86" s="1">
        <f t="shared" ca="1" si="274"/>
        <v>2</v>
      </c>
      <c r="D86" s="1">
        <f ca="1">INDEX(INDIRECT("'"&amp;$A86&amp;"'!$A$1:$W$30"),MATCH('All Positional Stats'!$A$77,INDIRECT("'"&amp;$A86&amp;"'!$A$1:$A$30"),0),MATCH('All Positional Stats'!D$76,INDIRECT("'"&amp;$A86&amp;"'!$A$1:$W$1"),0))</f>
        <v>1.7</v>
      </c>
      <c r="E86" s="1">
        <f t="shared" ca="1" si="277"/>
        <v>10</v>
      </c>
      <c r="F86" s="1">
        <f ca="1">INDEX(INDIRECT("'"&amp;$A86&amp;"'!$A$1:$W$30"),MATCH('All Positional Stats'!$A$77,INDIRECT("'"&amp;$A86&amp;"'!$A$1:$A$30"),0),MATCH('All Positional Stats'!F$76,INDIRECT("'"&amp;$A86&amp;"'!$A$1:$W$1"),0))</f>
        <v>5.0999999999999996</v>
      </c>
      <c r="G86" s="1">
        <f t="shared" ca="1" si="277"/>
        <v>4</v>
      </c>
      <c r="H86" s="1">
        <f ca="1">INDEX(INDIRECT("'"&amp;$A86&amp;"'!$A$1:$W$30"),MATCH('All Positional Stats'!$A$77,INDIRECT("'"&amp;$A86&amp;"'!$A$1:$A$30"),0),MATCH('All Positional Stats'!H$76,INDIRECT("'"&amp;$A86&amp;"'!$A$1:$W$1"),0))</f>
        <v>5.5</v>
      </c>
      <c r="I86" s="1">
        <f t="shared" ca="1" si="277"/>
        <v>8</v>
      </c>
      <c r="J86" s="1">
        <f ca="1">INDEX(INDIRECT("'"&amp;$A86&amp;"'!$A$1:$W$30"),MATCH('All Positional Stats'!$A$77,INDIRECT("'"&amp;$A86&amp;"'!$A$1:$A$30"),0),MATCH('All Positional Stats'!J$76,INDIRECT("'"&amp;$A86&amp;"'!$A$1:$W$1"),0))</f>
        <v>4</v>
      </c>
      <c r="K86" s="1">
        <f t="shared" ca="1" si="277"/>
        <v>8</v>
      </c>
      <c r="L86" s="1">
        <f ca="1">INDEX(INDIRECT("'"&amp;$A86&amp;"'!$A$1:$W$30"),MATCH('All Positional Stats'!$A$77,INDIRECT("'"&amp;$A86&amp;"'!$A$1:$A$30"),0),MATCH('All Positional Stats'!L$76,INDIRECT("'"&amp;$A86&amp;"'!$A$1:$W$1"),0))</f>
        <v>3.4</v>
      </c>
      <c r="M86" s="1">
        <f t="shared" ca="1" si="277"/>
        <v>10</v>
      </c>
      <c r="N86" s="1">
        <f ca="1">INDEX(INDIRECT("'"&amp;$A86&amp;"'!$A$1:$W$30"),MATCH('All Positional Stats'!$A$77,INDIRECT("'"&amp;$A86&amp;"'!$A$1:$A$30"),0),MATCH('All Positional Stats'!N$76,INDIRECT("'"&amp;$A86&amp;"'!$A$1:$W$1"),0))</f>
        <v>3.9</v>
      </c>
      <c r="O86" s="1">
        <f t="shared" ca="1" si="277"/>
        <v>10</v>
      </c>
      <c r="P86" s="1">
        <f ca="1">INDEX(INDIRECT("'"&amp;$A86&amp;"'!$A$1:$W$30"),MATCH('All Positional Stats'!$A$77,INDIRECT("'"&amp;$A86&amp;"'!$A$1:$A$30"),0),MATCH('All Positional Stats'!P$76,INDIRECT("'"&amp;$A86&amp;"'!$A$1:$W$1"),0))</f>
        <v>0</v>
      </c>
      <c r="Q86" s="1">
        <f t="shared" ca="1" si="277"/>
        <v>12</v>
      </c>
      <c r="R86" s="1">
        <f ca="1">INDEX(INDIRECT("'"&amp;$A86&amp;"'!$A$1:$W$30"),MATCH('All Positional Stats'!$A$77,INDIRECT("'"&amp;$A86&amp;"'!$A$1:$A$30"),0),MATCH('All Positional Stats'!R$76,INDIRECT("'"&amp;$A86&amp;"'!$A$1:$W$1"),0))</f>
        <v>7.6</v>
      </c>
      <c r="S86" s="1">
        <f t="shared" ca="1" si="277"/>
        <v>7</v>
      </c>
      <c r="T86" s="1">
        <f ca="1">INDEX(INDIRECT("'"&amp;$A86&amp;"'!$A$1:$W$30"),MATCH('All Positional Stats'!$A$77,INDIRECT("'"&amp;$A86&amp;"'!$A$1:$A$30"),0),MATCH('All Positional Stats'!T$76,INDIRECT("'"&amp;$A86&amp;"'!$A$1:$W$1"),0))</f>
        <v>9.3000000000000007</v>
      </c>
      <c r="U86" s="1">
        <f t="shared" ca="1" si="277"/>
        <v>7</v>
      </c>
      <c r="V86" s="1">
        <f ca="1">INDEX(INDIRECT("'"&amp;$A86&amp;"'!$A$1:$W$30"),MATCH('All Positional Stats'!$A$77,INDIRECT("'"&amp;$A86&amp;"'!$A$1:$A$30"),0),MATCH('All Positional Stats'!V$76,INDIRECT("'"&amp;$A86&amp;"'!$A$1:$W$1"),0))</f>
        <v>12.2</v>
      </c>
      <c r="W86" s="1">
        <f t="shared" ca="1" si="277"/>
        <v>3</v>
      </c>
      <c r="X86" s="1">
        <f ca="1">INDEX(INDIRECT("'"&amp;$A86&amp;"'!$A$1:$W$30"),MATCH('All Positional Stats'!$A$77,INDIRECT("'"&amp;$A86&amp;"'!$A$1:$A$30"),0),MATCH('All Positional Stats'!X$76,INDIRECT("'"&amp;$A86&amp;"'!$A$1:$W$1"),0))</f>
        <v>14.3</v>
      </c>
      <c r="Y86" s="1">
        <f t="shared" ca="1" si="277"/>
        <v>4</v>
      </c>
      <c r="Z86" s="1">
        <f ca="1">INDEX(INDIRECT("'"&amp;$A86&amp;"'!$A$1:$W$30"),MATCH('All Positional Stats'!$A$77,INDIRECT("'"&amp;$A86&amp;"'!$A$1:$A$30"),0),MATCH('All Positional Stats'!Z$76,INDIRECT("'"&amp;$A86&amp;"'!$A$1:$W$1"),0))</f>
        <v>14.8</v>
      </c>
      <c r="AA86" s="1">
        <f t="shared" ca="1" si="277"/>
        <v>4</v>
      </c>
      <c r="AB86" s="1">
        <f ca="1">INDEX(INDIRECT("'"&amp;$A86&amp;"'!$A$1:$W$30"),MATCH('All Positional Stats'!$A$77,INDIRECT("'"&amp;$A86&amp;"'!$A$1:$A$30"),0),MATCH('All Positional Stats'!AB$76,INDIRECT("'"&amp;$A86&amp;"'!$A$1:$W$1"),0))</f>
        <v>6.7</v>
      </c>
      <c r="AC86" s="1">
        <f t="shared" ca="1" si="277"/>
        <v>7</v>
      </c>
      <c r="AD86" s="1">
        <f ca="1">INDEX(INDIRECT("'"&amp;$A86&amp;"'!$A$1:$W$30"),MATCH('All Positional Stats'!$A$77,INDIRECT("'"&amp;$A86&amp;"'!$A$1:$A$30"),0),MATCH('All Positional Stats'!AD$76,INDIRECT("'"&amp;$A86&amp;"'!$A$1:$W$1"),0))</f>
        <v>10.199999999999999</v>
      </c>
      <c r="AE86" s="1">
        <f t="shared" ca="1" si="277"/>
        <v>4</v>
      </c>
      <c r="AF86" s="1">
        <f ca="1">INDEX(INDIRECT("'"&amp;$A86&amp;"'!$A$1:$W$30"),MATCH('All Positional Stats'!$A$77,INDIRECT("'"&amp;$A86&amp;"'!$A$1:$A$30"),0),MATCH('All Positional Stats'!AF$76,INDIRECT("'"&amp;$A86&amp;"'!$A$1:$W$1"),0))</f>
        <v>4.8</v>
      </c>
      <c r="AG86" s="1">
        <f t="shared" ca="1" si="277"/>
        <v>8</v>
      </c>
      <c r="AH86" s="1">
        <f ca="1">INDEX(INDIRECT("'"&amp;$A86&amp;"'!$A$1:$W$30"),MATCH('All Positional Stats'!$A$77,INDIRECT("'"&amp;$A86&amp;"'!$A$1:$A$30"),0),MATCH('All Positional Stats'!AH$76,INDIRECT("'"&amp;$A86&amp;"'!$A$1:$W$1"),0))</f>
        <v>0</v>
      </c>
      <c r="AI86" s="1">
        <f ca="1">INDEX(INDIRECT("'"&amp;$A86&amp;"'!$A$1:$W$30"),MATCH('All Positional Stats'!$A$77,INDIRECT("'"&amp;$A86&amp;"'!$A$1:$A$30"),0),MATCH('All Positional Stats'!AI$76,INDIRECT("'"&amp;$A86&amp;"'!$A$1:$W$1"),0))</f>
        <v>14.8</v>
      </c>
      <c r="AJ86" s="7">
        <f ca="1">INDEX(INDIRECT("'"&amp;$A86&amp;"'!$A$1:$W$30"),MATCH('All Positional Stats'!$A$77,INDIRECT("'"&amp;$A86&amp;"'!$A$1:$A$30"),0),MATCH('All Positional Stats'!AJ$76,INDIRECT("'"&amp;$A86&amp;"'!$A$1:$W$1"),0))</f>
        <v>7.1624999999999996</v>
      </c>
      <c r="AK86" s="7">
        <f ca="1">INDEX(INDIRECT("'"&amp;$A86&amp;"'!$A$1:$W$30"),MATCH('All Positional Stats'!$A$77,INDIRECT("'"&amp;$A86&amp;"'!$A$1:$A$30"),0),MATCH('All Positional Stats'!AK$76,INDIRECT("'"&amp;$A86&amp;"'!$A$1:$W$1"),0))</f>
        <v>4.2785621124391788</v>
      </c>
      <c r="AL86" s="7">
        <f ca="1">INDEX(INDIRECT("'"&amp;$A86&amp;"'!$A$1:$W$30"),MATCH('All Positional Stats'!$A$77,INDIRECT("'"&amp;$A86&amp;"'!$A$1:$A$30"),0),MATCH('All Positional Stats'!AL$76,INDIRECT("'"&amp;$A86&amp;"'!$A$1:$W$1"),0))</f>
        <v>114.6</v>
      </c>
      <c r="AM86" s="6">
        <f ca="1">INDEX(INDIRECT("'"&amp;$A86&amp;"'!$A$1:$W$30"),MATCH('All Positional Stats'!$A$77,INDIRECT("'"&amp;$A86&amp;"'!$A$1:$A$30"),0),MATCH('All Positional Stats'!AM$76,INDIRECT("'"&amp;$A86&amp;"'!$A$1:$W$1"),0))</f>
        <v>8.2535109830752615E-2</v>
      </c>
      <c r="AN86" s="9">
        <f t="shared" ca="1" si="275"/>
        <v>92.899999999999991</v>
      </c>
      <c r="AO86" s="8">
        <f t="shared" ca="1" si="276"/>
        <v>8</v>
      </c>
    </row>
    <row r="87" spans="1:41" ht="16.25" thickTop="1" thickBot="1" x14ac:dyDescent="0.9">
      <c r="A87" s="1" t="s">
        <v>10</v>
      </c>
      <c r="B87" s="1">
        <f ca="1">INDEX(INDIRECT("'"&amp;$A87&amp;"'!$A$1:$W$30"),MATCH('All Positional Stats'!$A$77,INDIRECT("'"&amp;$A87&amp;"'!$A$1:$A$30"),0),MATCH('All Positional Stats'!B$76,INDIRECT("'"&amp;$A87&amp;"'!$A$1:$W$1"),0))</f>
        <v>2.2999999999999998</v>
      </c>
      <c r="C87" s="1">
        <f t="shared" ca="1" si="274"/>
        <v>9</v>
      </c>
      <c r="D87" s="1">
        <f ca="1">INDEX(INDIRECT("'"&amp;$A87&amp;"'!$A$1:$W$30"),MATCH('All Positional Stats'!$A$77,INDIRECT("'"&amp;$A87&amp;"'!$A$1:$A$30"),0),MATCH('All Positional Stats'!D$76,INDIRECT("'"&amp;$A87&amp;"'!$A$1:$W$1"),0))</f>
        <v>0.6</v>
      </c>
      <c r="E87" s="1">
        <f t="shared" ca="1" si="277"/>
        <v>12</v>
      </c>
      <c r="F87" s="1">
        <f ca="1">INDEX(INDIRECT("'"&amp;$A87&amp;"'!$A$1:$W$30"),MATCH('All Positional Stats'!$A$77,INDIRECT("'"&amp;$A87&amp;"'!$A$1:$A$30"),0),MATCH('All Positional Stats'!F$76,INDIRECT("'"&amp;$A87&amp;"'!$A$1:$W$1"),0))</f>
        <v>2.6</v>
      </c>
      <c r="G87" s="1">
        <f t="shared" ca="1" si="277"/>
        <v>6</v>
      </c>
      <c r="H87" s="1">
        <f ca="1">INDEX(INDIRECT("'"&amp;$A87&amp;"'!$A$1:$W$30"),MATCH('All Positional Stats'!$A$77,INDIRECT("'"&amp;$A87&amp;"'!$A$1:$A$30"),0),MATCH('All Positional Stats'!H$76,INDIRECT("'"&amp;$A87&amp;"'!$A$1:$W$1"),0))</f>
        <v>8.1</v>
      </c>
      <c r="I87" s="1">
        <f t="shared" ca="1" si="277"/>
        <v>5</v>
      </c>
      <c r="J87" s="1">
        <f ca="1">INDEX(INDIRECT("'"&amp;$A87&amp;"'!$A$1:$W$30"),MATCH('All Positional Stats'!$A$77,INDIRECT("'"&amp;$A87&amp;"'!$A$1:$A$30"),0),MATCH('All Positional Stats'!J$76,INDIRECT("'"&amp;$A87&amp;"'!$A$1:$W$1"),0))</f>
        <v>12.7</v>
      </c>
      <c r="K87" s="1">
        <f t="shared" ca="1" si="277"/>
        <v>3</v>
      </c>
      <c r="L87" s="1">
        <f ca="1">INDEX(INDIRECT("'"&amp;$A87&amp;"'!$A$1:$W$30"),MATCH('All Positional Stats'!$A$77,INDIRECT("'"&amp;$A87&amp;"'!$A$1:$A$30"),0),MATCH('All Positional Stats'!L$76,INDIRECT("'"&amp;$A87&amp;"'!$A$1:$W$1"),0))</f>
        <v>12.5</v>
      </c>
      <c r="M87" s="1">
        <f t="shared" ca="1" si="277"/>
        <v>5</v>
      </c>
      <c r="N87" s="1">
        <f ca="1">INDEX(INDIRECT("'"&amp;$A87&amp;"'!$A$1:$W$30"),MATCH('All Positional Stats'!$A$77,INDIRECT("'"&amp;$A87&amp;"'!$A$1:$A$30"),0),MATCH('All Positional Stats'!N$76,INDIRECT("'"&amp;$A87&amp;"'!$A$1:$W$1"),0))</f>
        <v>12.6</v>
      </c>
      <c r="O87" s="1">
        <f t="shared" ca="1" si="277"/>
        <v>4</v>
      </c>
      <c r="P87" s="1">
        <f ca="1">INDEX(INDIRECT("'"&amp;$A87&amp;"'!$A$1:$W$30"),MATCH('All Positional Stats'!$A$77,INDIRECT("'"&amp;$A87&amp;"'!$A$1:$A$30"),0),MATCH('All Positional Stats'!P$76,INDIRECT("'"&amp;$A87&amp;"'!$A$1:$W$1"),0))</f>
        <v>17.899999999999999</v>
      </c>
      <c r="Q87" s="1">
        <f t="shared" ca="1" si="277"/>
        <v>2</v>
      </c>
      <c r="R87" s="1">
        <f ca="1">INDEX(INDIRECT("'"&amp;$A87&amp;"'!$A$1:$W$30"),MATCH('All Positional Stats'!$A$77,INDIRECT("'"&amp;$A87&amp;"'!$A$1:$A$30"),0),MATCH('All Positional Stats'!R$76,INDIRECT("'"&amp;$A87&amp;"'!$A$1:$W$1"),0))</f>
        <v>8.4</v>
      </c>
      <c r="S87" s="1">
        <f t="shared" ca="1" si="277"/>
        <v>6</v>
      </c>
      <c r="T87" s="1">
        <f ca="1">INDEX(INDIRECT("'"&amp;$A87&amp;"'!$A$1:$W$30"),MATCH('All Positional Stats'!$A$77,INDIRECT("'"&amp;$A87&amp;"'!$A$1:$A$30"),0),MATCH('All Positional Stats'!T$76,INDIRECT("'"&amp;$A87&amp;"'!$A$1:$W$1"),0))</f>
        <v>17.7</v>
      </c>
      <c r="U87" s="1">
        <f t="shared" ca="1" si="277"/>
        <v>1</v>
      </c>
      <c r="V87" s="1">
        <f ca="1">INDEX(INDIRECT("'"&amp;$A87&amp;"'!$A$1:$W$30"),MATCH('All Positional Stats'!$A$77,INDIRECT("'"&amp;$A87&amp;"'!$A$1:$A$30"),0),MATCH('All Positional Stats'!V$76,INDIRECT("'"&amp;$A87&amp;"'!$A$1:$W$1"),0))</f>
        <v>17.3</v>
      </c>
      <c r="W87" s="1">
        <f t="shared" ca="1" si="277"/>
        <v>1</v>
      </c>
      <c r="X87" s="1">
        <f ca="1">INDEX(INDIRECT("'"&amp;$A87&amp;"'!$A$1:$W$30"),MATCH('All Positional Stats'!$A$77,INDIRECT("'"&amp;$A87&amp;"'!$A$1:$A$30"),0),MATCH('All Positional Stats'!X$76,INDIRECT("'"&amp;$A87&amp;"'!$A$1:$W$1"),0))</f>
        <v>10.9</v>
      </c>
      <c r="Y87" s="1">
        <f t="shared" ca="1" si="277"/>
        <v>5</v>
      </c>
      <c r="Z87" s="1">
        <f ca="1">INDEX(INDIRECT("'"&amp;$A87&amp;"'!$A$1:$W$30"),MATCH('All Positional Stats'!$A$77,INDIRECT("'"&amp;$A87&amp;"'!$A$1:$A$30"),0),MATCH('All Positional Stats'!Z$76,INDIRECT("'"&amp;$A87&amp;"'!$A$1:$W$1"),0))</f>
        <v>10.1</v>
      </c>
      <c r="AA87" s="1">
        <f t="shared" ca="1" si="277"/>
        <v>7</v>
      </c>
      <c r="AB87" s="1">
        <f ca="1">INDEX(INDIRECT("'"&amp;$A87&amp;"'!$A$1:$W$30"),MATCH('All Positional Stats'!$A$77,INDIRECT("'"&amp;$A87&amp;"'!$A$1:$A$30"),0),MATCH('All Positional Stats'!AB$76,INDIRECT("'"&amp;$A87&amp;"'!$A$1:$W$1"),0))</f>
        <v>0</v>
      </c>
      <c r="AC87" s="1">
        <f t="shared" ca="1" si="277"/>
        <v>11</v>
      </c>
      <c r="AD87" s="1">
        <f ca="1">INDEX(INDIRECT("'"&amp;$A87&amp;"'!$A$1:$W$30"),MATCH('All Positional Stats'!$A$77,INDIRECT("'"&amp;$A87&amp;"'!$A$1:$A$30"),0),MATCH('All Positional Stats'!AD$76,INDIRECT("'"&amp;$A87&amp;"'!$A$1:$W$1"),0))</f>
        <v>0.4</v>
      </c>
      <c r="AE87" s="1">
        <f t="shared" ca="1" si="277"/>
        <v>11</v>
      </c>
      <c r="AF87" s="1">
        <f ca="1">INDEX(INDIRECT("'"&amp;$A87&amp;"'!$A$1:$W$30"),MATCH('All Positional Stats'!$A$77,INDIRECT("'"&amp;$A87&amp;"'!$A$1:$A$30"),0),MATCH('All Positional Stats'!AF$76,INDIRECT("'"&amp;$A87&amp;"'!$A$1:$W$1"),0))</f>
        <v>6.8</v>
      </c>
      <c r="AG87" s="1">
        <f t="shared" ca="1" si="277"/>
        <v>6</v>
      </c>
      <c r="AH87" s="1">
        <f ca="1">INDEX(INDIRECT("'"&amp;$A87&amp;"'!$A$1:$W$30"),MATCH('All Positional Stats'!$A$77,INDIRECT("'"&amp;$A87&amp;"'!$A$1:$A$30"),0),MATCH('All Positional Stats'!AH$76,INDIRECT("'"&amp;$A87&amp;"'!$A$1:$W$1"),0))</f>
        <v>0</v>
      </c>
      <c r="AI87" s="1">
        <f ca="1">INDEX(INDIRECT("'"&amp;$A87&amp;"'!$A$1:$W$30"),MATCH('All Positional Stats'!$A$77,INDIRECT("'"&amp;$A87&amp;"'!$A$1:$A$30"),0),MATCH('All Positional Stats'!AI$76,INDIRECT("'"&amp;$A87&amp;"'!$A$1:$W$1"),0))</f>
        <v>17.899999999999999</v>
      </c>
      <c r="AJ87" s="7">
        <f ca="1">INDEX(INDIRECT("'"&amp;$A87&amp;"'!$A$1:$W$30"),MATCH('All Positional Stats'!$A$77,INDIRECT("'"&amp;$A87&amp;"'!$A$1:$A$30"),0),MATCH('All Positional Stats'!AJ$76,INDIRECT("'"&amp;$A87&amp;"'!$A$1:$W$1"),0))</f>
        <v>8.8062500000000021</v>
      </c>
      <c r="AK87" s="7">
        <f ca="1">INDEX(INDIRECT("'"&amp;$A87&amp;"'!$A$1:$W$30"),MATCH('All Positional Stats'!$A$77,INDIRECT("'"&amp;$A87&amp;"'!$A$1:$A$30"),0),MATCH('All Positional Stats'!AK$76,INDIRECT("'"&amp;$A87&amp;"'!$A$1:$W$1"),0))</f>
        <v>6.0430196042624225</v>
      </c>
      <c r="AL87" s="7">
        <f ca="1">INDEX(INDIRECT("'"&amp;$A87&amp;"'!$A$1:$W$30"),MATCH('All Positional Stats'!$A$77,INDIRECT("'"&amp;$A87&amp;"'!$A$1:$A$30"),0),MATCH('All Positional Stats'!AL$76,INDIRECT("'"&amp;$A87&amp;"'!$A$1:$W$1"),0))</f>
        <v>140.90000000000003</v>
      </c>
      <c r="AM87" s="6">
        <f ca="1">INDEX(INDIRECT("'"&amp;$A87&amp;"'!$A$1:$W$30"),MATCH('All Positional Stats'!$A$77,INDIRECT("'"&amp;$A87&amp;"'!$A$1:$A$30"),0),MATCH('All Positional Stats'!AM$76,INDIRECT("'"&amp;$A87&amp;"'!$A$1:$W$1"),0))</f>
        <v>9.4297952081381364E-2</v>
      </c>
      <c r="AN87" s="9">
        <f t="shared" ca="1" si="275"/>
        <v>133.70000000000002</v>
      </c>
      <c r="AO87" s="8">
        <f t="shared" ca="1" si="276"/>
        <v>3</v>
      </c>
    </row>
    <row r="88" spans="1:41" ht="16.25" thickTop="1" thickBot="1" x14ac:dyDescent="0.9">
      <c r="A88" s="1" t="s">
        <v>11</v>
      </c>
      <c r="B88" s="1">
        <f ca="1">INDEX(INDIRECT("'"&amp;$A88&amp;"'!$A$1:$W$30"),MATCH('All Positional Stats'!$A$77,INDIRECT("'"&amp;$A88&amp;"'!$A$1:$A$30"),0),MATCH('All Positional Stats'!B$76,INDIRECT("'"&amp;$A88&amp;"'!$A$1:$W$1"),0))</f>
        <v>6.9</v>
      </c>
      <c r="C88" s="1">
        <f t="shared" ca="1" si="274"/>
        <v>4</v>
      </c>
      <c r="D88" s="1">
        <f ca="1">INDEX(INDIRECT("'"&amp;$A88&amp;"'!$A$1:$W$30"),MATCH('All Positional Stats'!$A$77,INDIRECT("'"&amp;$A88&amp;"'!$A$1:$A$30"),0),MATCH('All Positional Stats'!D$76,INDIRECT("'"&amp;$A88&amp;"'!$A$1:$W$1"),0))</f>
        <v>20.3</v>
      </c>
      <c r="E88" s="1">
        <f t="shared" ca="1" si="277"/>
        <v>2</v>
      </c>
      <c r="F88" s="1">
        <f ca="1">INDEX(INDIRECT("'"&amp;$A88&amp;"'!$A$1:$W$30"),MATCH('All Positional Stats'!$A$77,INDIRECT("'"&amp;$A88&amp;"'!$A$1:$A$30"),0),MATCH('All Positional Stats'!F$76,INDIRECT("'"&amp;$A88&amp;"'!$A$1:$W$1"),0))</f>
        <v>0.6</v>
      </c>
      <c r="G88" s="1">
        <f t="shared" ca="1" si="277"/>
        <v>9</v>
      </c>
      <c r="H88" s="1">
        <f ca="1">INDEX(INDIRECT("'"&amp;$A88&amp;"'!$A$1:$W$30"),MATCH('All Positional Stats'!$A$77,INDIRECT("'"&amp;$A88&amp;"'!$A$1:$A$30"),0),MATCH('All Positional Stats'!H$76,INDIRECT("'"&amp;$A88&amp;"'!$A$1:$W$1"),0))</f>
        <v>20.9</v>
      </c>
      <c r="I88" s="1">
        <f t="shared" ca="1" si="277"/>
        <v>1</v>
      </c>
      <c r="J88" s="1">
        <f ca="1">INDEX(INDIRECT("'"&amp;$A88&amp;"'!$A$1:$W$30"),MATCH('All Positional Stats'!$A$77,INDIRECT("'"&amp;$A88&amp;"'!$A$1:$A$30"),0),MATCH('All Positional Stats'!J$76,INDIRECT("'"&amp;$A88&amp;"'!$A$1:$W$1"),0))</f>
        <v>13.8</v>
      </c>
      <c r="K88" s="1">
        <f t="shared" ca="1" si="277"/>
        <v>2</v>
      </c>
      <c r="L88" s="1">
        <f ca="1">INDEX(INDIRECT("'"&amp;$A88&amp;"'!$A$1:$W$30"),MATCH('All Positional Stats'!$A$77,INDIRECT("'"&amp;$A88&amp;"'!$A$1:$A$30"),0),MATCH('All Positional Stats'!L$76,INDIRECT("'"&amp;$A88&amp;"'!$A$1:$W$1"),0))</f>
        <v>5.7</v>
      </c>
      <c r="M88" s="1">
        <f t="shared" ca="1" si="277"/>
        <v>7</v>
      </c>
      <c r="N88" s="1">
        <f ca="1">INDEX(INDIRECT("'"&amp;$A88&amp;"'!$A$1:$W$30"),MATCH('All Positional Stats'!$A$77,INDIRECT("'"&amp;$A88&amp;"'!$A$1:$A$30"),0),MATCH('All Positional Stats'!N$76,INDIRECT("'"&amp;$A88&amp;"'!$A$1:$W$1"),0))</f>
        <v>11.3</v>
      </c>
      <c r="O88" s="1">
        <f t="shared" ca="1" si="277"/>
        <v>5</v>
      </c>
      <c r="P88" s="1">
        <f ca="1">INDEX(INDIRECT("'"&amp;$A88&amp;"'!$A$1:$W$30"),MATCH('All Positional Stats'!$A$77,INDIRECT("'"&amp;$A88&amp;"'!$A$1:$A$30"),0),MATCH('All Positional Stats'!P$76,INDIRECT("'"&amp;$A88&amp;"'!$A$1:$W$1"),0))</f>
        <v>22.8</v>
      </c>
      <c r="Q88" s="1">
        <f t="shared" ca="1" si="277"/>
        <v>1</v>
      </c>
      <c r="R88" s="1">
        <f ca="1">INDEX(INDIRECT("'"&amp;$A88&amp;"'!$A$1:$W$30"),MATCH('All Positional Stats'!$A$77,INDIRECT("'"&amp;$A88&amp;"'!$A$1:$A$30"),0),MATCH('All Positional Stats'!R$76,INDIRECT("'"&amp;$A88&amp;"'!$A$1:$W$1"),0))</f>
        <v>16.8</v>
      </c>
      <c r="S88" s="1">
        <f t="shared" ca="1" si="277"/>
        <v>1</v>
      </c>
      <c r="T88" s="1">
        <f ca="1">INDEX(INDIRECT("'"&amp;$A88&amp;"'!$A$1:$W$30"),MATCH('All Positional Stats'!$A$77,INDIRECT("'"&amp;$A88&amp;"'!$A$1:$A$30"),0),MATCH('All Positional Stats'!T$76,INDIRECT("'"&amp;$A88&amp;"'!$A$1:$W$1"),0))</f>
        <v>1.5</v>
      </c>
      <c r="U88" s="1">
        <f t="shared" ca="1" si="277"/>
        <v>9</v>
      </c>
      <c r="V88" s="1">
        <f ca="1">INDEX(INDIRECT("'"&amp;$A88&amp;"'!$A$1:$W$30"),MATCH('All Positional Stats'!$A$77,INDIRECT("'"&amp;$A88&amp;"'!$A$1:$A$30"),0),MATCH('All Positional Stats'!V$76,INDIRECT("'"&amp;$A88&amp;"'!$A$1:$W$1"),0))</f>
        <v>12.9</v>
      </c>
      <c r="W88" s="1">
        <f t="shared" ca="1" si="277"/>
        <v>2</v>
      </c>
      <c r="X88" s="1">
        <f ca="1">INDEX(INDIRECT("'"&amp;$A88&amp;"'!$A$1:$W$30"),MATCH('All Positional Stats'!$A$77,INDIRECT("'"&amp;$A88&amp;"'!$A$1:$A$30"),0),MATCH('All Positional Stats'!X$76,INDIRECT("'"&amp;$A88&amp;"'!$A$1:$W$1"),0))</f>
        <v>5.4</v>
      </c>
      <c r="Y88" s="1">
        <f t="shared" ca="1" si="277"/>
        <v>7</v>
      </c>
      <c r="Z88" s="1">
        <f ca="1">INDEX(INDIRECT("'"&amp;$A88&amp;"'!$A$1:$W$30"),MATCH('All Positional Stats'!$A$77,INDIRECT("'"&amp;$A88&amp;"'!$A$1:$A$30"),0),MATCH('All Positional Stats'!Z$76,INDIRECT("'"&amp;$A88&amp;"'!$A$1:$W$1"),0))</f>
        <v>23.4</v>
      </c>
      <c r="AA88" s="1">
        <f t="shared" ca="1" si="277"/>
        <v>1</v>
      </c>
      <c r="AB88" s="1">
        <f ca="1">INDEX(INDIRECT("'"&amp;$A88&amp;"'!$A$1:$W$30"),MATCH('All Positional Stats'!$A$77,INDIRECT("'"&amp;$A88&amp;"'!$A$1:$A$30"),0),MATCH('All Positional Stats'!AB$76,INDIRECT("'"&amp;$A88&amp;"'!$A$1:$W$1"),0))</f>
        <v>10.9</v>
      </c>
      <c r="AC88" s="1">
        <f t="shared" ca="1" si="277"/>
        <v>4</v>
      </c>
      <c r="AD88" s="1">
        <f ca="1">INDEX(INDIRECT("'"&amp;$A88&amp;"'!$A$1:$W$30"),MATCH('All Positional Stats'!$A$77,INDIRECT("'"&amp;$A88&amp;"'!$A$1:$A$30"),0),MATCH('All Positional Stats'!AD$76,INDIRECT("'"&amp;$A88&amp;"'!$A$1:$W$1"),0))</f>
        <v>7.6</v>
      </c>
      <c r="AE88" s="1">
        <f t="shared" ca="1" si="277"/>
        <v>6</v>
      </c>
      <c r="AF88" s="1">
        <f ca="1">INDEX(INDIRECT("'"&amp;$A88&amp;"'!$A$1:$W$30"),MATCH('All Positional Stats'!$A$77,INDIRECT("'"&amp;$A88&amp;"'!$A$1:$A$30"),0),MATCH('All Positional Stats'!AF$76,INDIRECT("'"&amp;$A88&amp;"'!$A$1:$W$1"),0))</f>
        <v>12.7</v>
      </c>
      <c r="AG88" s="1">
        <f t="shared" ca="1" si="277"/>
        <v>3</v>
      </c>
      <c r="AH88" s="1">
        <f ca="1">INDEX(INDIRECT("'"&amp;$A88&amp;"'!$A$1:$W$30"),MATCH('All Positional Stats'!$A$77,INDIRECT("'"&amp;$A88&amp;"'!$A$1:$A$30"),0),MATCH('All Positional Stats'!AH$76,INDIRECT("'"&amp;$A88&amp;"'!$A$1:$W$1"),0))</f>
        <v>0.6</v>
      </c>
      <c r="AI88" s="1">
        <f ca="1">INDEX(INDIRECT("'"&amp;$A88&amp;"'!$A$1:$W$30"),MATCH('All Positional Stats'!$A$77,INDIRECT("'"&amp;$A88&amp;"'!$A$1:$A$30"),0),MATCH('All Positional Stats'!AI$76,INDIRECT("'"&amp;$A88&amp;"'!$A$1:$W$1"),0))</f>
        <v>23.4</v>
      </c>
      <c r="AJ88" s="7">
        <f ca="1">INDEX(INDIRECT("'"&amp;$A88&amp;"'!$A$1:$W$30"),MATCH('All Positional Stats'!$A$77,INDIRECT("'"&amp;$A88&amp;"'!$A$1:$A$30"),0),MATCH('All Positional Stats'!AJ$76,INDIRECT("'"&amp;$A88&amp;"'!$A$1:$W$1"),0))</f>
        <v>12.09375</v>
      </c>
      <c r="AK88" s="7">
        <f ca="1">INDEX(INDIRECT("'"&amp;$A88&amp;"'!$A$1:$W$30"),MATCH('All Positional Stats'!$A$77,INDIRECT("'"&amp;$A88&amp;"'!$A$1:$A$30"),0),MATCH('All Positional Stats'!AK$76,INDIRECT("'"&amp;$A88&amp;"'!$A$1:$W$1"),0))</f>
        <v>7.0385961624105109</v>
      </c>
      <c r="AL88" s="7">
        <f ca="1">INDEX(INDIRECT("'"&amp;$A88&amp;"'!$A$1:$W$30"),MATCH('All Positional Stats'!$A$77,INDIRECT("'"&amp;$A88&amp;"'!$A$1:$A$30"),0),MATCH('All Positional Stats'!AL$76,INDIRECT("'"&amp;$A88&amp;"'!$A$1:$W$1"),0))</f>
        <v>193.5</v>
      </c>
      <c r="AM88" s="6">
        <f ca="1">INDEX(INDIRECT("'"&amp;$A88&amp;"'!$A$1:$W$30"),MATCH('All Positional Stats'!$A$77,INDIRECT("'"&amp;$A88&amp;"'!$A$1:$A$30"),0),MATCH('All Positional Stats'!AM$76,INDIRECT("'"&amp;$A88&amp;"'!$A$1:$W$1"),0))</f>
        <v>0.11449704142011834</v>
      </c>
      <c r="AN88" s="9">
        <f t="shared" ca="1" si="275"/>
        <v>162.30000000000001</v>
      </c>
      <c r="AO88" s="8">
        <f t="shared" ca="1" si="276"/>
        <v>1</v>
      </c>
    </row>
    <row r="89" spans="1:41" ht="16.25" thickTop="1" thickBot="1" x14ac:dyDescent="0.9">
      <c r="A89" s="1" t="s">
        <v>12</v>
      </c>
      <c r="B89" s="1">
        <f ca="1">INDEX(INDIRECT("'"&amp;$A89&amp;"'!$A$1:$W$30"),MATCH('All Positional Stats'!$A$77,INDIRECT("'"&amp;$A89&amp;"'!$A$1:$A$30"),0),MATCH('All Positional Stats'!B$76,INDIRECT("'"&amp;$A89&amp;"'!$A$1:$W$1"),0))</f>
        <v>4.3</v>
      </c>
      <c r="C89" s="1">
        <f t="shared" ca="1" si="274"/>
        <v>7</v>
      </c>
      <c r="D89" s="1">
        <f ca="1">INDEX(INDIRECT("'"&amp;$A89&amp;"'!$A$1:$W$30"),MATCH('All Positional Stats'!$A$77,INDIRECT("'"&amp;$A89&amp;"'!$A$1:$A$30"),0),MATCH('All Positional Stats'!D$76,INDIRECT("'"&amp;$A89&amp;"'!$A$1:$W$1"),0))</f>
        <v>20.6</v>
      </c>
      <c r="E89" s="1">
        <f t="shared" ca="1" si="277"/>
        <v>1</v>
      </c>
      <c r="F89" s="1">
        <f ca="1">INDEX(INDIRECT("'"&amp;$A89&amp;"'!$A$1:$W$30"),MATCH('All Positional Stats'!$A$77,INDIRECT("'"&amp;$A89&amp;"'!$A$1:$A$30"),0),MATCH('All Positional Stats'!F$76,INDIRECT("'"&amp;$A89&amp;"'!$A$1:$W$1"),0))</f>
        <v>18.899999999999999</v>
      </c>
      <c r="G89" s="1">
        <f t="shared" ca="1" si="277"/>
        <v>1</v>
      </c>
      <c r="H89" s="1">
        <f ca="1">INDEX(INDIRECT("'"&amp;$A89&amp;"'!$A$1:$W$30"),MATCH('All Positional Stats'!$A$77,INDIRECT("'"&amp;$A89&amp;"'!$A$1:$A$30"),0),MATCH('All Positional Stats'!H$76,INDIRECT("'"&amp;$A89&amp;"'!$A$1:$W$1"),0))</f>
        <v>10</v>
      </c>
      <c r="I89" s="1">
        <f t="shared" ca="1" si="277"/>
        <v>4</v>
      </c>
      <c r="J89" s="1">
        <f ca="1">INDEX(INDIRECT("'"&amp;$A89&amp;"'!$A$1:$W$30"),MATCH('All Positional Stats'!$A$77,INDIRECT("'"&amp;$A89&amp;"'!$A$1:$A$30"),0),MATCH('All Positional Stats'!J$76,INDIRECT("'"&amp;$A89&amp;"'!$A$1:$W$1"),0))</f>
        <v>0</v>
      </c>
      <c r="K89" s="1">
        <f t="shared" ca="1" si="277"/>
        <v>12</v>
      </c>
      <c r="L89" s="1">
        <f ca="1">INDEX(INDIRECT("'"&amp;$A89&amp;"'!$A$1:$W$30"),MATCH('All Positional Stats'!$A$77,INDIRECT("'"&amp;$A89&amp;"'!$A$1:$A$30"),0),MATCH('All Positional Stats'!L$76,INDIRECT("'"&amp;$A89&amp;"'!$A$1:$W$1"),0))</f>
        <v>23.3</v>
      </c>
      <c r="M89" s="1">
        <f t="shared" ca="1" si="277"/>
        <v>1</v>
      </c>
      <c r="N89" s="1">
        <f ca="1">INDEX(INDIRECT("'"&amp;$A89&amp;"'!$A$1:$W$30"),MATCH('All Positional Stats'!$A$77,INDIRECT("'"&amp;$A89&amp;"'!$A$1:$A$30"),0),MATCH('All Positional Stats'!N$76,INDIRECT("'"&amp;$A89&amp;"'!$A$1:$W$1"),0))</f>
        <v>6.6</v>
      </c>
      <c r="O89" s="1">
        <f t="shared" ca="1" si="277"/>
        <v>9</v>
      </c>
      <c r="P89" s="1">
        <f ca="1">INDEX(INDIRECT("'"&amp;$A89&amp;"'!$A$1:$W$30"),MATCH('All Positional Stats'!$A$77,INDIRECT("'"&amp;$A89&amp;"'!$A$1:$A$30"),0),MATCH('All Positional Stats'!P$76,INDIRECT("'"&amp;$A89&amp;"'!$A$1:$W$1"),0))</f>
        <v>14.2</v>
      </c>
      <c r="Q89" s="1">
        <f t="shared" ca="1" si="277"/>
        <v>3</v>
      </c>
      <c r="R89" s="1">
        <f ca="1">INDEX(INDIRECT("'"&amp;$A89&amp;"'!$A$1:$W$30"),MATCH('All Positional Stats'!$A$77,INDIRECT("'"&amp;$A89&amp;"'!$A$1:$A$30"),0),MATCH('All Positional Stats'!R$76,INDIRECT("'"&amp;$A89&amp;"'!$A$1:$W$1"),0))</f>
        <v>0</v>
      </c>
      <c r="S89" s="1">
        <f t="shared" ca="1" si="277"/>
        <v>11</v>
      </c>
      <c r="T89" s="1">
        <f ca="1">INDEX(INDIRECT("'"&amp;$A89&amp;"'!$A$1:$W$30"),MATCH('All Positional Stats'!$A$77,INDIRECT("'"&amp;$A89&amp;"'!$A$1:$A$30"),0),MATCH('All Positional Stats'!T$76,INDIRECT("'"&amp;$A89&amp;"'!$A$1:$W$1"),0))</f>
        <v>9.4</v>
      </c>
      <c r="U89" s="1">
        <f t="shared" ca="1" si="277"/>
        <v>6</v>
      </c>
      <c r="V89" s="1">
        <f ca="1">INDEX(INDIRECT("'"&amp;$A89&amp;"'!$A$1:$W$30"),MATCH('All Positional Stats'!$A$77,INDIRECT("'"&amp;$A89&amp;"'!$A$1:$A$30"),0),MATCH('All Positional Stats'!V$76,INDIRECT("'"&amp;$A89&amp;"'!$A$1:$W$1"),0))</f>
        <v>5.2</v>
      </c>
      <c r="W89" s="1">
        <f t="shared" ca="1" si="277"/>
        <v>7</v>
      </c>
      <c r="X89" s="1">
        <f ca="1">INDEX(INDIRECT("'"&amp;$A89&amp;"'!$A$1:$W$30"),MATCH('All Positional Stats'!$A$77,INDIRECT("'"&amp;$A89&amp;"'!$A$1:$A$30"),0),MATCH('All Positional Stats'!X$76,INDIRECT("'"&amp;$A89&amp;"'!$A$1:$W$1"),0))</f>
        <v>22.7</v>
      </c>
      <c r="Y89" s="1">
        <f t="shared" ca="1" si="277"/>
        <v>1</v>
      </c>
      <c r="Z89" s="1">
        <f ca="1">INDEX(INDIRECT("'"&amp;$A89&amp;"'!$A$1:$W$30"),MATCH('All Positional Stats'!$A$77,INDIRECT("'"&amp;$A89&amp;"'!$A$1:$A$30"),0),MATCH('All Positional Stats'!Z$76,INDIRECT("'"&amp;$A89&amp;"'!$A$1:$W$1"),0))</f>
        <v>19.2</v>
      </c>
      <c r="AA89" s="1">
        <f t="shared" ca="1" si="277"/>
        <v>3</v>
      </c>
      <c r="AB89" s="1">
        <f ca="1">INDEX(INDIRECT("'"&amp;$A89&amp;"'!$A$1:$W$30"),MATCH('All Positional Stats'!$A$77,INDIRECT("'"&amp;$A89&amp;"'!$A$1:$A$30"),0),MATCH('All Positional Stats'!AB$76,INDIRECT("'"&amp;$A89&amp;"'!$A$1:$W$1"),0))</f>
        <v>0.8</v>
      </c>
      <c r="AC89" s="1">
        <f t="shared" ca="1" si="277"/>
        <v>10</v>
      </c>
      <c r="AD89" s="1">
        <f ca="1">INDEX(INDIRECT("'"&amp;$A89&amp;"'!$A$1:$W$30"),MATCH('All Positional Stats'!$A$77,INDIRECT("'"&amp;$A89&amp;"'!$A$1:$A$30"),0),MATCH('All Positional Stats'!AD$76,INDIRECT("'"&amp;$A89&amp;"'!$A$1:$W$1"),0))</f>
        <v>0</v>
      </c>
      <c r="AE89" s="1">
        <f t="shared" ca="1" si="277"/>
        <v>12</v>
      </c>
      <c r="AF89" s="1">
        <f ca="1">INDEX(INDIRECT("'"&amp;$A89&amp;"'!$A$1:$W$30"),MATCH('All Positional Stats'!$A$77,INDIRECT("'"&amp;$A89&amp;"'!$A$1:$A$30"),0),MATCH('All Positional Stats'!AF$76,INDIRECT("'"&amp;$A89&amp;"'!$A$1:$W$1"),0))</f>
        <v>15.2</v>
      </c>
      <c r="AG89" s="1">
        <f t="shared" ca="1" si="277"/>
        <v>2</v>
      </c>
      <c r="AH89" s="1">
        <f ca="1">INDEX(INDIRECT("'"&amp;$A89&amp;"'!$A$1:$W$30"),MATCH('All Positional Stats'!$A$77,INDIRECT("'"&amp;$A89&amp;"'!$A$1:$A$30"),0),MATCH('All Positional Stats'!AH$76,INDIRECT("'"&amp;$A89&amp;"'!$A$1:$W$1"),0))</f>
        <v>0</v>
      </c>
      <c r="AI89" s="1">
        <f ca="1">INDEX(INDIRECT("'"&amp;$A89&amp;"'!$A$1:$W$30"),MATCH('All Positional Stats'!$A$77,INDIRECT("'"&amp;$A89&amp;"'!$A$1:$A$30"),0),MATCH('All Positional Stats'!AI$76,INDIRECT("'"&amp;$A89&amp;"'!$A$1:$W$1"),0))</f>
        <v>23.3</v>
      </c>
      <c r="AJ89" s="7">
        <f ca="1">INDEX(INDIRECT("'"&amp;$A89&amp;"'!$A$1:$W$30"),MATCH('All Positional Stats'!$A$77,INDIRECT("'"&amp;$A89&amp;"'!$A$1:$A$30"),0),MATCH('All Positional Stats'!AJ$76,INDIRECT("'"&amp;$A89&amp;"'!$A$1:$W$1"),0))</f>
        <v>10.65</v>
      </c>
      <c r="AK89" s="7">
        <f ca="1">INDEX(INDIRECT("'"&amp;$A89&amp;"'!$A$1:$W$30"),MATCH('All Positional Stats'!$A$77,INDIRECT("'"&amp;$A89&amp;"'!$A$1:$A$30"),0),MATCH('All Positional Stats'!AK$76,INDIRECT("'"&amp;$A89&amp;"'!$A$1:$W$1"),0))</f>
        <v>8.3081285497998874</v>
      </c>
      <c r="AL89" s="7">
        <f ca="1">INDEX(INDIRECT("'"&amp;$A89&amp;"'!$A$1:$W$30"),MATCH('All Positional Stats'!$A$77,INDIRECT("'"&amp;$A89&amp;"'!$A$1:$A$30"),0),MATCH('All Positional Stats'!AL$76,INDIRECT("'"&amp;$A89&amp;"'!$A$1:$W$1"),0))</f>
        <v>170.39999999999998</v>
      </c>
      <c r="AM89" s="6">
        <f ca="1">INDEX(INDIRECT("'"&amp;$A89&amp;"'!$A$1:$W$30"),MATCH('All Positional Stats'!$A$77,INDIRECT("'"&amp;$A89&amp;"'!$A$1:$A$30"),0),MATCH('All Positional Stats'!AM$76,INDIRECT("'"&amp;$A89&amp;"'!$A$1:$W$1"),0))</f>
        <v>0.1219058520532265</v>
      </c>
      <c r="AN89" s="9">
        <f t="shared" ca="1" si="275"/>
        <v>154.39999999999998</v>
      </c>
      <c r="AO89" s="8">
        <f t="shared" ca="1" si="276"/>
        <v>2</v>
      </c>
    </row>
    <row r="90" spans="1:41" ht="16.25" thickTop="1" thickBot="1" x14ac:dyDescent="0.9"/>
    <row r="91" spans="1:41" ht="16.25" thickTop="1" thickBot="1" x14ac:dyDescent="0.9">
      <c r="B91" s="13" t="s">
        <v>13</v>
      </c>
      <c r="C91" s="15"/>
      <c r="D91" s="13" t="s">
        <v>14</v>
      </c>
      <c r="E91" s="15"/>
      <c r="F91" s="13" t="s">
        <v>15</v>
      </c>
      <c r="G91" s="15"/>
      <c r="H91" s="13" t="s">
        <v>16</v>
      </c>
      <c r="I91" s="15"/>
      <c r="J91" s="13" t="s">
        <v>17</v>
      </c>
      <c r="K91" s="15"/>
      <c r="L91" s="13" t="s">
        <v>18</v>
      </c>
      <c r="M91" s="15"/>
      <c r="N91" s="13" t="s">
        <v>19</v>
      </c>
      <c r="O91" s="15"/>
      <c r="P91" s="13" t="s">
        <v>20</v>
      </c>
      <c r="Q91" s="15"/>
      <c r="R91" s="13" t="s">
        <v>21</v>
      </c>
      <c r="S91" s="15"/>
      <c r="T91" s="13" t="s">
        <v>22</v>
      </c>
      <c r="U91" s="15"/>
      <c r="V91" s="13" t="s">
        <v>23</v>
      </c>
      <c r="W91" s="15"/>
      <c r="X91" s="13" t="s">
        <v>24</v>
      </c>
      <c r="Y91" s="15"/>
      <c r="Z91" s="13" t="s">
        <v>25</v>
      </c>
      <c r="AA91" s="15"/>
      <c r="AB91" s="13" t="s">
        <v>26</v>
      </c>
      <c r="AC91" s="15"/>
      <c r="AD91" s="13" t="s">
        <v>27</v>
      </c>
      <c r="AE91" s="15"/>
      <c r="AF91" s="13" t="s">
        <v>28</v>
      </c>
      <c r="AG91" s="15"/>
      <c r="AH91" s="16" t="s">
        <v>30</v>
      </c>
      <c r="AI91" s="16" t="s">
        <v>31</v>
      </c>
      <c r="AJ91" s="16" t="s">
        <v>32</v>
      </c>
      <c r="AK91" s="16" t="s">
        <v>33</v>
      </c>
      <c r="AL91" s="16" t="s">
        <v>34</v>
      </c>
      <c r="AM91" s="16" t="s">
        <v>35</v>
      </c>
      <c r="AN91" s="16" t="s">
        <v>64</v>
      </c>
      <c r="AO91" s="16" t="s">
        <v>63</v>
      </c>
    </row>
    <row r="92" spans="1:41" ht="16.25" thickTop="1" thickBot="1" x14ac:dyDescent="0.9">
      <c r="A92" t="s">
        <v>60</v>
      </c>
      <c r="B92" s="5" t="s">
        <v>29</v>
      </c>
      <c r="C92" s="5" t="s">
        <v>63</v>
      </c>
      <c r="D92" s="5" t="s">
        <v>29</v>
      </c>
      <c r="E92" s="5" t="s">
        <v>63</v>
      </c>
      <c r="F92" s="5" t="s">
        <v>29</v>
      </c>
      <c r="G92" s="5" t="s">
        <v>63</v>
      </c>
      <c r="H92" s="5" t="s">
        <v>29</v>
      </c>
      <c r="I92" s="5" t="s">
        <v>63</v>
      </c>
      <c r="J92" s="5" t="s">
        <v>29</v>
      </c>
      <c r="K92" s="5" t="s">
        <v>63</v>
      </c>
      <c r="L92" s="5" t="s">
        <v>29</v>
      </c>
      <c r="M92" s="5" t="s">
        <v>63</v>
      </c>
      <c r="N92" s="5" t="s">
        <v>29</v>
      </c>
      <c r="O92" s="5" t="s">
        <v>63</v>
      </c>
      <c r="P92" s="5" t="s">
        <v>29</v>
      </c>
      <c r="Q92" s="5" t="s">
        <v>63</v>
      </c>
      <c r="R92" s="5" t="s">
        <v>29</v>
      </c>
      <c r="S92" s="5" t="s">
        <v>63</v>
      </c>
      <c r="T92" s="5" t="s">
        <v>29</v>
      </c>
      <c r="U92" s="5" t="s">
        <v>63</v>
      </c>
      <c r="V92" s="5" t="s">
        <v>29</v>
      </c>
      <c r="W92" s="5" t="s">
        <v>63</v>
      </c>
      <c r="X92" s="5" t="s">
        <v>29</v>
      </c>
      <c r="Y92" s="5" t="s">
        <v>63</v>
      </c>
      <c r="Z92" s="5" t="s">
        <v>29</v>
      </c>
      <c r="AA92" s="5" t="s">
        <v>63</v>
      </c>
      <c r="AB92" s="5" t="s">
        <v>29</v>
      </c>
      <c r="AC92" s="5" t="s">
        <v>63</v>
      </c>
      <c r="AD92" s="5" t="s">
        <v>29</v>
      </c>
      <c r="AE92" s="5" t="s">
        <v>63</v>
      </c>
      <c r="AF92" s="5" t="s">
        <v>29</v>
      </c>
      <c r="AG92" s="5" t="s">
        <v>63</v>
      </c>
      <c r="AH92" s="17"/>
      <c r="AI92" s="17"/>
      <c r="AJ92" s="17"/>
      <c r="AK92" s="17"/>
      <c r="AL92" s="17"/>
      <c r="AM92" s="17"/>
      <c r="AN92" s="17"/>
      <c r="AO92" s="17"/>
    </row>
    <row r="93" spans="1:41" ht="16.25" thickTop="1" thickBot="1" x14ac:dyDescent="0.9">
      <c r="A93" s="1" t="s">
        <v>1</v>
      </c>
      <c r="B93" s="1">
        <f ca="1">INDEX(INDIRECT("'"&amp;$A93&amp;"'!$A$1:$W$30"),MATCH('All Positional Stats'!$A$92,INDIRECT("'"&amp;$A93&amp;"'!$A$1:$A$30"),0),MATCH('All Positional Stats'!B$91,INDIRECT("'"&amp;$A93&amp;"'!$A$1:$W$1"),0))</f>
        <v>0</v>
      </c>
      <c r="C93" s="1">
        <f ca="1">_xlfn.RANK.EQ(B93,B$93:B$104)</f>
        <v>12</v>
      </c>
      <c r="D93" s="1">
        <f ca="1">INDEX(INDIRECT("'"&amp;$A93&amp;"'!$A$1:$W$30"),MATCH('All Positional Stats'!$A$92,INDIRECT("'"&amp;$A93&amp;"'!$A$1:$A$30"),0),MATCH('All Positional Stats'!D$91,INDIRECT("'"&amp;$A93&amp;"'!$A$1:$W$1"),0))</f>
        <v>5.4</v>
      </c>
      <c r="E93" s="1">
        <f t="shared" ref="E93" ca="1" si="278">_xlfn.RANK.EQ(D93,D$93:D$104)</f>
        <v>9</v>
      </c>
      <c r="F93" s="1">
        <f ca="1">INDEX(INDIRECT("'"&amp;$A93&amp;"'!$A$1:$W$30"),MATCH('All Positional Stats'!$A$92,INDIRECT("'"&amp;$A93&amp;"'!$A$1:$A$30"),0),MATCH('All Positional Stats'!F$91,INDIRECT("'"&amp;$A93&amp;"'!$A$1:$W$1"),0))</f>
        <v>16.399999999999999</v>
      </c>
      <c r="G93" s="1">
        <f t="shared" ref="G93" ca="1" si="279">_xlfn.RANK.EQ(F93,F$93:F$104)</f>
        <v>4</v>
      </c>
      <c r="H93" s="1">
        <f ca="1">INDEX(INDIRECT("'"&amp;$A93&amp;"'!$A$1:$W$30"),MATCH('All Positional Stats'!$A$92,INDIRECT("'"&amp;$A93&amp;"'!$A$1:$A$30"),0),MATCH('All Positional Stats'!H$91,INDIRECT("'"&amp;$A93&amp;"'!$A$1:$W$1"),0))</f>
        <v>3</v>
      </c>
      <c r="I93" s="1">
        <f t="shared" ref="I93" ca="1" si="280">_xlfn.RANK.EQ(H93,H$93:H$104)</f>
        <v>9</v>
      </c>
      <c r="J93" s="1">
        <f ca="1">INDEX(INDIRECT("'"&amp;$A93&amp;"'!$A$1:$W$30"),MATCH('All Positional Stats'!$A$92,INDIRECT("'"&amp;$A93&amp;"'!$A$1:$A$30"),0),MATCH('All Positional Stats'!J$91,INDIRECT("'"&amp;$A93&amp;"'!$A$1:$W$1"),0))</f>
        <v>13.1</v>
      </c>
      <c r="K93" s="1">
        <f t="shared" ref="K93" ca="1" si="281">_xlfn.RANK.EQ(J93,J$93:J$104)</f>
        <v>4</v>
      </c>
      <c r="L93" s="1">
        <f ca="1">INDEX(INDIRECT("'"&amp;$A93&amp;"'!$A$1:$W$30"),MATCH('All Positional Stats'!$A$92,INDIRECT("'"&amp;$A93&amp;"'!$A$1:$A$30"),0),MATCH('All Positional Stats'!L$91,INDIRECT("'"&amp;$A93&amp;"'!$A$1:$W$1"),0))</f>
        <v>11.3</v>
      </c>
      <c r="M93" s="1">
        <f t="shared" ref="M93" ca="1" si="282">_xlfn.RANK.EQ(L93,L$93:L$104)</f>
        <v>5</v>
      </c>
      <c r="N93" s="1">
        <f ca="1">INDEX(INDIRECT("'"&amp;$A93&amp;"'!$A$1:$W$30"),MATCH('All Positional Stats'!$A$92,INDIRECT("'"&amp;$A93&amp;"'!$A$1:$A$30"),0),MATCH('All Positional Stats'!N$91,INDIRECT("'"&amp;$A93&amp;"'!$A$1:$W$1"),0))</f>
        <v>9.8000000000000007</v>
      </c>
      <c r="O93" s="1">
        <f t="shared" ref="O93" ca="1" si="283">_xlfn.RANK.EQ(N93,N$93:N$104)</f>
        <v>3</v>
      </c>
      <c r="P93" s="1">
        <f ca="1">INDEX(INDIRECT("'"&amp;$A93&amp;"'!$A$1:$W$30"),MATCH('All Positional Stats'!$A$92,INDIRECT("'"&amp;$A93&amp;"'!$A$1:$A$30"),0),MATCH('All Positional Stats'!P$91,INDIRECT("'"&amp;$A93&amp;"'!$A$1:$W$1"),0))</f>
        <v>5.2</v>
      </c>
      <c r="Q93" s="1">
        <f t="shared" ref="Q93" ca="1" si="284">_xlfn.RANK.EQ(P93,P$93:P$104)</f>
        <v>11</v>
      </c>
      <c r="R93" s="1">
        <f ca="1">INDEX(INDIRECT("'"&amp;$A93&amp;"'!$A$1:$W$30"),MATCH('All Positional Stats'!$A$92,INDIRECT("'"&amp;$A93&amp;"'!$A$1:$A$30"),0),MATCH('All Positional Stats'!R$91,INDIRECT("'"&amp;$A93&amp;"'!$A$1:$W$1"),0))</f>
        <v>4.3</v>
      </c>
      <c r="S93" s="1">
        <f t="shared" ref="S93:AG94" ca="1" si="285">_xlfn.RANK.EQ(R93,R$93:R$104)</f>
        <v>12</v>
      </c>
      <c r="T93" s="1">
        <f ca="1">INDEX(INDIRECT("'"&amp;$A93&amp;"'!$A$1:$W$30"),MATCH('All Positional Stats'!$A$92,INDIRECT("'"&amp;$A93&amp;"'!$A$1:$A$30"),0),MATCH('All Positional Stats'!T$91,INDIRECT("'"&amp;$A93&amp;"'!$A$1:$W$1"),0))</f>
        <v>11.2</v>
      </c>
      <c r="U93" s="1">
        <f t="shared" ref="U93" ca="1" si="286">_xlfn.RANK.EQ(T93,T$93:T$104)</f>
        <v>4</v>
      </c>
      <c r="V93" s="1">
        <f ca="1">INDEX(INDIRECT("'"&amp;$A93&amp;"'!$A$1:$W$30"),MATCH('All Positional Stats'!$A$92,INDIRECT("'"&amp;$A93&amp;"'!$A$1:$A$30"),0),MATCH('All Positional Stats'!V$91,INDIRECT("'"&amp;$A93&amp;"'!$A$1:$W$1"),0))</f>
        <v>9.8000000000000007</v>
      </c>
      <c r="W93" s="1">
        <f t="shared" ref="W93" ca="1" si="287">_xlfn.RANK.EQ(V93,V$93:V$104)</f>
        <v>10</v>
      </c>
      <c r="X93" s="1">
        <f ca="1">INDEX(INDIRECT("'"&amp;$A93&amp;"'!$A$1:$W$30"),MATCH('All Positional Stats'!$A$92,INDIRECT("'"&amp;$A93&amp;"'!$A$1:$A$30"),0),MATCH('All Positional Stats'!X$91,INDIRECT("'"&amp;$A93&amp;"'!$A$1:$W$1"),0))</f>
        <v>10</v>
      </c>
      <c r="Y93" s="1">
        <f t="shared" ref="Y93" ca="1" si="288">_xlfn.RANK.EQ(X93,X$93:X$104)</f>
        <v>9</v>
      </c>
      <c r="Z93" s="1">
        <f ca="1">INDEX(INDIRECT("'"&amp;$A93&amp;"'!$A$1:$W$30"),MATCH('All Positional Stats'!$A$92,INDIRECT("'"&amp;$A93&amp;"'!$A$1:$A$30"),0),MATCH('All Positional Stats'!Z$91,INDIRECT("'"&amp;$A93&amp;"'!$A$1:$W$1"),0))</f>
        <v>3.4</v>
      </c>
      <c r="AA93" s="1">
        <f t="shared" ref="AA93" ca="1" si="289">_xlfn.RANK.EQ(Z93,Z$93:Z$104)</f>
        <v>11</v>
      </c>
      <c r="AB93" s="1">
        <f ca="1">INDEX(INDIRECT("'"&amp;$A93&amp;"'!$A$1:$W$30"),MATCH('All Positional Stats'!$A$92,INDIRECT("'"&amp;$A93&amp;"'!$A$1:$A$30"),0),MATCH('All Positional Stats'!AB$91,INDIRECT("'"&amp;$A93&amp;"'!$A$1:$W$1"),0))</f>
        <v>8.4</v>
      </c>
      <c r="AC93" s="1">
        <f t="shared" ref="AC93" ca="1" si="290">_xlfn.RANK.EQ(AB93,AB$93:AB$104)</f>
        <v>8</v>
      </c>
      <c r="AD93" s="1">
        <f ca="1">INDEX(INDIRECT("'"&amp;$A93&amp;"'!$A$1:$W$30"),MATCH('All Positional Stats'!$A$92,INDIRECT("'"&amp;$A93&amp;"'!$A$1:$A$30"),0),MATCH('All Positional Stats'!AD$91,INDIRECT("'"&amp;$A93&amp;"'!$A$1:$W$1"),0))</f>
        <v>2.2999999999999998</v>
      </c>
      <c r="AE93" s="1">
        <f t="shared" ref="AE93" ca="1" si="291">_xlfn.RANK.EQ(AD93,AD$93:AD$104)</f>
        <v>12</v>
      </c>
      <c r="AF93" s="1">
        <f ca="1">INDEX(INDIRECT("'"&amp;$A93&amp;"'!$A$1:$W$30"),MATCH('All Positional Stats'!$A$92,INDIRECT("'"&amp;$A93&amp;"'!$A$1:$A$30"),0),MATCH('All Positional Stats'!AF$91,INDIRECT("'"&amp;$A93&amp;"'!$A$1:$W$1"),0))</f>
        <v>2.2000000000000002</v>
      </c>
      <c r="AG93" s="1">
        <f t="shared" ref="AG93" ca="1" si="292">_xlfn.RANK.EQ(AF93,AF$93:AF$104)</f>
        <v>12</v>
      </c>
      <c r="AH93" s="1">
        <f ca="1">INDEX(INDIRECT("'"&amp;$A93&amp;"'!$A$1:$W$30"),MATCH('All Positional Stats'!$A$92,INDIRECT("'"&amp;$A93&amp;"'!$A$1:$A$30"),0),MATCH('All Positional Stats'!AH$91,INDIRECT("'"&amp;$A93&amp;"'!$A$1:$W$1"),0))</f>
        <v>0</v>
      </c>
      <c r="AI93" s="1">
        <f ca="1">INDEX(INDIRECT("'"&amp;$A93&amp;"'!$A$1:$W$30"),MATCH('All Positional Stats'!$A$92,INDIRECT("'"&amp;$A93&amp;"'!$A$1:$A$30"),0),MATCH('All Positional Stats'!AI$91,INDIRECT("'"&amp;$A93&amp;"'!$A$1:$W$1"),0))</f>
        <v>16.399999999999999</v>
      </c>
      <c r="AJ93" s="7">
        <f ca="1">INDEX(INDIRECT("'"&amp;$A93&amp;"'!$A$1:$W$30"),MATCH('All Positional Stats'!$A$92,INDIRECT("'"&amp;$A93&amp;"'!$A$1:$A$30"),0),MATCH('All Positional Stats'!AJ$91,INDIRECT("'"&amp;$A93&amp;"'!$A$1:$W$1"),0))</f>
        <v>7.2374999999999998</v>
      </c>
      <c r="AK93" s="7">
        <f ca="1">INDEX(INDIRECT("'"&amp;$A93&amp;"'!$A$1:$W$30"),MATCH('All Positional Stats'!$A$92,INDIRECT("'"&amp;$A93&amp;"'!$A$1:$A$30"),0),MATCH('All Positional Stats'!AK$91,INDIRECT("'"&amp;$A93&amp;"'!$A$1:$W$1"),0))</f>
        <v>4.4973429655742265</v>
      </c>
      <c r="AL93" s="7">
        <f ca="1">INDEX(INDIRECT("'"&amp;$A93&amp;"'!$A$1:$W$30"),MATCH('All Positional Stats'!$A$92,INDIRECT("'"&amp;$A93&amp;"'!$A$1:$A$30"),0),MATCH('All Positional Stats'!AL$91,INDIRECT("'"&amp;$A93&amp;"'!$A$1:$W$1"),0))</f>
        <v>115.8</v>
      </c>
      <c r="AM93" s="6">
        <f ca="1">INDEX(INDIRECT("'"&amp;$A93&amp;"'!$A$1:$W$30"),MATCH('All Positional Stats'!$A$92,INDIRECT("'"&amp;$A93&amp;"'!$A$1:$A$30"),0),MATCH('All Positional Stats'!AM$91,INDIRECT("'"&amp;$A93&amp;"'!$A$1:$W$1"),0))</f>
        <v>8.4978351801570429E-2</v>
      </c>
      <c r="AN93" s="9">
        <f ca="1">SUMIF($B$92:$AA$92, "Points", B93:AA93)</f>
        <v>102.9</v>
      </c>
      <c r="AO93" s="8">
        <f ca="1">_xlfn.RANK.EQ(AN93,$AN$93:$AN$104)</f>
        <v>11</v>
      </c>
    </row>
    <row r="94" spans="1:41" ht="16.25" thickTop="1" thickBot="1" x14ac:dyDescent="0.9">
      <c r="A94" s="1" t="s">
        <v>2</v>
      </c>
      <c r="B94" s="1">
        <f ca="1">INDEX(INDIRECT("'"&amp;$A94&amp;"'!$A$1:$W$30"),MATCH('All Positional Stats'!$A$92,INDIRECT("'"&amp;$A94&amp;"'!$A$1:$A$30"),0),MATCH('All Positional Stats'!B$91,INDIRECT("'"&amp;$A94&amp;"'!$A$1:$W$1"),0))</f>
        <v>4.0999999999999996</v>
      </c>
      <c r="C94" s="1">
        <f t="shared" ref="C94:Q104" ca="1" si="293">_xlfn.RANK.EQ(B94,B$93:B$104)</f>
        <v>8</v>
      </c>
      <c r="D94" s="1">
        <f ca="1">INDEX(INDIRECT("'"&amp;$A94&amp;"'!$A$1:$W$30"),MATCH('All Positional Stats'!$A$92,INDIRECT("'"&amp;$A94&amp;"'!$A$1:$A$30"),0),MATCH('All Positional Stats'!D$91,INDIRECT("'"&amp;$A94&amp;"'!$A$1:$W$1"),0))</f>
        <v>21.2</v>
      </c>
      <c r="E94" s="1">
        <f t="shared" ca="1" si="293"/>
        <v>1</v>
      </c>
      <c r="F94" s="1">
        <f ca="1">INDEX(INDIRECT("'"&amp;$A94&amp;"'!$A$1:$W$30"),MATCH('All Positional Stats'!$A$92,INDIRECT("'"&amp;$A94&amp;"'!$A$1:$A$30"),0),MATCH('All Positional Stats'!F$91,INDIRECT("'"&amp;$A94&amp;"'!$A$1:$W$1"),0))</f>
        <v>11</v>
      </c>
      <c r="G94" s="1">
        <f t="shared" ca="1" si="293"/>
        <v>5</v>
      </c>
      <c r="H94" s="1">
        <f ca="1">INDEX(INDIRECT("'"&amp;$A94&amp;"'!$A$1:$W$30"),MATCH('All Positional Stats'!$A$92,INDIRECT("'"&amp;$A94&amp;"'!$A$1:$A$30"),0),MATCH('All Positional Stats'!H$91,INDIRECT("'"&amp;$A94&amp;"'!$A$1:$W$1"),0))</f>
        <v>4.7</v>
      </c>
      <c r="I94" s="1">
        <f t="shared" ca="1" si="293"/>
        <v>8</v>
      </c>
      <c r="J94" s="1">
        <f ca="1">INDEX(INDIRECT("'"&amp;$A94&amp;"'!$A$1:$W$30"),MATCH('All Positional Stats'!$A$92,INDIRECT("'"&amp;$A94&amp;"'!$A$1:$A$30"),0),MATCH('All Positional Stats'!J$91,INDIRECT("'"&amp;$A94&amp;"'!$A$1:$W$1"),0))</f>
        <v>7</v>
      </c>
      <c r="K94" s="1">
        <f t="shared" ca="1" si="293"/>
        <v>6</v>
      </c>
      <c r="L94" s="1">
        <f ca="1">INDEX(INDIRECT("'"&amp;$A94&amp;"'!$A$1:$W$30"),MATCH('All Positional Stats'!$A$92,INDIRECT("'"&amp;$A94&amp;"'!$A$1:$A$30"),0),MATCH('All Positional Stats'!L$91,INDIRECT("'"&amp;$A94&amp;"'!$A$1:$W$1"),0))</f>
        <v>14.1</v>
      </c>
      <c r="M94" s="1">
        <f t="shared" ca="1" si="293"/>
        <v>3</v>
      </c>
      <c r="N94" s="1">
        <f ca="1">INDEX(INDIRECT("'"&amp;$A94&amp;"'!$A$1:$W$30"),MATCH('All Positional Stats'!$A$92,INDIRECT("'"&amp;$A94&amp;"'!$A$1:$A$30"),0),MATCH('All Positional Stats'!N$91,INDIRECT("'"&amp;$A94&amp;"'!$A$1:$W$1"),0))</f>
        <v>6.6</v>
      </c>
      <c r="O94" s="1">
        <f t="shared" ca="1" si="293"/>
        <v>8</v>
      </c>
      <c r="P94" s="1">
        <f ca="1">INDEX(INDIRECT("'"&amp;$A94&amp;"'!$A$1:$W$30"),MATCH('All Positional Stats'!$A$92,INDIRECT("'"&amp;$A94&amp;"'!$A$1:$A$30"),0),MATCH('All Positional Stats'!P$91,INDIRECT("'"&amp;$A94&amp;"'!$A$1:$W$1"),0))</f>
        <v>18.3</v>
      </c>
      <c r="Q94" s="1">
        <f t="shared" ca="1" si="293"/>
        <v>2</v>
      </c>
      <c r="R94" s="1">
        <f ca="1">INDEX(INDIRECT("'"&amp;$A94&amp;"'!$A$1:$W$30"),MATCH('All Positional Stats'!$A$92,INDIRECT("'"&amp;$A94&amp;"'!$A$1:$A$30"),0),MATCH('All Positional Stats'!R$91,INDIRECT("'"&amp;$A94&amp;"'!$A$1:$W$1"),0))</f>
        <v>4.8</v>
      </c>
      <c r="S94" s="1">
        <f t="shared" ca="1" si="285"/>
        <v>10</v>
      </c>
      <c r="T94" s="1">
        <f ca="1">INDEX(INDIRECT("'"&amp;$A94&amp;"'!$A$1:$W$30"),MATCH('All Positional Stats'!$A$92,INDIRECT("'"&amp;$A94&amp;"'!$A$1:$A$30"),0),MATCH('All Positional Stats'!T$91,INDIRECT("'"&amp;$A94&amp;"'!$A$1:$W$1"),0))</f>
        <v>26.6</v>
      </c>
      <c r="U94" s="1">
        <f t="shared" ca="1" si="285"/>
        <v>1</v>
      </c>
      <c r="V94" s="1">
        <f ca="1">INDEX(INDIRECT("'"&amp;$A94&amp;"'!$A$1:$W$30"),MATCH('All Positional Stats'!$A$92,INDIRECT("'"&amp;$A94&amp;"'!$A$1:$A$30"),0),MATCH('All Positional Stats'!V$91,INDIRECT("'"&amp;$A94&amp;"'!$A$1:$W$1"),0))</f>
        <v>21.3</v>
      </c>
      <c r="W94" s="1">
        <f t="shared" ca="1" si="285"/>
        <v>3</v>
      </c>
      <c r="X94" s="1">
        <f ca="1">INDEX(INDIRECT("'"&amp;$A94&amp;"'!$A$1:$W$30"),MATCH('All Positional Stats'!$A$92,INDIRECT("'"&amp;$A94&amp;"'!$A$1:$A$30"),0),MATCH('All Positional Stats'!X$91,INDIRECT("'"&amp;$A94&amp;"'!$A$1:$W$1"),0))</f>
        <v>12.9</v>
      </c>
      <c r="Y94" s="1">
        <f t="shared" ca="1" si="285"/>
        <v>7</v>
      </c>
      <c r="Z94" s="1">
        <f ca="1">INDEX(INDIRECT("'"&amp;$A94&amp;"'!$A$1:$W$30"),MATCH('All Positional Stats'!$A$92,INDIRECT("'"&amp;$A94&amp;"'!$A$1:$A$30"),0),MATCH('All Positional Stats'!Z$91,INDIRECT("'"&amp;$A94&amp;"'!$A$1:$W$1"),0))</f>
        <v>7.1</v>
      </c>
      <c r="AA94" s="1">
        <f t="shared" ca="1" si="285"/>
        <v>6</v>
      </c>
      <c r="AB94" s="1">
        <f ca="1">INDEX(INDIRECT("'"&amp;$A94&amp;"'!$A$1:$W$30"),MATCH('All Positional Stats'!$A$92,INDIRECT("'"&amp;$A94&amp;"'!$A$1:$A$30"),0),MATCH('All Positional Stats'!AB$91,INDIRECT("'"&amp;$A94&amp;"'!$A$1:$W$1"),0))</f>
        <v>19.5</v>
      </c>
      <c r="AC94" s="1">
        <f t="shared" ca="1" si="285"/>
        <v>4</v>
      </c>
      <c r="AD94" s="1">
        <f ca="1">INDEX(INDIRECT("'"&amp;$A94&amp;"'!$A$1:$W$30"),MATCH('All Positional Stats'!$A$92,INDIRECT("'"&amp;$A94&amp;"'!$A$1:$A$30"),0),MATCH('All Positional Stats'!AD$91,INDIRECT("'"&amp;$A94&amp;"'!$A$1:$W$1"),0))</f>
        <v>4.5</v>
      </c>
      <c r="AE94" s="1">
        <f t="shared" ca="1" si="285"/>
        <v>8</v>
      </c>
      <c r="AF94" s="1">
        <f ca="1">INDEX(INDIRECT("'"&amp;$A94&amp;"'!$A$1:$W$30"),MATCH('All Positional Stats'!$A$92,INDIRECT("'"&amp;$A94&amp;"'!$A$1:$A$30"),0),MATCH('All Positional Stats'!AF$91,INDIRECT("'"&amp;$A94&amp;"'!$A$1:$W$1"),0))</f>
        <v>3.4</v>
      </c>
      <c r="AG94" s="1">
        <f t="shared" ca="1" si="285"/>
        <v>10</v>
      </c>
      <c r="AH94" s="1">
        <f ca="1">INDEX(INDIRECT("'"&amp;$A94&amp;"'!$A$1:$W$30"),MATCH('All Positional Stats'!$A$92,INDIRECT("'"&amp;$A94&amp;"'!$A$1:$A$30"),0),MATCH('All Positional Stats'!AH$91,INDIRECT("'"&amp;$A94&amp;"'!$A$1:$W$1"),0))</f>
        <v>3.4</v>
      </c>
      <c r="AI94" s="1">
        <f ca="1">INDEX(INDIRECT("'"&amp;$A94&amp;"'!$A$1:$W$30"),MATCH('All Positional Stats'!$A$92,INDIRECT("'"&amp;$A94&amp;"'!$A$1:$A$30"),0),MATCH('All Positional Stats'!AI$91,INDIRECT("'"&amp;$A94&amp;"'!$A$1:$W$1"),0))</f>
        <v>26.6</v>
      </c>
      <c r="AJ94" s="7">
        <f ca="1">INDEX(INDIRECT("'"&amp;$A94&amp;"'!$A$1:$W$30"),MATCH('All Positional Stats'!$A$92,INDIRECT("'"&amp;$A94&amp;"'!$A$1:$A$30"),0),MATCH('All Positional Stats'!AJ$91,INDIRECT("'"&amp;$A94&amp;"'!$A$1:$W$1"),0))</f>
        <v>11.69375</v>
      </c>
      <c r="AK94" s="7">
        <f ca="1">INDEX(INDIRECT("'"&amp;$A94&amp;"'!$A$1:$W$30"),MATCH('All Positional Stats'!$A$92,INDIRECT("'"&amp;$A94&amp;"'!$A$1:$A$30"),0),MATCH('All Positional Stats'!AK$91,INDIRECT("'"&amp;$A94&amp;"'!$A$1:$W$1"),0))</f>
        <v>7.3351438934420337</v>
      </c>
      <c r="AL94" s="7">
        <f ca="1">INDEX(INDIRECT("'"&amp;$A94&amp;"'!$A$1:$W$30"),MATCH('All Positional Stats'!$A$92,INDIRECT("'"&amp;$A94&amp;"'!$A$1:$A$30"),0),MATCH('All Positional Stats'!AL$91,INDIRECT("'"&amp;$A94&amp;"'!$A$1:$W$1"),0))</f>
        <v>187.1</v>
      </c>
      <c r="AM94" s="6">
        <f ca="1">INDEX(INDIRECT("'"&amp;$A94&amp;"'!$A$1:$W$30"),MATCH('All Positional Stats'!$A$92,INDIRECT("'"&amp;$A94&amp;"'!$A$1:$A$30"),0),MATCH('All Positional Stats'!AM$91,INDIRECT("'"&amp;$A94&amp;"'!$A$1:$W$1"),0))</f>
        <v>0.1241869109252622</v>
      </c>
      <c r="AN94" s="9">
        <f t="shared" ref="AN94:AN104" ca="1" si="294">SUMIF($B$77:$AA$77, "Points", B94:AA94)</f>
        <v>159.70000000000002</v>
      </c>
      <c r="AO94" s="8">
        <f t="shared" ref="AO94:AO104" ca="1" si="295">_xlfn.RANK.EQ(AN94,$AN$93:$AN$104)</f>
        <v>3</v>
      </c>
    </row>
    <row r="95" spans="1:41" ht="16.25" thickTop="1" thickBot="1" x14ac:dyDescent="0.9">
      <c r="A95" s="1" t="s">
        <v>3</v>
      </c>
      <c r="B95" s="1">
        <f ca="1">INDEX(INDIRECT("'"&amp;$A95&amp;"'!$A$1:$W$30"),MATCH('All Positional Stats'!$A$92,INDIRECT("'"&amp;$A95&amp;"'!$A$1:$A$30"),0),MATCH('All Positional Stats'!B$91,INDIRECT("'"&amp;$A95&amp;"'!$A$1:$W$1"),0))</f>
        <v>1.5</v>
      </c>
      <c r="C95" s="1">
        <f t="shared" ca="1" si="293"/>
        <v>11</v>
      </c>
      <c r="D95" s="1">
        <f ca="1">INDEX(INDIRECT("'"&amp;$A95&amp;"'!$A$1:$W$30"),MATCH('All Positional Stats'!$A$92,INDIRECT("'"&amp;$A95&amp;"'!$A$1:$A$30"),0),MATCH('All Positional Stats'!D$91,INDIRECT("'"&amp;$A95&amp;"'!$A$1:$W$1"),0))</f>
        <v>6.7</v>
      </c>
      <c r="E95" s="1">
        <f t="shared" ref="E95:AG104" ca="1" si="296">_xlfn.RANK.EQ(D95,D$93:D$104)</f>
        <v>8</v>
      </c>
      <c r="F95" s="1">
        <f ca="1">INDEX(INDIRECT("'"&amp;$A95&amp;"'!$A$1:$W$30"),MATCH('All Positional Stats'!$A$92,INDIRECT("'"&amp;$A95&amp;"'!$A$1:$A$30"),0),MATCH('All Positional Stats'!F$91,INDIRECT("'"&amp;$A95&amp;"'!$A$1:$W$1"),0))</f>
        <v>6.2</v>
      </c>
      <c r="G95" s="1">
        <f t="shared" ca="1" si="296"/>
        <v>9</v>
      </c>
      <c r="H95" s="1">
        <f ca="1">INDEX(INDIRECT("'"&amp;$A95&amp;"'!$A$1:$W$30"),MATCH('All Positional Stats'!$A$92,INDIRECT("'"&amp;$A95&amp;"'!$A$1:$A$30"),0),MATCH('All Positional Stats'!H$91,INDIRECT("'"&amp;$A95&amp;"'!$A$1:$W$1"),0))</f>
        <v>-0.2</v>
      </c>
      <c r="I95" s="1">
        <f t="shared" ca="1" si="296"/>
        <v>12</v>
      </c>
      <c r="J95" s="1">
        <f ca="1">INDEX(INDIRECT("'"&amp;$A95&amp;"'!$A$1:$W$30"),MATCH('All Positional Stats'!$A$92,INDIRECT("'"&amp;$A95&amp;"'!$A$1:$A$30"),0),MATCH('All Positional Stats'!J$91,INDIRECT("'"&amp;$A95&amp;"'!$A$1:$W$1"),0))</f>
        <v>4.2</v>
      </c>
      <c r="K95" s="1">
        <f t="shared" ca="1" si="296"/>
        <v>9</v>
      </c>
      <c r="L95" s="1">
        <f ca="1">INDEX(INDIRECT("'"&amp;$A95&amp;"'!$A$1:$W$30"),MATCH('All Positional Stats'!$A$92,INDIRECT("'"&amp;$A95&amp;"'!$A$1:$A$30"),0),MATCH('All Positional Stats'!L$91,INDIRECT("'"&amp;$A95&amp;"'!$A$1:$W$1"),0))</f>
        <v>27.5</v>
      </c>
      <c r="M95" s="1">
        <f t="shared" ca="1" si="296"/>
        <v>1</v>
      </c>
      <c r="N95" s="1">
        <f ca="1">INDEX(INDIRECT("'"&amp;$A95&amp;"'!$A$1:$W$30"),MATCH('All Positional Stats'!$A$92,INDIRECT("'"&amp;$A95&amp;"'!$A$1:$A$30"),0),MATCH('All Positional Stats'!N$91,INDIRECT("'"&amp;$A95&amp;"'!$A$1:$W$1"),0))</f>
        <v>9.5</v>
      </c>
      <c r="O95" s="1">
        <f t="shared" ca="1" si="296"/>
        <v>4</v>
      </c>
      <c r="P95" s="1">
        <f ca="1">INDEX(INDIRECT("'"&amp;$A95&amp;"'!$A$1:$W$30"),MATCH('All Positional Stats'!$A$92,INDIRECT("'"&amp;$A95&amp;"'!$A$1:$A$30"),0),MATCH('All Positional Stats'!P$91,INDIRECT("'"&amp;$A95&amp;"'!$A$1:$W$1"),0))</f>
        <v>20.8</v>
      </c>
      <c r="Q95" s="1">
        <f t="shared" ca="1" si="296"/>
        <v>1</v>
      </c>
      <c r="R95" s="1">
        <f ca="1">INDEX(INDIRECT("'"&amp;$A95&amp;"'!$A$1:$W$30"),MATCH('All Positional Stats'!$A$92,INDIRECT("'"&amp;$A95&amp;"'!$A$1:$A$30"),0),MATCH('All Positional Stats'!R$91,INDIRECT("'"&amp;$A95&amp;"'!$A$1:$W$1"),0))</f>
        <v>4.5999999999999996</v>
      </c>
      <c r="S95" s="1">
        <f t="shared" ca="1" si="296"/>
        <v>11</v>
      </c>
      <c r="T95" s="1">
        <f ca="1">INDEX(INDIRECT("'"&amp;$A95&amp;"'!$A$1:$W$30"),MATCH('All Positional Stats'!$A$92,INDIRECT("'"&amp;$A95&amp;"'!$A$1:$A$30"),0),MATCH('All Positional Stats'!T$91,INDIRECT("'"&amp;$A95&amp;"'!$A$1:$W$1"),0))</f>
        <v>13.7</v>
      </c>
      <c r="U95" s="1">
        <f t="shared" ca="1" si="296"/>
        <v>3</v>
      </c>
      <c r="V95" s="1">
        <f ca="1">INDEX(INDIRECT("'"&amp;$A95&amp;"'!$A$1:$W$30"),MATCH('All Positional Stats'!$A$92,INDIRECT("'"&amp;$A95&amp;"'!$A$1:$A$30"),0),MATCH('All Positional Stats'!V$91,INDIRECT("'"&amp;$A95&amp;"'!$A$1:$W$1"),0))</f>
        <v>14.8</v>
      </c>
      <c r="W95" s="1">
        <f t="shared" ca="1" si="296"/>
        <v>5</v>
      </c>
      <c r="X95" s="1">
        <f ca="1">INDEX(INDIRECT("'"&amp;$A95&amp;"'!$A$1:$W$30"),MATCH('All Positional Stats'!$A$92,INDIRECT("'"&amp;$A95&amp;"'!$A$1:$A$30"),0),MATCH('All Positional Stats'!X$91,INDIRECT("'"&amp;$A95&amp;"'!$A$1:$W$1"),0))</f>
        <v>22.3</v>
      </c>
      <c r="Y95" s="1">
        <f t="shared" ca="1" si="296"/>
        <v>2</v>
      </c>
      <c r="Z95" s="1">
        <f ca="1">INDEX(INDIRECT("'"&amp;$A95&amp;"'!$A$1:$W$30"),MATCH('All Positional Stats'!$A$92,INDIRECT("'"&amp;$A95&amp;"'!$A$1:$A$30"),0),MATCH('All Positional Stats'!Z$91,INDIRECT("'"&amp;$A95&amp;"'!$A$1:$W$1"),0))</f>
        <v>26.7</v>
      </c>
      <c r="AA95" s="1">
        <f t="shared" ca="1" si="296"/>
        <v>3</v>
      </c>
      <c r="AB95" s="1">
        <f ca="1">INDEX(INDIRECT("'"&amp;$A95&amp;"'!$A$1:$W$30"),MATCH('All Positional Stats'!$A$92,INDIRECT("'"&amp;$A95&amp;"'!$A$1:$A$30"),0),MATCH('All Positional Stats'!AB$91,INDIRECT("'"&amp;$A95&amp;"'!$A$1:$W$1"),0))</f>
        <v>35</v>
      </c>
      <c r="AC95" s="1">
        <f t="shared" ca="1" si="296"/>
        <v>1</v>
      </c>
      <c r="AD95" s="1">
        <f ca="1">INDEX(INDIRECT("'"&amp;$A95&amp;"'!$A$1:$W$30"),MATCH('All Positional Stats'!$A$92,INDIRECT("'"&amp;$A95&amp;"'!$A$1:$A$30"),0),MATCH('All Positional Stats'!AD$91,INDIRECT("'"&amp;$A95&amp;"'!$A$1:$W$1"),0))</f>
        <v>25</v>
      </c>
      <c r="AE95" s="1">
        <f t="shared" ca="1" si="296"/>
        <v>1</v>
      </c>
      <c r="AF95" s="1">
        <f ca="1">INDEX(INDIRECT("'"&amp;$A95&amp;"'!$A$1:$W$30"),MATCH('All Positional Stats'!$A$92,INDIRECT("'"&amp;$A95&amp;"'!$A$1:$A$30"),0),MATCH('All Positional Stats'!AF$91,INDIRECT("'"&amp;$A95&amp;"'!$A$1:$W$1"),0))</f>
        <v>18.2</v>
      </c>
      <c r="AG95" s="1">
        <f t="shared" ca="1" si="296"/>
        <v>1</v>
      </c>
      <c r="AH95" s="1">
        <f ca="1">INDEX(INDIRECT("'"&amp;$A95&amp;"'!$A$1:$W$30"),MATCH('All Positional Stats'!$A$92,INDIRECT("'"&amp;$A95&amp;"'!$A$1:$A$30"),0),MATCH('All Positional Stats'!AH$91,INDIRECT("'"&amp;$A95&amp;"'!$A$1:$W$1"),0))</f>
        <v>-0.2</v>
      </c>
      <c r="AI95" s="1">
        <f ca="1">INDEX(INDIRECT("'"&amp;$A95&amp;"'!$A$1:$W$30"),MATCH('All Positional Stats'!$A$92,INDIRECT("'"&amp;$A95&amp;"'!$A$1:$A$30"),0),MATCH('All Positional Stats'!AI$91,INDIRECT("'"&amp;$A95&amp;"'!$A$1:$W$1"),0))</f>
        <v>35</v>
      </c>
      <c r="AJ95" s="7">
        <f ca="1">INDEX(INDIRECT("'"&amp;$A95&amp;"'!$A$1:$W$30"),MATCH('All Positional Stats'!$A$92,INDIRECT("'"&amp;$A95&amp;"'!$A$1:$A$30"),0),MATCH('All Positional Stats'!AJ$91,INDIRECT("'"&amp;$A95&amp;"'!$A$1:$W$1"),0))</f>
        <v>14.781249999999998</v>
      </c>
      <c r="AK95" s="7">
        <f ca="1">INDEX(INDIRECT("'"&amp;$A95&amp;"'!$A$1:$W$30"),MATCH('All Positional Stats'!$A$92,INDIRECT("'"&amp;$A95&amp;"'!$A$1:$A$30"),0),MATCH('All Positional Stats'!AK$91,INDIRECT("'"&amp;$A95&amp;"'!$A$1:$W$1"),0))</f>
        <v>10.325769871418792</v>
      </c>
      <c r="AL95" s="7">
        <f ca="1">INDEX(INDIRECT("'"&amp;$A95&amp;"'!$A$1:$W$30"),MATCH('All Positional Stats'!$A$92,INDIRECT("'"&amp;$A95&amp;"'!$A$1:$A$30"),0),MATCH('All Positional Stats'!AL$91,INDIRECT("'"&amp;$A95&amp;"'!$A$1:$W$1"),0))</f>
        <v>236.49999999999997</v>
      </c>
      <c r="AM95" s="6">
        <f ca="1">INDEX(INDIRECT("'"&amp;$A95&amp;"'!$A$1:$W$30"),MATCH('All Positional Stats'!$A$92,INDIRECT("'"&amp;$A95&amp;"'!$A$1:$A$30"),0),MATCH('All Positional Stats'!AM$91,INDIRECT("'"&amp;$A95&amp;"'!$A$1:$W$1"),0))</f>
        <v>0.16350940265486724</v>
      </c>
      <c r="AN95" s="9">
        <f t="shared" ca="1" si="294"/>
        <v>158.29999999999998</v>
      </c>
      <c r="AO95" s="8">
        <f t="shared" ca="1" si="295"/>
        <v>4</v>
      </c>
    </row>
    <row r="96" spans="1:41" ht="16.25" thickTop="1" thickBot="1" x14ac:dyDescent="0.9">
      <c r="A96" s="1" t="s">
        <v>4</v>
      </c>
      <c r="B96" s="1">
        <f ca="1">INDEX(INDIRECT("'"&amp;$A96&amp;"'!$A$1:$W$30"),MATCH('All Positional Stats'!$A$92,INDIRECT("'"&amp;$A96&amp;"'!$A$1:$A$30"),0),MATCH('All Positional Stats'!B$91,INDIRECT("'"&amp;$A96&amp;"'!$A$1:$W$1"),0))</f>
        <v>11.1</v>
      </c>
      <c r="C96" s="1">
        <f t="shared" ca="1" si="293"/>
        <v>3</v>
      </c>
      <c r="D96" s="1">
        <f ca="1">INDEX(INDIRECT("'"&amp;$A96&amp;"'!$A$1:$W$30"),MATCH('All Positional Stats'!$A$92,INDIRECT("'"&amp;$A96&amp;"'!$A$1:$A$30"),0),MATCH('All Positional Stats'!D$91,INDIRECT("'"&amp;$A96&amp;"'!$A$1:$W$1"),0))</f>
        <v>11.1</v>
      </c>
      <c r="E96" s="1">
        <f t="shared" ca="1" si="296"/>
        <v>4</v>
      </c>
      <c r="F96" s="1">
        <f ca="1">INDEX(INDIRECT("'"&amp;$A96&amp;"'!$A$1:$W$30"),MATCH('All Positional Stats'!$A$92,INDIRECT("'"&amp;$A96&amp;"'!$A$1:$A$30"),0),MATCH('All Positional Stats'!F$91,INDIRECT("'"&amp;$A96&amp;"'!$A$1:$W$1"),0))</f>
        <v>5.7</v>
      </c>
      <c r="G96" s="1">
        <f t="shared" ca="1" si="296"/>
        <v>10</v>
      </c>
      <c r="H96" s="1">
        <f ca="1">INDEX(INDIRECT("'"&amp;$A96&amp;"'!$A$1:$W$30"),MATCH('All Positional Stats'!$A$92,INDIRECT("'"&amp;$A96&amp;"'!$A$1:$A$30"),0),MATCH('All Positional Stats'!H$91,INDIRECT("'"&amp;$A96&amp;"'!$A$1:$W$1"),0))</f>
        <v>7.4</v>
      </c>
      <c r="I96" s="1">
        <f t="shared" ca="1" si="296"/>
        <v>6</v>
      </c>
      <c r="J96" s="1">
        <f ca="1">INDEX(INDIRECT("'"&amp;$A96&amp;"'!$A$1:$W$30"),MATCH('All Positional Stats'!$A$92,INDIRECT("'"&amp;$A96&amp;"'!$A$1:$A$30"),0),MATCH('All Positional Stats'!J$91,INDIRECT("'"&amp;$A96&amp;"'!$A$1:$W$1"),0))</f>
        <v>2.7</v>
      </c>
      <c r="K96" s="1">
        <f t="shared" ca="1" si="296"/>
        <v>10</v>
      </c>
      <c r="L96" s="1">
        <f ca="1">INDEX(INDIRECT("'"&amp;$A96&amp;"'!$A$1:$W$30"),MATCH('All Positional Stats'!$A$92,INDIRECT("'"&amp;$A96&amp;"'!$A$1:$A$30"),0),MATCH('All Positional Stats'!L$91,INDIRECT("'"&amp;$A96&amp;"'!$A$1:$W$1"),0))</f>
        <v>8.1</v>
      </c>
      <c r="M96" s="1">
        <f t="shared" ca="1" si="296"/>
        <v>7</v>
      </c>
      <c r="N96" s="1">
        <f ca="1">INDEX(INDIRECT("'"&amp;$A96&amp;"'!$A$1:$W$30"),MATCH('All Positional Stats'!$A$92,INDIRECT("'"&amp;$A96&amp;"'!$A$1:$A$30"),0),MATCH('All Positional Stats'!N$91,INDIRECT("'"&amp;$A96&amp;"'!$A$1:$W$1"),0))</f>
        <v>8.9</v>
      </c>
      <c r="O96" s="1">
        <f t="shared" ca="1" si="296"/>
        <v>7</v>
      </c>
      <c r="P96" s="1">
        <f ca="1">INDEX(INDIRECT("'"&amp;$A96&amp;"'!$A$1:$W$30"),MATCH('All Positional Stats'!$A$92,INDIRECT("'"&amp;$A96&amp;"'!$A$1:$A$30"),0),MATCH('All Positional Stats'!P$91,INDIRECT("'"&amp;$A96&amp;"'!$A$1:$W$1"),0))</f>
        <v>6.2</v>
      </c>
      <c r="Q96" s="1">
        <f t="shared" ca="1" si="296"/>
        <v>10</v>
      </c>
      <c r="R96" s="1">
        <f ca="1">INDEX(INDIRECT("'"&amp;$A96&amp;"'!$A$1:$W$30"),MATCH('All Positional Stats'!$A$92,INDIRECT("'"&amp;$A96&amp;"'!$A$1:$A$30"),0),MATCH('All Positional Stats'!R$91,INDIRECT("'"&amp;$A96&amp;"'!$A$1:$W$1"),0))</f>
        <v>13.8</v>
      </c>
      <c r="S96" s="1">
        <f t="shared" ca="1" si="296"/>
        <v>4</v>
      </c>
      <c r="T96" s="1">
        <f ca="1">INDEX(INDIRECT("'"&amp;$A96&amp;"'!$A$1:$W$30"),MATCH('All Positional Stats'!$A$92,INDIRECT("'"&amp;$A96&amp;"'!$A$1:$A$30"),0),MATCH('All Positional Stats'!T$91,INDIRECT("'"&amp;$A96&amp;"'!$A$1:$W$1"),0))</f>
        <v>17.5</v>
      </c>
      <c r="U96" s="1">
        <f t="shared" ca="1" si="296"/>
        <v>2</v>
      </c>
      <c r="V96" s="1">
        <f ca="1">INDEX(INDIRECT("'"&amp;$A96&amp;"'!$A$1:$W$30"),MATCH('All Positional Stats'!$A$92,INDIRECT("'"&amp;$A96&amp;"'!$A$1:$A$30"),0),MATCH('All Positional Stats'!V$91,INDIRECT("'"&amp;$A96&amp;"'!$A$1:$W$1"),0))</f>
        <v>16.600000000000001</v>
      </c>
      <c r="W96" s="1">
        <f t="shared" ca="1" si="296"/>
        <v>4</v>
      </c>
      <c r="X96" s="1">
        <f ca="1">INDEX(INDIRECT("'"&amp;$A96&amp;"'!$A$1:$W$30"),MATCH('All Positional Stats'!$A$92,INDIRECT("'"&amp;$A96&amp;"'!$A$1:$A$30"),0),MATCH('All Positional Stats'!X$91,INDIRECT("'"&amp;$A96&amp;"'!$A$1:$W$1"),0))</f>
        <v>15.6</v>
      </c>
      <c r="Y96" s="1">
        <f t="shared" ca="1" si="296"/>
        <v>6</v>
      </c>
      <c r="Z96" s="1">
        <f ca="1">INDEX(INDIRECT("'"&amp;$A96&amp;"'!$A$1:$W$30"),MATCH('All Positional Stats'!$A$92,INDIRECT("'"&amp;$A96&amp;"'!$A$1:$A$30"),0),MATCH('All Positional Stats'!Z$91,INDIRECT("'"&amp;$A96&amp;"'!$A$1:$W$1"),0))</f>
        <v>6.2</v>
      </c>
      <c r="AA96" s="1">
        <f t="shared" ca="1" si="296"/>
        <v>9</v>
      </c>
      <c r="AB96" s="1">
        <f ca="1">INDEX(INDIRECT("'"&amp;$A96&amp;"'!$A$1:$W$30"),MATCH('All Positional Stats'!$A$92,INDIRECT("'"&amp;$A96&amp;"'!$A$1:$A$30"),0),MATCH('All Positional Stats'!AB$91,INDIRECT("'"&amp;$A96&amp;"'!$A$1:$W$1"),0))</f>
        <v>25.4</v>
      </c>
      <c r="AC96" s="1">
        <f t="shared" ca="1" si="296"/>
        <v>2</v>
      </c>
      <c r="AD96" s="1">
        <f ca="1">INDEX(INDIRECT("'"&amp;$A96&amp;"'!$A$1:$W$30"),MATCH('All Positional Stats'!$A$92,INDIRECT("'"&amp;$A96&amp;"'!$A$1:$A$30"),0),MATCH('All Positional Stats'!AD$91,INDIRECT("'"&amp;$A96&amp;"'!$A$1:$W$1"),0))</f>
        <v>14.2</v>
      </c>
      <c r="AE96" s="1">
        <f t="shared" ca="1" si="296"/>
        <v>4</v>
      </c>
      <c r="AF96" s="1">
        <f ca="1">INDEX(INDIRECT("'"&amp;$A96&amp;"'!$A$1:$W$30"),MATCH('All Positional Stats'!$A$92,INDIRECT("'"&amp;$A96&amp;"'!$A$1:$A$30"),0),MATCH('All Positional Stats'!AF$91,INDIRECT("'"&amp;$A96&amp;"'!$A$1:$W$1"),0))</f>
        <v>14.5</v>
      </c>
      <c r="AG96" s="1">
        <f t="shared" ca="1" si="296"/>
        <v>3</v>
      </c>
      <c r="AH96" s="1">
        <f ca="1">INDEX(INDIRECT("'"&amp;$A96&amp;"'!$A$1:$W$30"),MATCH('All Positional Stats'!$A$92,INDIRECT("'"&amp;$A96&amp;"'!$A$1:$A$30"),0),MATCH('All Positional Stats'!AH$91,INDIRECT("'"&amp;$A96&amp;"'!$A$1:$W$1"),0))</f>
        <v>2.7</v>
      </c>
      <c r="AI96" s="1">
        <f ca="1">INDEX(INDIRECT("'"&amp;$A96&amp;"'!$A$1:$W$30"),MATCH('All Positional Stats'!$A$92,INDIRECT("'"&amp;$A96&amp;"'!$A$1:$A$30"),0),MATCH('All Positional Stats'!AI$91,INDIRECT("'"&amp;$A96&amp;"'!$A$1:$W$1"),0))</f>
        <v>25.4</v>
      </c>
      <c r="AJ96" s="7">
        <f ca="1">INDEX(INDIRECT("'"&amp;$A96&amp;"'!$A$1:$W$30"),MATCH('All Positional Stats'!$A$92,INDIRECT("'"&amp;$A96&amp;"'!$A$1:$A$30"),0),MATCH('All Positional Stats'!AJ$91,INDIRECT("'"&amp;$A96&amp;"'!$A$1:$W$1"),0))</f>
        <v>11.562499999999998</v>
      </c>
      <c r="AK96" s="7">
        <f ca="1">INDEX(INDIRECT("'"&amp;$A96&amp;"'!$A$1:$W$30"),MATCH('All Positional Stats'!$A$92,INDIRECT("'"&amp;$A96&amp;"'!$A$1:$A$30"),0),MATCH('All Positional Stats'!AK$91,INDIRECT("'"&amp;$A96&amp;"'!$A$1:$W$1"),0))</f>
        <v>5.5692094367154157</v>
      </c>
      <c r="AL96" s="7">
        <f ca="1">INDEX(INDIRECT("'"&amp;$A96&amp;"'!$A$1:$W$30"),MATCH('All Positional Stats'!$A$92,INDIRECT("'"&amp;$A96&amp;"'!$A$1:$A$30"),0),MATCH('All Positional Stats'!AL$91,INDIRECT("'"&amp;$A96&amp;"'!$A$1:$W$1"),0))</f>
        <v>184.99999999999997</v>
      </c>
      <c r="AM96" s="6">
        <f ca="1">INDEX(INDIRECT("'"&amp;$A96&amp;"'!$A$1:$W$30"),MATCH('All Positional Stats'!$A$92,INDIRECT("'"&amp;$A96&amp;"'!$A$1:$A$30"),0),MATCH('All Positional Stats'!AM$91,INDIRECT("'"&amp;$A96&amp;"'!$A$1:$W$1"),0))</f>
        <v>0.11909360113299856</v>
      </c>
      <c r="AN96" s="9">
        <f t="shared" ca="1" si="294"/>
        <v>130.89999999999998</v>
      </c>
      <c r="AO96" s="8">
        <f t="shared" ca="1" si="295"/>
        <v>7</v>
      </c>
    </row>
    <row r="97" spans="1:41" ht="16.25" thickTop="1" thickBot="1" x14ac:dyDescent="0.9">
      <c r="A97" s="1" t="s">
        <v>5</v>
      </c>
      <c r="B97" s="1">
        <f ca="1">INDEX(INDIRECT("'"&amp;$A97&amp;"'!$A$1:$W$30"),MATCH('All Positional Stats'!$A$92,INDIRECT("'"&amp;$A97&amp;"'!$A$1:$A$30"),0),MATCH('All Positional Stats'!B$91,INDIRECT("'"&amp;$A97&amp;"'!$A$1:$W$1"),0))</f>
        <v>7.8</v>
      </c>
      <c r="C97" s="1">
        <f t="shared" ca="1" si="293"/>
        <v>5</v>
      </c>
      <c r="D97" s="1">
        <f ca="1">INDEX(INDIRECT("'"&amp;$A97&amp;"'!$A$1:$W$30"),MATCH('All Positional Stats'!$A$92,INDIRECT("'"&amp;$A97&amp;"'!$A$1:$A$30"),0),MATCH('All Positional Stats'!D$91,INDIRECT("'"&amp;$A97&amp;"'!$A$1:$W$1"),0))</f>
        <v>10.5</v>
      </c>
      <c r="E97" s="1">
        <f t="shared" ca="1" si="296"/>
        <v>6</v>
      </c>
      <c r="F97" s="1">
        <f ca="1">INDEX(INDIRECT("'"&amp;$A97&amp;"'!$A$1:$W$30"),MATCH('All Positional Stats'!$A$92,INDIRECT("'"&amp;$A97&amp;"'!$A$1:$A$30"),0),MATCH('All Positional Stats'!F$91,INDIRECT("'"&amp;$A97&amp;"'!$A$1:$W$1"),0))</f>
        <v>17.600000000000001</v>
      </c>
      <c r="G97" s="1">
        <f t="shared" ca="1" si="296"/>
        <v>3</v>
      </c>
      <c r="H97" s="1">
        <f ca="1">INDEX(INDIRECT("'"&amp;$A97&amp;"'!$A$1:$W$30"),MATCH('All Positional Stats'!$A$92,INDIRECT("'"&amp;$A97&amp;"'!$A$1:$A$30"),0),MATCH('All Positional Stats'!H$91,INDIRECT("'"&amp;$A97&amp;"'!$A$1:$W$1"),0))</f>
        <v>4.8</v>
      </c>
      <c r="I97" s="1">
        <f t="shared" ca="1" si="296"/>
        <v>7</v>
      </c>
      <c r="J97" s="1">
        <f ca="1">INDEX(INDIRECT("'"&amp;$A97&amp;"'!$A$1:$W$30"),MATCH('All Positional Stats'!$A$92,INDIRECT("'"&amp;$A97&amp;"'!$A$1:$A$30"),0),MATCH('All Positional Stats'!J$91,INDIRECT("'"&amp;$A97&amp;"'!$A$1:$W$1"),0))</f>
        <v>0</v>
      </c>
      <c r="K97" s="1">
        <f t="shared" ca="1" si="296"/>
        <v>11</v>
      </c>
      <c r="L97" s="1">
        <f ca="1">INDEX(INDIRECT("'"&amp;$A97&amp;"'!$A$1:$W$30"),MATCH('All Positional Stats'!$A$92,INDIRECT("'"&amp;$A97&amp;"'!$A$1:$A$30"),0),MATCH('All Positional Stats'!L$91,INDIRECT("'"&amp;$A97&amp;"'!$A$1:$W$1"),0))</f>
        <v>-0.4</v>
      </c>
      <c r="M97" s="1">
        <f t="shared" ca="1" si="296"/>
        <v>12</v>
      </c>
      <c r="N97" s="1">
        <f ca="1">INDEX(INDIRECT("'"&amp;$A97&amp;"'!$A$1:$W$30"),MATCH('All Positional Stats'!$A$92,INDIRECT("'"&amp;$A97&amp;"'!$A$1:$A$30"),0),MATCH('All Positional Stats'!N$91,INDIRECT("'"&amp;$A97&amp;"'!$A$1:$W$1"),0))</f>
        <v>3.8</v>
      </c>
      <c r="O97" s="1">
        <f t="shared" ca="1" si="296"/>
        <v>11</v>
      </c>
      <c r="P97" s="1">
        <f ca="1">INDEX(INDIRECT("'"&amp;$A97&amp;"'!$A$1:$W$30"),MATCH('All Positional Stats'!$A$92,INDIRECT("'"&amp;$A97&amp;"'!$A$1:$A$30"),0),MATCH('All Positional Stats'!P$91,INDIRECT("'"&amp;$A97&amp;"'!$A$1:$W$1"),0))</f>
        <v>10.4</v>
      </c>
      <c r="Q97" s="1">
        <f t="shared" ca="1" si="296"/>
        <v>6</v>
      </c>
      <c r="R97" s="1">
        <f ca="1">INDEX(INDIRECT("'"&amp;$A97&amp;"'!$A$1:$W$30"),MATCH('All Positional Stats'!$A$92,INDIRECT("'"&amp;$A97&amp;"'!$A$1:$A$30"),0),MATCH('All Positional Stats'!R$91,INDIRECT("'"&amp;$A97&amp;"'!$A$1:$W$1"),0))</f>
        <v>12.1</v>
      </c>
      <c r="S97" s="1">
        <f t="shared" ca="1" si="296"/>
        <v>6</v>
      </c>
      <c r="T97" s="1">
        <f ca="1">INDEX(INDIRECT("'"&amp;$A97&amp;"'!$A$1:$W$30"),MATCH('All Positional Stats'!$A$92,INDIRECT("'"&amp;$A97&amp;"'!$A$1:$A$30"),0),MATCH('All Positional Stats'!T$91,INDIRECT("'"&amp;$A97&amp;"'!$A$1:$W$1"),0))</f>
        <v>10.5</v>
      </c>
      <c r="U97" s="1">
        <f t="shared" ca="1" si="296"/>
        <v>6</v>
      </c>
      <c r="V97" s="1">
        <f ca="1">INDEX(INDIRECT("'"&amp;$A97&amp;"'!$A$1:$W$30"),MATCH('All Positional Stats'!$A$92,INDIRECT("'"&amp;$A97&amp;"'!$A$1:$A$30"),0),MATCH('All Positional Stats'!V$91,INDIRECT("'"&amp;$A97&amp;"'!$A$1:$W$1"),0))</f>
        <v>12.3</v>
      </c>
      <c r="W97" s="1">
        <f t="shared" ca="1" si="296"/>
        <v>7</v>
      </c>
      <c r="X97" s="1">
        <f ca="1">INDEX(INDIRECT("'"&amp;$A97&amp;"'!$A$1:$W$30"),MATCH('All Positional Stats'!$A$92,INDIRECT("'"&amp;$A97&amp;"'!$A$1:$A$30"),0),MATCH('All Positional Stats'!X$91,INDIRECT("'"&amp;$A97&amp;"'!$A$1:$W$1"),0))</f>
        <v>21.7</v>
      </c>
      <c r="Y97" s="1">
        <f t="shared" ca="1" si="296"/>
        <v>3</v>
      </c>
      <c r="Z97" s="1">
        <f ca="1">INDEX(INDIRECT("'"&amp;$A97&amp;"'!$A$1:$W$30"),MATCH('All Positional Stats'!$A$92,INDIRECT("'"&amp;$A97&amp;"'!$A$1:$A$30"),0),MATCH('All Positional Stats'!Z$91,INDIRECT("'"&amp;$A97&amp;"'!$A$1:$W$1"),0))</f>
        <v>6.4</v>
      </c>
      <c r="AA97" s="1">
        <f t="shared" ca="1" si="296"/>
        <v>8</v>
      </c>
      <c r="AB97" s="1">
        <f ca="1">INDEX(INDIRECT("'"&amp;$A97&amp;"'!$A$1:$W$30"),MATCH('All Positional Stats'!$A$92,INDIRECT("'"&amp;$A97&amp;"'!$A$1:$A$30"),0),MATCH('All Positional Stats'!AB$91,INDIRECT("'"&amp;$A97&amp;"'!$A$1:$W$1"),0))</f>
        <v>3.2</v>
      </c>
      <c r="AC97" s="1">
        <f t="shared" ca="1" si="296"/>
        <v>11</v>
      </c>
      <c r="AD97" s="1">
        <f ca="1">INDEX(INDIRECT("'"&amp;$A97&amp;"'!$A$1:$W$30"),MATCH('All Positional Stats'!$A$92,INDIRECT("'"&amp;$A97&amp;"'!$A$1:$A$30"),0),MATCH('All Positional Stats'!AD$91,INDIRECT("'"&amp;$A97&amp;"'!$A$1:$W$1"),0))</f>
        <v>2.6</v>
      </c>
      <c r="AE97" s="1">
        <f t="shared" ca="1" si="296"/>
        <v>10</v>
      </c>
      <c r="AF97" s="1">
        <f ca="1">INDEX(INDIRECT("'"&amp;$A97&amp;"'!$A$1:$W$30"),MATCH('All Positional Stats'!$A$92,INDIRECT("'"&amp;$A97&amp;"'!$A$1:$A$30"),0),MATCH('All Positional Stats'!AF$91,INDIRECT("'"&amp;$A97&amp;"'!$A$1:$W$1"),0))</f>
        <v>2.4</v>
      </c>
      <c r="AG97" s="1">
        <f t="shared" ca="1" si="296"/>
        <v>11</v>
      </c>
      <c r="AH97" s="1">
        <f ca="1">INDEX(INDIRECT("'"&amp;$A97&amp;"'!$A$1:$W$30"),MATCH('All Positional Stats'!$A$92,INDIRECT("'"&amp;$A97&amp;"'!$A$1:$A$30"),0),MATCH('All Positional Stats'!AH$91,INDIRECT("'"&amp;$A97&amp;"'!$A$1:$W$1"),0))</f>
        <v>-0.4</v>
      </c>
      <c r="AI97" s="1">
        <f ca="1">INDEX(INDIRECT("'"&amp;$A97&amp;"'!$A$1:$W$30"),MATCH('All Positional Stats'!$A$92,INDIRECT("'"&amp;$A97&amp;"'!$A$1:$A$30"),0),MATCH('All Positional Stats'!AI$91,INDIRECT("'"&amp;$A97&amp;"'!$A$1:$W$1"),0))</f>
        <v>21.7</v>
      </c>
      <c r="AJ97" s="7">
        <f ca="1">INDEX(INDIRECT("'"&amp;$A97&amp;"'!$A$1:$W$30"),MATCH('All Positional Stats'!$A$92,INDIRECT("'"&amp;$A97&amp;"'!$A$1:$A$30"),0),MATCH('All Positional Stats'!AJ$91,INDIRECT("'"&amp;$A97&amp;"'!$A$1:$W$1"),0))</f>
        <v>7.8562500000000002</v>
      </c>
      <c r="AK97" s="7">
        <f ca="1">INDEX(INDIRECT("'"&amp;$A97&amp;"'!$A$1:$W$30"),MATCH('All Positional Stats'!$A$92,INDIRECT("'"&amp;$A97&amp;"'!$A$1:$A$30"),0),MATCH('All Positional Stats'!AK$91,INDIRECT("'"&amp;$A97&amp;"'!$A$1:$W$1"),0))</f>
        <v>6.0295075203120865</v>
      </c>
      <c r="AL97" s="7">
        <f ca="1">INDEX(INDIRECT("'"&amp;$A97&amp;"'!$A$1:$W$30"),MATCH('All Positional Stats'!$A$92,INDIRECT("'"&amp;$A97&amp;"'!$A$1:$A$30"),0),MATCH('All Positional Stats'!AL$91,INDIRECT("'"&amp;$A97&amp;"'!$A$1:$W$1"),0))</f>
        <v>125.7</v>
      </c>
      <c r="AM97" s="6">
        <f ca="1">INDEX(INDIRECT("'"&amp;$A97&amp;"'!$A$1:$W$30"),MATCH('All Positional Stats'!$A$92,INDIRECT("'"&amp;$A97&amp;"'!$A$1:$A$30"),0),MATCH('All Positional Stats'!AM$91,INDIRECT("'"&amp;$A97&amp;"'!$A$1:$W$1"),0))</f>
        <v>8.2071036824236082E-2</v>
      </c>
      <c r="AN97" s="9">
        <f t="shared" ca="1" si="294"/>
        <v>117.5</v>
      </c>
      <c r="AO97" s="8">
        <f t="shared" ca="1" si="295"/>
        <v>9</v>
      </c>
    </row>
    <row r="98" spans="1:41" ht="16.25" thickTop="1" thickBot="1" x14ac:dyDescent="0.9">
      <c r="A98" s="1" t="s">
        <v>6</v>
      </c>
      <c r="B98" s="1">
        <f ca="1">INDEX(INDIRECT("'"&amp;$A98&amp;"'!$A$1:$W$30"),MATCH('All Positional Stats'!$A$92,INDIRECT("'"&amp;$A98&amp;"'!$A$1:$A$30"),0),MATCH('All Positional Stats'!B$91,INDIRECT("'"&amp;$A98&amp;"'!$A$1:$W$1"),0))</f>
        <v>7.3</v>
      </c>
      <c r="C98" s="1">
        <f t="shared" ca="1" si="293"/>
        <v>6</v>
      </c>
      <c r="D98" s="1">
        <f ca="1">INDEX(INDIRECT("'"&amp;$A98&amp;"'!$A$1:$W$30"),MATCH('All Positional Stats'!$A$92,INDIRECT("'"&amp;$A98&amp;"'!$A$1:$A$30"),0),MATCH('All Positional Stats'!D$91,INDIRECT("'"&amp;$A98&amp;"'!$A$1:$W$1"),0))</f>
        <v>10</v>
      </c>
      <c r="E98" s="1">
        <f t="shared" ca="1" si="296"/>
        <v>7</v>
      </c>
      <c r="F98" s="1">
        <f ca="1">INDEX(INDIRECT("'"&amp;$A98&amp;"'!$A$1:$W$30"),MATCH('All Positional Stats'!$A$92,INDIRECT("'"&amp;$A98&amp;"'!$A$1:$A$30"),0),MATCH('All Positional Stats'!F$91,INDIRECT("'"&amp;$A98&amp;"'!$A$1:$W$1"),0))</f>
        <v>7.6</v>
      </c>
      <c r="G98" s="1">
        <f t="shared" ca="1" si="296"/>
        <v>7</v>
      </c>
      <c r="H98" s="1">
        <f ca="1">INDEX(INDIRECT("'"&amp;$A98&amp;"'!$A$1:$W$30"),MATCH('All Positional Stats'!$A$92,INDIRECT("'"&amp;$A98&amp;"'!$A$1:$A$30"),0),MATCH('All Positional Stats'!H$91,INDIRECT("'"&amp;$A98&amp;"'!$A$1:$W$1"),0))</f>
        <v>14.5</v>
      </c>
      <c r="I98" s="1">
        <f t="shared" ca="1" si="296"/>
        <v>2</v>
      </c>
      <c r="J98" s="1">
        <f ca="1">INDEX(INDIRECT("'"&amp;$A98&amp;"'!$A$1:$W$30"),MATCH('All Positional Stats'!$A$92,INDIRECT("'"&amp;$A98&amp;"'!$A$1:$A$30"),0),MATCH('All Positional Stats'!J$91,INDIRECT("'"&amp;$A98&amp;"'!$A$1:$W$1"),0))</f>
        <v>4.9000000000000004</v>
      </c>
      <c r="K98" s="1">
        <f t="shared" ca="1" si="296"/>
        <v>8</v>
      </c>
      <c r="L98" s="1">
        <f ca="1">INDEX(INDIRECT("'"&amp;$A98&amp;"'!$A$1:$W$30"),MATCH('All Positional Stats'!$A$92,INDIRECT("'"&amp;$A98&amp;"'!$A$1:$A$30"),0),MATCH('All Positional Stats'!L$91,INDIRECT("'"&amp;$A98&amp;"'!$A$1:$W$1"),0))</f>
        <v>9.1</v>
      </c>
      <c r="M98" s="1">
        <f t="shared" ca="1" si="296"/>
        <v>6</v>
      </c>
      <c r="N98" s="1">
        <f ca="1">INDEX(INDIRECT("'"&amp;$A98&amp;"'!$A$1:$W$30"),MATCH('All Positional Stats'!$A$92,INDIRECT("'"&amp;$A98&amp;"'!$A$1:$A$30"),0),MATCH('All Positional Stats'!N$91,INDIRECT("'"&amp;$A98&amp;"'!$A$1:$W$1"),0))</f>
        <v>4.7</v>
      </c>
      <c r="O98" s="1">
        <f t="shared" ca="1" si="296"/>
        <v>10</v>
      </c>
      <c r="P98" s="1">
        <f ca="1">INDEX(INDIRECT("'"&amp;$A98&amp;"'!$A$1:$W$30"),MATCH('All Positional Stats'!$A$92,INDIRECT("'"&amp;$A98&amp;"'!$A$1:$A$30"),0),MATCH('All Positional Stats'!P$91,INDIRECT("'"&amp;$A98&amp;"'!$A$1:$W$1"),0))</f>
        <v>15.2</v>
      </c>
      <c r="Q98" s="1">
        <f t="shared" ca="1" si="296"/>
        <v>3</v>
      </c>
      <c r="R98" s="1">
        <f ca="1">INDEX(INDIRECT("'"&amp;$A98&amp;"'!$A$1:$W$30"),MATCH('All Positional Stats'!$A$92,INDIRECT("'"&amp;$A98&amp;"'!$A$1:$A$30"),0),MATCH('All Positional Stats'!R$91,INDIRECT("'"&amp;$A98&amp;"'!$A$1:$W$1"),0))</f>
        <v>23.4</v>
      </c>
      <c r="S98" s="1">
        <f t="shared" ca="1" si="296"/>
        <v>2</v>
      </c>
      <c r="T98" s="1">
        <f ca="1">INDEX(INDIRECT("'"&amp;$A98&amp;"'!$A$1:$W$30"),MATCH('All Positional Stats'!$A$92,INDIRECT("'"&amp;$A98&amp;"'!$A$1:$A$30"),0),MATCH('All Positional Stats'!T$91,INDIRECT("'"&amp;$A98&amp;"'!$A$1:$W$1"),0))</f>
        <v>10.4</v>
      </c>
      <c r="U98" s="1">
        <f t="shared" ca="1" si="296"/>
        <v>7</v>
      </c>
      <c r="V98" s="1">
        <f ca="1">INDEX(INDIRECT("'"&amp;$A98&amp;"'!$A$1:$W$30"),MATCH('All Positional Stats'!$A$92,INDIRECT("'"&amp;$A98&amp;"'!$A$1:$A$30"),0),MATCH('All Positional Stats'!V$91,INDIRECT("'"&amp;$A98&amp;"'!$A$1:$W$1"),0))</f>
        <v>23.9</v>
      </c>
      <c r="W98" s="1">
        <f t="shared" ca="1" si="296"/>
        <v>1</v>
      </c>
      <c r="X98" s="1">
        <f ca="1">INDEX(INDIRECT("'"&amp;$A98&amp;"'!$A$1:$W$30"),MATCH('All Positional Stats'!$A$92,INDIRECT("'"&amp;$A98&amp;"'!$A$1:$A$30"),0),MATCH('All Positional Stats'!X$91,INDIRECT("'"&amp;$A98&amp;"'!$A$1:$W$1"),0))</f>
        <v>18.399999999999999</v>
      </c>
      <c r="Y98" s="1">
        <f t="shared" ca="1" si="296"/>
        <v>4</v>
      </c>
      <c r="Z98" s="1">
        <f ca="1">INDEX(INDIRECT("'"&amp;$A98&amp;"'!$A$1:$W$30"),MATCH('All Positional Stats'!$A$92,INDIRECT("'"&amp;$A98&amp;"'!$A$1:$A$30"),0),MATCH('All Positional Stats'!Z$91,INDIRECT("'"&amp;$A98&amp;"'!$A$1:$W$1"),0))</f>
        <v>3.2</v>
      </c>
      <c r="AA98" s="1">
        <f t="shared" ca="1" si="296"/>
        <v>12</v>
      </c>
      <c r="AB98" s="1">
        <f ca="1">INDEX(INDIRECT("'"&amp;$A98&amp;"'!$A$1:$W$30"),MATCH('All Positional Stats'!$A$92,INDIRECT("'"&amp;$A98&amp;"'!$A$1:$A$30"),0),MATCH('All Positional Stats'!AB$91,INDIRECT("'"&amp;$A98&amp;"'!$A$1:$W$1"),0))</f>
        <v>4.3</v>
      </c>
      <c r="AC98" s="1">
        <f t="shared" ca="1" si="296"/>
        <v>9</v>
      </c>
      <c r="AD98" s="1">
        <f ca="1">INDEX(INDIRECT("'"&amp;$A98&amp;"'!$A$1:$W$30"),MATCH('All Positional Stats'!$A$92,INDIRECT("'"&amp;$A98&amp;"'!$A$1:$A$30"),0),MATCH('All Positional Stats'!AD$91,INDIRECT("'"&amp;$A98&amp;"'!$A$1:$W$1"),0))</f>
        <v>14</v>
      </c>
      <c r="AE98" s="1">
        <f t="shared" ca="1" si="296"/>
        <v>5</v>
      </c>
      <c r="AF98" s="1">
        <f ca="1">INDEX(INDIRECT("'"&amp;$A98&amp;"'!$A$1:$W$30"),MATCH('All Positional Stats'!$A$92,INDIRECT("'"&amp;$A98&amp;"'!$A$1:$A$30"),0),MATCH('All Positional Stats'!AF$91,INDIRECT("'"&amp;$A98&amp;"'!$A$1:$W$1"),0))</f>
        <v>3.5</v>
      </c>
      <c r="AG98" s="1">
        <f t="shared" ca="1" si="296"/>
        <v>9</v>
      </c>
      <c r="AH98" s="1">
        <f ca="1">INDEX(INDIRECT("'"&amp;$A98&amp;"'!$A$1:$W$30"),MATCH('All Positional Stats'!$A$92,INDIRECT("'"&amp;$A98&amp;"'!$A$1:$A$30"),0),MATCH('All Positional Stats'!AH$91,INDIRECT("'"&amp;$A98&amp;"'!$A$1:$W$1"),0))</f>
        <v>3.2</v>
      </c>
      <c r="AI98" s="1">
        <f ca="1">INDEX(INDIRECT("'"&amp;$A98&amp;"'!$A$1:$W$30"),MATCH('All Positional Stats'!$A$92,INDIRECT("'"&amp;$A98&amp;"'!$A$1:$A$30"),0),MATCH('All Positional Stats'!AI$91,INDIRECT("'"&amp;$A98&amp;"'!$A$1:$W$1"),0))</f>
        <v>23.9</v>
      </c>
      <c r="AJ98" s="7">
        <f ca="1">INDEX(INDIRECT("'"&amp;$A98&amp;"'!$A$1:$W$30"),MATCH('All Positional Stats'!$A$92,INDIRECT("'"&amp;$A98&amp;"'!$A$1:$A$30"),0),MATCH('All Positional Stats'!AJ$91,INDIRECT("'"&amp;$A98&amp;"'!$A$1:$W$1"),0))</f>
        <v>10.9</v>
      </c>
      <c r="AK98" s="7">
        <f ca="1">INDEX(INDIRECT("'"&amp;$A98&amp;"'!$A$1:$W$30"),MATCH('All Positional Stats'!$A$92,INDIRECT("'"&amp;$A98&amp;"'!$A$1:$A$30"),0),MATCH('All Positional Stats'!AK$91,INDIRECT("'"&amp;$A98&amp;"'!$A$1:$W$1"),0))</f>
        <v>6.5324191537285756</v>
      </c>
      <c r="AL98" s="7">
        <f ca="1">INDEX(INDIRECT("'"&amp;$A98&amp;"'!$A$1:$W$30"),MATCH('All Positional Stats'!$A$92,INDIRECT("'"&amp;$A98&amp;"'!$A$1:$A$30"),0),MATCH('All Positional Stats'!AL$91,INDIRECT("'"&amp;$A98&amp;"'!$A$1:$W$1"),0))</f>
        <v>174.4</v>
      </c>
      <c r="AM98" s="6">
        <f ca="1">INDEX(INDIRECT("'"&amp;$A98&amp;"'!$A$1:$W$30"),MATCH('All Positional Stats'!$A$92,INDIRECT("'"&amp;$A98&amp;"'!$A$1:$A$30"),0),MATCH('All Positional Stats'!AM$91,INDIRECT("'"&amp;$A98&amp;"'!$A$1:$W$1"),0))</f>
        <v>0.11084276089996184</v>
      </c>
      <c r="AN98" s="9">
        <f t="shared" ca="1" si="294"/>
        <v>152.6</v>
      </c>
      <c r="AO98" s="8">
        <f t="shared" ca="1" si="295"/>
        <v>5</v>
      </c>
    </row>
    <row r="99" spans="1:41" ht="16.25" thickTop="1" thickBot="1" x14ac:dyDescent="0.9">
      <c r="A99" s="1" t="s">
        <v>7</v>
      </c>
      <c r="B99" s="1">
        <f ca="1">INDEX(INDIRECT("'"&amp;$A99&amp;"'!$A$1:$W$30"),MATCH('All Positional Stats'!$A$92,INDIRECT("'"&amp;$A99&amp;"'!$A$1:$A$30"),0),MATCH('All Positional Stats'!B$91,INDIRECT("'"&amp;$A99&amp;"'!$A$1:$W$1"),0))</f>
        <v>15.2</v>
      </c>
      <c r="C99" s="1">
        <f t="shared" ca="1" si="293"/>
        <v>1</v>
      </c>
      <c r="D99" s="1">
        <f ca="1">INDEX(INDIRECT("'"&amp;$A99&amp;"'!$A$1:$W$30"),MATCH('All Positional Stats'!$A$92,INDIRECT("'"&amp;$A99&amp;"'!$A$1:$A$30"),0),MATCH('All Positional Stats'!D$91,INDIRECT("'"&amp;$A99&amp;"'!$A$1:$W$1"),0))</f>
        <v>3.9</v>
      </c>
      <c r="E99" s="1">
        <f t="shared" ca="1" si="296"/>
        <v>11</v>
      </c>
      <c r="F99" s="1">
        <f ca="1">INDEX(INDIRECT("'"&amp;$A99&amp;"'!$A$1:$W$30"),MATCH('All Positional Stats'!$A$92,INDIRECT("'"&amp;$A99&amp;"'!$A$1:$A$30"),0),MATCH('All Positional Stats'!F$91,INDIRECT("'"&amp;$A99&amp;"'!$A$1:$W$1"),0))</f>
        <v>6.4</v>
      </c>
      <c r="G99" s="1">
        <f t="shared" ca="1" si="296"/>
        <v>8</v>
      </c>
      <c r="H99" s="1">
        <f ca="1">INDEX(INDIRECT("'"&amp;$A99&amp;"'!$A$1:$W$30"),MATCH('All Positional Stats'!$A$92,INDIRECT("'"&amp;$A99&amp;"'!$A$1:$A$30"),0),MATCH('All Positional Stats'!H$91,INDIRECT("'"&amp;$A99&amp;"'!$A$1:$W$1"),0))</f>
        <v>8.1</v>
      </c>
      <c r="I99" s="1">
        <f t="shared" ca="1" si="296"/>
        <v>4</v>
      </c>
      <c r="J99" s="1">
        <f ca="1">INDEX(INDIRECT("'"&amp;$A99&amp;"'!$A$1:$W$30"),MATCH('All Positional Stats'!$A$92,INDIRECT("'"&amp;$A99&amp;"'!$A$1:$A$30"),0),MATCH('All Positional Stats'!J$91,INDIRECT("'"&amp;$A99&amp;"'!$A$1:$W$1"),0))</f>
        <v>5.3</v>
      </c>
      <c r="K99" s="1">
        <f t="shared" ca="1" si="296"/>
        <v>7</v>
      </c>
      <c r="L99" s="1">
        <f ca="1">INDEX(INDIRECT("'"&amp;$A99&amp;"'!$A$1:$W$30"),MATCH('All Positional Stats'!$A$92,INDIRECT("'"&amp;$A99&amp;"'!$A$1:$A$30"),0),MATCH('All Positional Stats'!L$91,INDIRECT("'"&amp;$A99&amp;"'!$A$1:$W$1"),0))</f>
        <v>5.9</v>
      </c>
      <c r="M99" s="1">
        <f t="shared" ca="1" si="296"/>
        <v>8</v>
      </c>
      <c r="N99" s="1">
        <f ca="1">INDEX(INDIRECT("'"&amp;$A99&amp;"'!$A$1:$W$30"),MATCH('All Positional Stats'!$A$92,INDIRECT("'"&amp;$A99&amp;"'!$A$1:$A$30"),0),MATCH('All Positional Stats'!N$91,INDIRECT("'"&amp;$A99&amp;"'!$A$1:$W$1"),0))</f>
        <v>19.7</v>
      </c>
      <c r="O99" s="1">
        <f t="shared" ca="1" si="296"/>
        <v>1</v>
      </c>
      <c r="P99" s="1">
        <f ca="1">INDEX(INDIRECT("'"&amp;$A99&amp;"'!$A$1:$W$30"),MATCH('All Positional Stats'!$A$92,INDIRECT("'"&amp;$A99&amp;"'!$A$1:$A$30"),0),MATCH('All Positional Stats'!P$91,INDIRECT("'"&amp;$A99&amp;"'!$A$1:$W$1"),0))</f>
        <v>8.4</v>
      </c>
      <c r="Q99" s="1">
        <f t="shared" ca="1" si="296"/>
        <v>7</v>
      </c>
      <c r="R99" s="1">
        <f ca="1">INDEX(INDIRECT("'"&amp;$A99&amp;"'!$A$1:$W$30"),MATCH('All Positional Stats'!$A$92,INDIRECT("'"&amp;$A99&amp;"'!$A$1:$A$30"),0),MATCH('All Positional Stats'!R$91,INDIRECT("'"&amp;$A99&amp;"'!$A$1:$W$1"),0))</f>
        <v>20.3</v>
      </c>
      <c r="S99" s="1">
        <f t="shared" ca="1" si="296"/>
        <v>3</v>
      </c>
      <c r="T99" s="1">
        <f ca="1">INDEX(INDIRECT("'"&amp;$A99&amp;"'!$A$1:$W$30"),MATCH('All Positional Stats'!$A$92,INDIRECT("'"&amp;$A99&amp;"'!$A$1:$A$30"),0),MATCH('All Positional Stats'!T$91,INDIRECT("'"&amp;$A99&amp;"'!$A$1:$W$1"),0))</f>
        <v>9.6999999999999993</v>
      </c>
      <c r="U99" s="1">
        <f t="shared" ca="1" si="296"/>
        <v>8</v>
      </c>
      <c r="V99" s="1">
        <f ca="1">INDEX(INDIRECT("'"&amp;$A99&amp;"'!$A$1:$W$30"),MATCH('All Positional Stats'!$A$92,INDIRECT("'"&amp;$A99&amp;"'!$A$1:$A$30"),0),MATCH('All Positional Stats'!V$91,INDIRECT("'"&amp;$A99&amp;"'!$A$1:$W$1"),0))</f>
        <v>11.7</v>
      </c>
      <c r="W99" s="1">
        <f t="shared" ca="1" si="296"/>
        <v>9</v>
      </c>
      <c r="X99" s="1">
        <f ca="1">INDEX(INDIRECT("'"&amp;$A99&amp;"'!$A$1:$W$30"),MATCH('All Positional Stats'!$A$92,INDIRECT("'"&amp;$A99&amp;"'!$A$1:$A$30"),0),MATCH('All Positional Stats'!X$91,INDIRECT("'"&amp;$A99&amp;"'!$A$1:$W$1"),0))</f>
        <v>10.8</v>
      </c>
      <c r="Y99" s="1">
        <f t="shared" ca="1" si="296"/>
        <v>8</v>
      </c>
      <c r="Z99" s="1">
        <f ca="1">INDEX(INDIRECT("'"&amp;$A99&amp;"'!$A$1:$W$30"),MATCH('All Positional Stats'!$A$92,INDIRECT("'"&amp;$A99&amp;"'!$A$1:$A$30"),0),MATCH('All Positional Stats'!Z$91,INDIRECT("'"&amp;$A99&amp;"'!$A$1:$W$1"),0))</f>
        <v>4.3</v>
      </c>
      <c r="AA99" s="1">
        <f t="shared" ca="1" si="296"/>
        <v>10</v>
      </c>
      <c r="AB99" s="1">
        <f ca="1">INDEX(INDIRECT("'"&amp;$A99&amp;"'!$A$1:$W$30"),MATCH('All Positional Stats'!$A$92,INDIRECT("'"&amp;$A99&amp;"'!$A$1:$A$30"),0),MATCH('All Positional Stats'!AB$91,INDIRECT("'"&amp;$A99&amp;"'!$A$1:$W$1"),0))</f>
        <v>21.8</v>
      </c>
      <c r="AC99" s="1">
        <f t="shared" ca="1" si="296"/>
        <v>3</v>
      </c>
      <c r="AD99" s="1">
        <f ca="1">INDEX(INDIRECT("'"&amp;$A99&amp;"'!$A$1:$W$30"),MATCH('All Positional Stats'!$A$92,INDIRECT("'"&amp;$A99&amp;"'!$A$1:$A$30"),0),MATCH('All Positional Stats'!AD$91,INDIRECT("'"&amp;$A99&amp;"'!$A$1:$W$1"),0))</f>
        <v>7.1</v>
      </c>
      <c r="AE99" s="1">
        <f t="shared" ca="1" si="296"/>
        <v>7</v>
      </c>
      <c r="AF99" s="1">
        <f ca="1">INDEX(INDIRECT("'"&amp;$A99&amp;"'!$A$1:$W$30"),MATCH('All Positional Stats'!$A$92,INDIRECT("'"&amp;$A99&amp;"'!$A$1:$A$30"),0),MATCH('All Positional Stats'!AF$91,INDIRECT("'"&amp;$A99&amp;"'!$A$1:$W$1"),0))</f>
        <v>13.7</v>
      </c>
      <c r="AG99" s="1">
        <f t="shared" ca="1" si="296"/>
        <v>5</v>
      </c>
      <c r="AH99" s="1">
        <f ca="1">INDEX(INDIRECT("'"&amp;$A99&amp;"'!$A$1:$W$30"),MATCH('All Positional Stats'!$A$92,INDIRECT("'"&amp;$A99&amp;"'!$A$1:$A$30"),0),MATCH('All Positional Stats'!AH$91,INDIRECT("'"&amp;$A99&amp;"'!$A$1:$W$1"),0))</f>
        <v>3.9</v>
      </c>
      <c r="AI99" s="1">
        <f ca="1">INDEX(INDIRECT("'"&amp;$A99&amp;"'!$A$1:$W$30"),MATCH('All Positional Stats'!$A$92,INDIRECT("'"&amp;$A99&amp;"'!$A$1:$A$30"),0),MATCH('All Positional Stats'!AI$91,INDIRECT("'"&amp;$A99&amp;"'!$A$1:$W$1"),0))</f>
        <v>21.8</v>
      </c>
      <c r="AJ99" s="7">
        <f ca="1">INDEX(INDIRECT("'"&amp;$A99&amp;"'!$A$1:$W$30"),MATCH('All Positional Stats'!$A$92,INDIRECT("'"&amp;$A99&amp;"'!$A$1:$A$30"),0),MATCH('All Positional Stats'!AJ$91,INDIRECT("'"&amp;$A99&amp;"'!$A$1:$W$1"),0))</f>
        <v>10.768750000000001</v>
      </c>
      <c r="AK99" s="7">
        <f ca="1">INDEX(INDIRECT("'"&amp;$A99&amp;"'!$A$1:$W$30"),MATCH('All Positional Stats'!$A$92,INDIRECT("'"&amp;$A99&amp;"'!$A$1:$A$30"),0),MATCH('All Positional Stats'!AK$91,INDIRECT("'"&amp;$A99&amp;"'!$A$1:$W$1"),0))</f>
        <v>5.648309343290256</v>
      </c>
      <c r="AL99" s="7">
        <f ca="1">INDEX(INDIRECT("'"&amp;$A99&amp;"'!$A$1:$W$30"),MATCH('All Positional Stats'!$A$92,INDIRECT("'"&amp;$A99&amp;"'!$A$1:$A$30"),0),MATCH('All Positional Stats'!AL$91,INDIRECT("'"&amp;$A99&amp;"'!$A$1:$W$1"),0))</f>
        <v>172.3</v>
      </c>
      <c r="AM99" s="6">
        <f ca="1">INDEX(INDIRECT("'"&amp;$A99&amp;"'!$A$1:$W$30"),MATCH('All Positional Stats'!$A$92,INDIRECT("'"&amp;$A99&amp;"'!$A$1:$A$30"),0),MATCH('All Positional Stats'!AM$91,INDIRECT("'"&amp;$A99&amp;"'!$A$1:$W$1"),0))</f>
        <v>0.11467554076539102</v>
      </c>
      <c r="AN99" s="9">
        <f t="shared" ca="1" si="294"/>
        <v>129.70000000000002</v>
      </c>
      <c r="AO99" s="8">
        <f t="shared" ca="1" si="295"/>
        <v>8</v>
      </c>
    </row>
    <row r="100" spans="1:41" ht="16.25" thickTop="1" thickBot="1" x14ac:dyDescent="0.9">
      <c r="A100" s="1" t="s">
        <v>8</v>
      </c>
      <c r="B100" s="1">
        <f ca="1">INDEX(INDIRECT("'"&amp;$A100&amp;"'!$A$1:$W$30"),MATCH('All Positional Stats'!$A$92,INDIRECT("'"&amp;$A100&amp;"'!$A$1:$A$30"),0),MATCH('All Positional Stats'!B$91,INDIRECT("'"&amp;$A100&amp;"'!$A$1:$W$1"),0))</f>
        <v>5.7</v>
      </c>
      <c r="C100" s="1">
        <f t="shared" ca="1" si="293"/>
        <v>7</v>
      </c>
      <c r="D100" s="1">
        <f ca="1">INDEX(INDIRECT("'"&amp;$A100&amp;"'!$A$1:$W$30"),MATCH('All Positional Stats'!$A$92,INDIRECT("'"&amp;$A100&amp;"'!$A$1:$A$30"),0),MATCH('All Positional Stats'!D$91,INDIRECT("'"&amp;$A100&amp;"'!$A$1:$W$1"),0))</f>
        <v>10.6</v>
      </c>
      <c r="E100" s="1">
        <f t="shared" ca="1" si="296"/>
        <v>5</v>
      </c>
      <c r="F100" s="1">
        <f ca="1">INDEX(INDIRECT("'"&amp;$A100&amp;"'!$A$1:$W$30"),MATCH('All Positional Stats'!$A$92,INDIRECT("'"&amp;$A100&amp;"'!$A$1:$A$30"),0),MATCH('All Positional Stats'!F$91,INDIRECT("'"&amp;$A100&amp;"'!$A$1:$W$1"),0))</f>
        <v>27.8</v>
      </c>
      <c r="G100" s="1">
        <f t="shared" ca="1" si="296"/>
        <v>1</v>
      </c>
      <c r="H100" s="1">
        <f ca="1">INDEX(INDIRECT("'"&amp;$A100&amp;"'!$A$1:$W$30"),MATCH('All Positional Stats'!$A$92,INDIRECT("'"&amp;$A100&amp;"'!$A$1:$A$30"),0),MATCH('All Positional Stats'!H$91,INDIRECT("'"&amp;$A100&amp;"'!$A$1:$W$1"),0))</f>
        <v>1.2</v>
      </c>
      <c r="I100" s="1">
        <f t="shared" ca="1" si="296"/>
        <v>11</v>
      </c>
      <c r="J100" s="1">
        <f ca="1">INDEX(INDIRECT("'"&amp;$A100&amp;"'!$A$1:$W$30"),MATCH('All Positional Stats'!$A$92,INDIRECT("'"&amp;$A100&amp;"'!$A$1:$A$30"),0),MATCH('All Positional Stats'!J$91,INDIRECT("'"&amp;$A100&amp;"'!$A$1:$W$1"),0))</f>
        <v>7.4</v>
      </c>
      <c r="K100" s="1">
        <f t="shared" ca="1" si="296"/>
        <v>5</v>
      </c>
      <c r="L100" s="1">
        <f ca="1">INDEX(INDIRECT("'"&amp;$A100&amp;"'!$A$1:$W$30"),MATCH('All Positional Stats'!$A$92,INDIRECT("'"&amp;$A100&amp;"'!$A$1:$A$30"),0),MATCH('All Positional Stats'!L$91,INDIRECT("'"&amp;$A100&amp;"'!$A$1:$W$1"),0))</f>
        <v>16.3</v>
      </c>
      <c r="M100" s="1">
        <f t="shared" ca="1" si="296"/>
        <v>2</v>
      </c>
      <c r="N100" s="1">
        <f ca="1">INDEX(INDIRECT("'"&amp;$A100&amp;"'!$A$1:$W$30"),MATCH('All Positional Stats'!$A$92,INDIRECT("'"&amp;$A100&amp;"'!$A$1:$A$30"),0),MATCH('All Positional Stats'!N$91,INDIRECT("'"&amp;$A100&amp;"'!$A$1:$W$1"),0))</f>
        <v>1.9</v>
      </c>
      <c r="O100" s="1">
        <f t="shared" ca="1" si="296"/>
        <v>12</v>
      </c>
      <c r="P100" s="1">
        <f ca="1">INDEX(INDIRECT("'"&amp;$A100&amp;"'!$A$1:$W$30"),MATCH('All Positional Stats'!$A$92,INDIRECT("'"&amp;$A100&amp;"'!$A$1:$A$30"),0),MATCH('All Positional Stats'!P$91,INDIRECT("'"&amp;$A100&amp;"'!$A$1:$W$1"),0))</f>
        <v>11.4</v>
      </c>
      <c r="Q100" s="1">
        <f t="shared" ca="1" si="296"/>
        <v>5</v>
      </c>
      <c r="R100" s="1">
        <f ca="1">INDEX(INDIRECT("'"&amp;$A100&amp;"'!$A$1:$W$30"),MATCH('All Positional Stats'!$A$92,INDIRECT("'"&amp;$A100&amp;"'!$A$1:$A$30"),0),MATCH('All Positional Stats'!R$91,INDIRECT("'"&amp;$A100&amp;"'!$A$1:$W$1"),0))</f>
        <v>5.0999999999999996</v>
      </c>
      <c r="S100" s="1">
        <f t="shared" ca="1" si="296"/>
        <v>9</v>
      </c>
      <c r="T100" s="1">
        <f ca="1">INDEX(INDIRECT("'"&amp;$A100&amp;"'!$A$1:$W$30"),MATCH('All Positional Stats'!$A$92,INDIRECT("'"&amp;$A100&amp;"'!$A$1:$A$30"),0),MATCH('All Positional Stats'!T$91,INDIRECT("'"&amp;$A100&amp;"'!$A$1:$W$1"),0))</f>
        <v>8.1999999999999993</v>
      </c>
      <c r="U100" s="1">
        <f t="shared" ca="1" si="296"/>
        <v>9</v>
      </c>
      <c r="V100" s="1">
        <f ca="1">INDEX(INDIRECT("'"&amp;$A100&amp;"'!$A$1:$W$30"),MATCH('All Positional Stats'!$A$92,INDIRECT("'"&amp;$A100&amp;"'!$A$1:$A$30"),0),MATCH('All Positional Stats'!V$91,INDIRECT("'"&amp;$A100&amp;"'!$A$1:$W$1"),0))</f>
        <v>1.2</v>
      </c>
      <c r="W100" s="1">
        <f t="shared" ca="1" si="296"/>
        <v>12</v>
      </c>
      <c r="X100" s="1">
        <f ca="1">INDEX(INDIRECT("'"&amp;$A100&amp;"'!$A$1:$W$30"),MATCH('All Positional Stats'!$A$92,INDIRECT("'"&amp;$A100&amp;"'!$A$1:$A$30"),0),MATCH('All Positional Stats'!X$91,INDIRECT("'"&amp;$A100&amp;"'!$A$1:$W$1"),0))</f>
        <v>7.7</v>
      </c>
      <c r="Y100" s="1">
        <f t="shared" ca="1" si="296"/>
        <v>11</v>
      </c>
      <c r="Z100" s="1">
        <f ca="1">INDEX(INDIRECT("'"&amp;$A100&amp;"'!$A$1:$W$30"),MATCH('All Positional Stats'!$A$92,INDIRECT("'"&amp;$A100&amp;"'!$A$1:$A$30"),0),MATCH('All Positional Stats'!Z$91,INDIRECT("'"&amp;$A100&amp;"'!$A$1:$W$1"),0))</f>
        <v>7.1</v>
      </c>
      <c r="AA100" s="1">
        <f t="shared" ca="1" si="296"/>
        <v>6</v>
      </c>
      <c r="AB100" s="1">
        <f ca="1">INDEX(INDIRECT("'"&amp;$A100&amp;"'!$A$1:$W$30"),MATCH('All Positional Stats'!$A$92,INDIRECT("'"&amp;$A100&amp;"'!$A$1:$A$30"),0),MATCH('All Positional Stats'!AB$91,INDIRECT("'"&amp;$A100&amp;"'!$A$1:$W$1"),0))</f>
        <v>14.5</v>
      </c>
      <c r="AC100" s="1">
        <f t="shared" ca="1" si="296"/>
        <v>5</v>
      </c>
      <c r="AD100" s="1">
        <f ca="1">INDEX(INDIRECT("'"&amp;$A100&amp;"'!$A$1:$W$30"),MATCH('All Positional Stats'!$A$92,INDIRECT("'"&amp;$A100&amp;"'!$A$1:$A$30"),0),MATCH('All Positional Stats'!AD$91,INDIRECT("'"&amp;$A100&amp;"'!$A$1:$W$1"),0))</f>
        <v>8.3000000000000007</v>
      </c>
      <c r="AE100" s="1">
        <f t="shared" ca="1" si="296"/>
        <v>6</v>
      </c>
      <c r="AF100" s="1">
        <f ca="1">INDEX(INDIRECT("'"&amp;$A100&amp;"'!$A$1:$W$30"),MATCH('All Positional Stats'!$A$92,INDIRECT("'"&amp;$A100&amp;"'!$A$1:$A$30"),0),MATCH('All Positional Stats'!AF$91,INDIRECT("'"&amp;$A100&amp;"'!$A$1:$W$1"),0))</f>
        <v>15.6</v>
      </c>
      <c r="AG100" s="1">
        <f t="shared" ca="1" si="296"/>
        <v>2</v>
      </c>
      <c r="AH100" s="1">
        <f ca="1">INDEX(INDIRECT("'"&amp;$A100&amp;"'!$A$1:$W$30"),MATCH('All Positional Stats'!$A$92,INDIRECT("'"&amp;$A100&amp;"'!$A$1:$A$30"),0),MATCH('All Positional Stats'!AH$91,INDIRECT("'"&amp;$A100&amp;"'!$A$1:$W$1"),0))</f>
        <v>1.2</v>
      </c>
      <c r="AI100" s="1">
        <f ca="1">INDEX(INDIRECT("'"&amp;$A100&amp;"'!$A$1:$W$30"),MATCH('All Positional Stats'!$A$92,INDIRECT("'"&amp;$A100&amp;"'!$A$1:$A$30"),0),MATCH('All Positional Stats'!AI$91,INDIRECT("'"&amp;$A100&amp;"'!$A$1:$W$1"),0))</f>
        <v>27.8</v>
      </c>
      <c r="AJ100" s="7">
        <f ca="1">INDEX(INDIRECT("'"&amp;$A100&amp;"'!$A$1:$W$30"),MATCH('All Positional Stats'!$A$92,INDIRECT("'"&amp;$A100&amp;"'!$A$1:$A$30"),0),MATCH('All Positional Stats'!AJ$91,INDIRECT("'"&amp;$A100&amp;"'!$A$1:$W$1"),0))</f>
        <v>9.375</v>
      </c>
      <c r="AK100" s="7">
        <f ca="1">INDEX(INDIRECT("'"&amp;$A100&amp;"'!$A$1:$W$30"),MATCH('All Positional Stats'!$A$92,INDIRECT("'"&amp;$A100&amp;"'!$A$1:$A$30"),0),MATCH('All Positional Stats'!AK$91,INDIRECT("'"&amp;$A100&amp;"'!$A$1:$W$1"),0))</f>
        <v>6.5849734243958817</v>
      </c>
      <c r="AL100" s="7">
        <f ca="1">INDEX(INDIRECT("'"&amp;$A100&amp;"'!$A$1:$W$30"),MATCH('All Positional Stats'!$A$92,INDIRECT("'"&amp;$A100&amp;"'!$A$1:$A$30"),0),MATCH('All Positional Stats'!AL$91,INDIRECT("'"&amp;$A100&amp;"'!$A$1:$W$1"),0))</f>
        <v>150</v>
      </c>
      <c r="AM100" s="6">
        <f ca="1">INDEX(INDIRECT("'"&amp;$A100&amp;"'!$A$1:$W$30"),MATCH('All Positional Stats'!$A$92,INDIRECT("'"&amp;$A100&amp;"'!$A$1:$A$30"),0),MATCH('All Positional Stats'!AM$91,INDIRECT("'"&amp;$A100&amp;"'!$A$1:$W$1"),0))</f>
        <v>0.10222858311183804</v>
      </c>
      <c r="AN100" s="9">
        <f t="shared" ca="1" si="294"/>
        <v>111.60000000000001</v>
      </c>
      <c r="AO100" s="8">
        <f t="shared" ca="1" si="295"/>
        <v>10</v>
      </c>
    </row>
    <row r="101" spans="1:41" ht="16.25" thickTop="1" thickBot="1" x14ac:dyDescent="0.9">
      <c r="A101" s="1" t="s">
        <v>9</v>
      </c>
      <c r="B101" s="1">
        <f ca="1">INDEX(INDIRECT("'"&amp;$A101&amp;"'!$A$1:$W$30"),MATCH('All Positional Stats'!$A$92,INDIRECT("'"&amp;$A101&amp;"'!$A$1:$A$30"),0),MATCH('All Positional Stats'!B$91,INDIRECT("'"&amp;$A101&amp;"'!$A$1:$W$1"),0))</f>
        <v>2.6</v>
      </c>
      <c r="C101" s="1">
        <f t="shared" ca="1" si="293"/>
        <v>9</v>
      </c>
      <c r="D101" s="1">
        <f ca="1">INDEX(INDIRECT("'"&amp;$A101&amp;"'!$A$1:$W$30"),MATCH('All Positional Stats'!$A$92,INDIRECT("'"&amp;$A101&amp;"'!$A$1:$A$30"),0),MATCH('All Positional Stats'!D$91,INDIRECT("'"&amp;$A101&amp;"'!$A$1:$W$1"),0))</f>
        <v>14.2</v>
      </c>
      <c r="E101" s="1">
        <f t="shared" ca="1" si="296"/>
        <v>2</v>
      </c>
      <c r="F101" s="1">
        <f ca="1">INDEX(INDIRECT("'"&amp;$A101&amp;"'!$A$1:$W$30"),MATCH('All Positional Stats'!$A$92,INDIRECT("'"&amp;$A101&amp;"'!$A$1:$A$30"),0),MATCH('All Positional Stats'!F$91,INDIRECT("'"&amp;$A101&amp;"'!$A$1:$W$1"),0))</f>
        <v>10.1</v>
      </c>
      <c r="G101" s="1">
        <f t="shared" ca="1" si="296"/>
        <v>6</v>
      </c>
      <c r="H101" s="1">
        <f ca="1">INDEX(INDIRECT("'"&amp;$A101&amp;"'!$A$1:$W$30"),MATCH('All Positional Stats'!$A$92,INDIRECT("'"&amp;$A101&amp;"'!$A$1:$A$30"),0),MATCH('All Positional Stats'!H$91,INDIRECT("'"&amp;$A101&amp;"'!$A$1:$W$1"),0))</f>
        <v>22.5</v>
      </c>
      <c r="I101" s="1">
        <f t="shared" ca="1" si="296"/>
        <v>1</v>
      </c>
      <c r="J101" s="1">
        <f ca="1">INDEX(INDIRECT("'"&amp;$A101&amp;"'!$A$1:$W$30"),MATCH('All Positional Stats'!$A$92,INDIRECT("'"&amp;$A101&amp;"'!$A$1:$A$30"),0),MATCH('All Positional Stats'!J$91,INDIRECT("'"&amp;$A101&amp;"'!$A$1:$W$1"),0))</f>
        <v>14.7</v>
      </c>
      <c r="K101" s="1">
        <f t="shared" ca="1" si="296"/>
        <v>3</v>
      </c>
      <c r="L101" s="1">
        <f ca="1">INDEX(INDIRECT("'"&amp;$A101&amp;"'!$A$1:$W$30"),MATCH('All Positional Stats'!$A$92,INDIRECT("'"&amp;$A101&amp;"'!$A$1:$A$30"),0),MATCH('All Positional Stats'!L$91,INDIRECT("'"&amp;$A101&amp;"'!$A$1:$W$1"),0))</f>
        <v>5.4</v>
      </c>
      <c r="M101" s="1">
        <f t="shared" ca="1" si="296"/>
        <v>9</v>
      </c>
      <c r="N101" s="1">
        <f ca="1">INDEX(INDIRECT("'"&amp;$A101&amp;"'!$A$1:$W$30"),MATCH('All Positional Stats'!$A$92,INDIRECT("'"&amp;$A101&amp;"'!$A$1:$A$30"),0),MATCH('All Positional Stats'!N$91,INDIRECT("'"&amp;$A101&amp;"'!$A$1:$W$1"),0))</f>
        <v>9.3000000000000007</v>
      </c>
      <c r="O101" s="1">
        <f t="shared" ca="1" si="296"/>
        <v>5</v>
      </c>
      <c r="P101" s="1">
        <f ca="1">INDEX(INDIRECT("'"&amp;$A101&amp;"'!$A$1:$W$30"),MATCH('All Positional Stats'!$A$92,INDIRECT("'"&amp;$A101&amp;"'!$A$1:$A$30"),0),MATCH('All Positional Stats'!P$91,INDIRECT("'"&amp;$A101&amp;"'!$A$1:$W$1"),0))</f>
        <v>7.6</v>
      </c>
      <c r="Q101" s="1">
        <f t="shared" ca="1" si="296"/>
        <v>8</v>
      </c>
      <c r="R101" s="1">
        <f ca="1">INDEX(INDIRECT("'"&amp;$A101&amp;"'!$A$1:$W$30"),MATCH('All Positional Stats'!$A$92,INDIRECT("'"&amp;$A101&amp;"'!$A$1:$A$30"),0),MATCH('All Positional Stats'!R$91,INDIRECT("'"&amp;$A101&amp;"'!$A$1:$W$1"),0))</f>
        <v>5.5</v>
      </c>
      <c r="S101" s="1">
        <f t="shared" ca="1" si="296"/>
        <v>8</v>
      </c>
      <c r="T101" s="1">
        <f ca="1">INDEX(INDIRECT("'"&amp;$A101&amp;"'!$A$1:$W$30"),MATCH('All Positional Stats'!$A$92,INDIRECT("'"&amp;$A101&amp;"'!$A$1:$A$30"),0),MATCH('All Positional Stats'!T$91,INDIRECT("'"&amp;$A101&amp;"'!$A$1:$W$1"),0))</f>
        <v>5.0999999999999996</v>
      </c>
      <c r="U101" s="1">
        <f t="shared" ca="1" si="296"/>
        <v>10</v>
      </c>
      <c r="V101" s="1">
        <f ca="1">INDEX(INDIRECT("'"&amp;$A101&amp;"'!$A$1:$W$30"),MATCH('All Positional Stats'!$A$92,INDIRECT("'"&amp;$A101&amp;"'!$A$1:$A$30"),0),MATCH('All Positional Stats'!V$91,INDIRECT("'"&amp;$A101&amp;"'!$A$1:$W$1"),0))</f>
        <v>12.8</v>
      </c>
      <c r="W101" s="1">
        <f t="shared" ca="1" si="296"/>
        <v>6</v>
      </c>
      <c r="X101" s="1">
        <f ca="1">INDEX(INDIRECT("'"&amp;$A101&amp;"'!$A$1:$W$30"),MATCH('All Positional Stats'!$A$92,INDIRECT("'"&amp;$A101&amp;"'!$A$1:$A$30"),0),MATCH('All Positional Stats'!X$91,INDIRECT("'"&amp;$A101&amp;"'!$A$1:$W$1"),0))</f>
        <v>6.2</v>
      </c>
      <c r="Y101" s="1">
        <f t="shared" ca="1" si="296"/>
        <v>12</v>
      </c>
      <c r="Z101" s="1">
        <f ca="1">INDEX(INDIRECT("'"&amp;$A101&amp;"'!$A$1:$W$30"),MATCH('All Positional Stats'!$A$92,INDIRECT("'"&amp;$A101&amp;"'!$A$1:$A$30"),0),MATCH('All Positional Stats'!Z$91,INDIRECT("'"&amp;$A101&amp;"'!$A$1:$W$1"),0))</f>
        <v>16.3</v>
      </c>
      <c r="AA101" s="1">
        <f t="shared" ca="1" si="296"/>
        <v>4</v>
      </c>
      <c r="AB101" s="1">
        <f ca="1">INDEX(INDIRECT("'"&amp;$A101&amp;"'!$A$1:$W$30"),MATCH('All Positional Stats'!$A$92,INDIRECT("'"&amp;$A101&amp;"'!$A$1:$A$30"),0),MATCH('All Positional Stats'!AB$91,INDIRECT("'"&amp;$A101&amp;"'!$A$1:$W$1"),0))</f>
        <v>0</v>
      </c>
      <c r="AC101" s="1">
        <f t="shared" ca="1" si="296"/>
        <v>12</v>
      </c>
      <c r="AD101" s="1">
        <f ca="1">INDEX(INDIRECT("'"&amp;$A101&amp;"'!$A$1:$W$30"),MATCH('All Positional Stats'!$A$92,INDIRECT("'"&amp;$A101&amp;"'!$A$1:$A$30"),0),MATCH('All Positional Stats'!AD$91,INDIRECT("'"&amp;$A101&amp;"'!$A$1:$W$1"),0))</f>
        <v>2.8</v>
      </c>
      <c r="AE101" s="1">
        <f t="shared" ca="1" si="296"/>
        <v>9</v>
      </c>
      <c r="AF101" s="1">
        <f ca="1">INDEX(INDIRECT("'"&amp;$A101&amp;"'!$A$1:$W$30"),MATCH('All Positional Stats'!$A$92,INDIRECT("'"&amp;$A101&amp;"'!$A$1:$A$30"),0),MATCH('All Positional Stats'!AF$91,INDIRECT("'"&amp;$A101&amp;"'!$A$1:$W$1"),0))</f>
        <v>6.5</v>
      </c>
      <c r="AG101" s="1">
        <f t="shared" ca="1" si="296"/>
        <v>8</v>
      </c>
      <c r="AH101" s="1">
        <f ca="1">INDEX(INDIRECT("'"&amp;$A101&amp;"'!$A$1:$W$30"),MATCH('All Positional Stats'!$A$92,INDIRECT("'"&amp;$A101&amp;"'!$A$1:$A$30"),0),MATCH('All Positional Stats'!AH$91,INDIRECT("'"&amp;$A101&amp;"'!$A$1:$W$1"),0))</f>
        <v>0</v>
      </c>
      <c r="AI101" s="1">
        <f ca="1">INDEX(INDIRECT("'"&amp;$A101&amp;"'!$A$1:$W$30"),MATCH('All Positional Stats'!$A$92,INDIRECT("'"&amp;$A101&amp;"'!$A$1:$A$30"),0),MATCH('All Positional Stats'!AI$91,INDIRECT("'"&amp;$A101&amp;"'!$A$1:$W$1"),0))</f>
        <v>22.5</v>
      </c>
      <c r="AJ101" s="7">
        <f ca="1">INDEX(INDIRECT("'"&amp;$A101&amp;"'!$A$1:$W$30"),MATCH('All Positional Stats'!$A$92,INDIRECT("'"&amp;$A101&amp;"'!$A$1:$A$30"),0),MATCH('All Positional Stats'!AJ$91,INDIRECT("'"&amp;$A101&amp;"'!$A$1:$W$1"),0))</f>
        <v>8.85</v>
      </c>
      <c r="AK101" s="7">
        <f ca="1">INDEX(INDIRECT("'"&amp;$A101&amp;"'!$A$1:$W$30"),MATCH('All Positional Stats'!$A$92,INDIRECT("'"&amp;$A101&amp;"'!$A$1:$A$30"),0),MATCH('All Positional Stats'!AK$91,INDIRECT("'"&amp;$A101&amp;"'!$A$1:$W$1"),0))</f>
        <v>5.7408623045671483</v>
      </c>
      <c r="AL101" s="7">
        <f ca="1">INDEX(INDIRECT("'"&amp;$A101&amp;"'!$A$1:$W$30"),MATCH('All Positional Stats'!$A$92,INDIRECT("'"&amp;$A101&amp;"'!$A$1:$A$30"),0),MATCH('All Positional Stats'!AL$91,INDIRECT("'"&amp;$A101&amp;"'!$A$1:$W$1"),0))</f>
        <v>141.6</v>
      </c>
      <c r="AM101" s="6">
        <f ca="1">INDEX(INDIRECT("'"&amp;$A101&amp;"'!$A$1:$W$30"),MATCH('All Positional Stats'!$A$92,INDIRECT("'"&amp;$A101&amp;"'!$A$1:$A$30"),0),MATCH('All Positional Stats'!AM$91,INDIRECT("'"&amp;$A101&amp;"'!$A$1:$W$1"),0))</f>
        <v>0.10198055455527548</v>
      </c>
      <c r="AN101" s="9">
        <f t="shared" ca="1" si="294"/>
        <v>132.29999999999998</v>
      </c>
      <c r="AO101" s="8">
        <f t="shared" ca="1" si="295"/>
        <v>6</v>
      </c>
    </row>
    <row r="102" spans="1:41" ht="16.25" thickTop="1" thickBot="1" x14ac:dyDescent="0.9">
      <c r="A102" s="1" t="s">
        <v>10</v>
      </c>
      <c r="B102" s="1">
        <f ca="1">INDEX(INDIRECT("'"&amp;$A102&amp;"'!$A$1:$W$30"),MATCH('All Positional Stats'!$A$92,INDIRECT("'"&amp;$A102&amp;"'!$A$1:$A$30"),0),MATCH('All Positional Stats'!B$91,INDIRECT("'"&amp;$A102&amp;"'!$A$1:$W$1"),0))</f>
        <v>14</v>
      </c>
      <c r="C102" s="1">
        <f t="shared" ca="1" si="293"/>
        <v>2</v>
      </c>
      <c r="D102" s="1">
        <f ca="1">INDEX(INDIRECT("'"&amp;$A102&amp;"'!$A$1:$W$30"),MATCH('All Positional Stats'!$A$92,INDIRECT("'"&amp;$A102&amp;"'!$A$1:$A$30"),0),MATCH('All Positional Stats'!D$91,INDIRECT("'"&amp;$A102&amp;"'!$A$1:$W$1"),0))</f>
        <v>11.5</v>
      </c>
      <c r="E102" s="1">
        <f t="shared" ca="1" si="296"/>
        <v>3</v>
      </c>
      <c r="F102" s="1">
        <f ca="1">INDEX(INDIRECT("'"&amp;$A102&amp;"'!$A$1:$W$30"),MATCH('All Positional Stats'!$A$92,INDIRECT("'"&amp;$A102&amp;"'!$A$1:$A$30"),0),MATCH('All Positional Stats'!F$91,INDIRECT("'"&amp;$A102&amp;"'!$A$1:$W$1"),0))</f>
        <v>24.4</v>
      </c>
      <c r="G102" s="1">
        <f t="shared" ca="1" si="296"/>
        <v>2</v>
      </c>
      <c r="H102" s="1">
        <f ca="1">INDEX(INDIRECT("'"&amp;$A102&amp;"'!$A$1:$W$30"),MATCH('All Positional Stats'!$A$92,INDIRECT("'"&amp;$A102&amp;"'!$A$1:$A$30"),0),MATCH('All Positional Stats'!H$91,INDIRECT("'"&amp;$A102&amp;"'!$A$1:$W$1"),0))</f>
        <v>12.5</v>
      </c>
      <c r="I102" s="1">
        <f t="shared" ca="1" si="296"/>
        <v>3</v>
      </c>
      <c r="J102" s="1">
        <f ca="1">INDEX(INDIRECT("'"&amp;$A102&amp;"'!$A$1:$W$30"),MATCH('All Positional Stats'!$A$92,INDIRECT("'"&amp;$A102&amp;"'!$A$1:$A$30"),0),MATCH('All Positional Stats'!J$91,INDIRECT("'"&amp;$A102&amp;"'!$A$1:$W$1"),0))</f>
        <v>19</v>
      </c>
      <c r="K102" s="1">
        <f t="shared" ca="1" si="296"/>
        <v>2</v>
      </c>
      <c r="L102" s="1">
        <f ca="1">INDEX(INDIRECT("'"&amp;$A102&amp;"'!$A$1:$W$30"),MATCH('All Positional Stats'!$A$92,INDIRECT("'"&amp;$A102&amp;"'!$A$1:$A$30"),0),MATCH('All Positional Stats'!L$91,INDIRECT("'"&amp;$A102&amp;"'!$A$1:$W$1"),0))</f>
        <v>0</v>
      </c>
      <c r="M102" s="1">
        <f t="shared" ca="1" si="296"/>
        <v>11</v>
      </c>
      <c r="N102" s="1">
        <f ca="1">INDEX(INDIRECT("'"&amp;$A102&amp;"'!$A$1:$W$30"),MATCH('All Positional Stats'!$A$92,INDIRECT("'"&amp;$A102&amp;"'!$A$1:$A$30"),0),MATCH('All Positional Stats'!N$91,INDIRECT("'"&amp;$A102&amp;"'!$A$1:$W$1"),0))</f>
        <v>9.1999999999999993</v>
      </c>
      <c r="O102" s="1">
        <f t="shared" ca="1" si="296"/>
        <v>6</v>
      </c>
      <c r="P102" s="1">
        <f ca="1">INDEX(INDIRECT("'"&amp;$A102&amp;"'!$A$1:$W$30"),MATCH('All Positional Stats'!$A$92,INDIRECT("'"&amp;$A102&amp;"'!$A$1:$A$30"),0),MATCH('All Positional Stats'!P$91,INDIRECT("'"&amp;$A102&amp;"'!$A$1:$W$1"),0))</f>
        <v>6.6</v>
      </c>
      <c r="Q102" s="1">
        <f t="shared" ca="1" si="296"/>
        <v>9</v>
      </c>
      <c r="R102" s="1">
        <f ca="1">INDEX(INDIRECT("'"&amp;$A102&amp;"'!$A$1:$W$30"),MATCH('All Positional Stats'!$A$92,INDIRECT("'"&amp;$A102&amp;"'!$A$1:$A$30"),0),MATCH('All Positional Stats'!R$91,INDIRECT("'"&amp;$A102&amp;"'!$A$1:$W$1"),0))</f>
        <v>10.3</v>
      </c>
      <c r="S102" s="1">
        <f t="shared" ca="1" si="296"/>
        <v>7</v>
      </c>
      <c r="T102" s="1">
        <f ca="1">INDEX(INDIRECT("'"&amp;$A102&amp;"'!$A$1:$W$30"),MATCH('All Positional Stats'!$A$92,INDIRECT("'"&amp;$A102&amp;"'!$A$1:$A$30"),0),MATCH('All Positional Stats'!T$91,INDIRECT("'"&amp;$A102&amp;"'!$A$1:$W$1"),0))</f>
        <v>1.9</v>
      </c>
      <c r="U102" s="1">
        <f t="shared" ca="1" si="296"/>
        <v>12</v>
      </c>
      <c r="V102" s="1">
        <f ca="1">INDEX(INDIRECT("'"&amp;$A102&amp;"'!$A$1:$W$30"),MATCH('All Positional Stats'!$A$92,INDIRECT("'"&amp;$A102&amp;"'!$A$1:$A$30"),0),MATCH('All Positional Stats'!V$91,INDIRECT("'"&amp;$A102&amp;"'!$A$1:$W$1"),0))</f>
        <v>11.9</v>
      </c>
      <c r="W102" s="1">
        <f t="shared" ca="1" si="296"/>
        <v>8</v>
      </c>
      <c r="X102" s="1">
        <f ca="1">INDEX(INDIRECT("'"&amp;$A102&amp;"'!$A$1:$W$30"),MATCH('All Positional Stats'!$A$92,INDIRECT("'"&amp;$A102&amp;"'!$A$1:$A$30"),0),MATCH('All Positional Stats'!X$91,INDIRECT("'"&amp;$A102&amp;"'!$A$1:$W$1"),0))</f>
        <v>8.9</v>
      </c>
      <c r="Y102" s="1">
        <f t="shared" ca="1" si="296"/>
        <v>10</v>
      </c>
      <c r="Z102" s="1">
        <f ca="1">INDEX(INDIRECT("'"&amp;$A102&amp;"'!$A$1:$W$30"),MATCH('All Positional Stats'!$A$92,INDIRECT("'"&amp;$A102&amp;"'!$A$1:$A$30"),0),MATCH('All Positional Stats'!Z$91,INDIRECT("'"&amp;$A102&amp;"'!$A$1:$W$1"),0))</f>
        <v>33.5</v>
      </c>
      <c r="AA102" s="1">
        <f t="shared" ca="1" si="296"/>
        <v>1</v>
      </c>
      <c r="AB102" s="1">
        <f ca="1">INDEX(INDIRECT("'"&amp;$A102&amp;"'!$A$1:$W$30"),MATCH('All Positional Stats'!$A$92,INDIRECT("'"&amp;$A102&amp;"'!$A$1:$A$30"),0),MATCH('All Positional Stats'!AB$91,INDIRECT("'"&amp;$A102&amp;"'!$A$1:$W$1"),0))</f>
        <v>9.5</v>
      </c>
      <c r="AC102" s="1">
        <f t="shared" ca="1" si="296"/>
        <v>7</v>
      </c>
      <c r="AD102" s="1">
        <f ca="1">INDEX(INDIRECT("'"&amp;$A102&amp;"'!$A$1:$W$30"),MATCH('All Positional Stats'!$A$92,INDIRECT("'"&amp;$A102&amp;"'!$A$1:$A$30"),0),MATCH('All Positional Stats'!AD$91,INDIRECT("'"&amp;$A102&amp;"'!$A$1:$W$1"),0))</f>
        <v>17.3</v>
      </c>
      <c r="AE102" s="1">
        <f t="shared" ca="1" si="296"/>
        <v>3</v>
      </c>
      <c r="AF102" s="1">
        <f ca="1">INDEX(INDIRECT("'"&amp;$A102&amp;"'!$A$1:$W$30"),MATCH('All Positional Stats'!$A$92,INDIRECT("'"&amp;$A102&amp;"'!$A$1:$A$30"),0),MATCH('All Positional Stats'!AF$91,INDIRECT("'"&amp;$A102&amp;"'!$A$1:$W$1"),0))</f>
        <v>13.8</v>
      </c>
      <c r="AG102" s="1">
        <f t="shared" ca="1" si="296"/>
        <v>4</v>
      </c>
      <c r="AH102" s="1">
        <f ca="1">INDEX(INDIRECT("'"&amp;$A102&amp;"'!$A$1:$W$30"),MATCH('All Positional Stats'!$A$92,INDIRECT("'"&amp;$A102&amp;"'!$A$1:$A$30"),0),MATCH('All Positional Stats'!AH$91,INDIRECT("'"&amp;$A102&amp;"'!$A$1:$W$1"),0))</f>
        <v>0</v>
      </c>
      <c r="AI102" s="1">
        <f ca="1">INDEX(INDIRECT("'"&amp;$A102&amp;"'!$A$1:$W$30"),MATCH('All Positional Stats'!$A$92,INDIRECT("'"&amp;$A102&amp;"'!$A$1:$A$30"),0),MATCH('All Positional Stats'!AI$91,INDIRECT("'"&amp;$A102&amp;"'!$A$1:$W$1"),0))</f>
        <v>33.5</v>
      </c>
      <c r="AJ102" s="7">
        <f ca="1">INDEX(INDIRECT("'"&amp;$A102&amp;"'!$A$1:$W$30"),MATCH('All Positional Stats'!$A$92,INDIRECT("'"&amp;$A102&amp;"'!$A$1:$A$30"),0),MATCH('All Positional Stats'!AJ$91,INDIRECT("'"&amp;$A102&amp;"'!$A$1:$W$1"),0))</f>
        <v>12.768750000000002</v>
      </c>
      <c r="AK102" s="7">
        <f ca="1">INDEX(INDIRECT("'"&amp;$A102&amp;"'!$A$1:$W$30"),MATCH('All Positional Stats'!$A$92,INDIRECT("'"&amp;$A102&amp;"'!$A$1:$A$30"),0),MATCH('All Positional Stats'!AK$91,INDIRECT("'"&amp;$A102&amp;"'!$A$1:$W$1"),0))</f>
        <v>7.8785879723145777</v>
      </c>
      <c r="AL102" s="7">
        <f ca="1">INDEX(INDIRECT("'"&amp;$A102&amp;"'!$A$1:$W$30"),MATCH('All Positional Stats'!$A$92,INDIRECT("'"&amp;$A102&amp;"'!$A$1:$A$30"),0),MATCH('All Positional Stats'!AL$91,INDIRECT("'"&amp;$A102&amp;"'!$A$1:$W$1"),0))</f>
        <v>204.30000000000004</v>
      </c>
      <c r="AM102" s="6">
        <f ca="1">INDEX(INDIRECT("'"&amp;$A102&amp;"'!$A$1:$W$30"),MATCH('All Positional Stats'!$A$92,INDIRECT("'"&amp;$A102&amp;"'!$A$1:$A$30"),0),MATCH('All Positional Stats'!AM$91,INDIRECT("'"&amp;$A102&amp;"'!$A$1:$W$1"),0))</f>
        <v>0.13672868424575027</v>
      </c>
      <c r="AN102" s="9">
        <f t="shared" ca="1" si="294"/>
        <v>163.70000000000002</v>
      </c>
      <c r="AO102" s="8">
        <f t="shared" ca="1" si="295"/>
        <v>2</v>
      </c>
    </row>
    <row r="103" spans="1:41" ht="16.25" thickTop="1" thickBot="1" x14ac:dyDescent="0.9">
      <c r="A103" s="1" t="s">
        <v>11</v>
      </c>
      <c r="B103" s="1">
        <f ca="1">INDEX(INDIRECT("'"&amp;$A103&amp;"'!$A$1:$W$30"),MATCH('All Positional Stats'!$A$92,INDIRECT("'"&amp;$A103&amp;"'!$A$1:$A$30"),0),MATCH('All Positional Stats'!B$91,INDIRECT("'"&amp;$A103&amp;"'!$A$1:$W$1"),0))</f>
        <v>1.8</v>
      </c>
      <c r="C103" s="1">
        <f t="shared" ca="1" si="293"/>
        <v>10</v>
      </c>
      <c r="D103" s="1">
        <f ca="1">INDEX(INDIRECT("'"&amp;$A103&amp;"'!$A$1:$W$30"),MATCH('All Positional Stats'!$A$92,INDIRECT("'"&amp;$A103&amp;"'!$A$1:$A$30"),0),MATCH('All Positional Stats'!D$91,INDIRECT("'"&amp;$A103&amp;"'!$A$1:$W$1"),0))</f>
        <v>1.3</v>
      </c>
      <c r="E103" s="1">
        <f t="shared" ca="1" si="296"/>
        <v>12</v>
      </c>
      <c r="F103" s="1">
        <f ca="1">INDEX(INDIRECT("'"&amp;$A103&amp;"'!$A$1:$W$30"),MATCH('All Positional Stats'!$A$92,INDIRECT("'"&amp;$A103&amp;"'!$A$1:$A$30"),0),MATCH('All Positional Stats'!F$91,INDIRECT("'"&amp;$A103&amp;"'!$A$1:$W$1"),0))</f>
        <v>3.5</v>
      </c>
      <c r="G103" s="1">
        <f t="shared" ca="1" si="296"/>
        <v>11</v>
      </c>
      <c r="H103" s="1">
        <f ca="1">INDEX(INDIRECT("'"&amp;$A103&amp;"'!$A$1:$W$30"),MATCH('All Positional Stats'!$A$92,INDIRECT("'"&amp;$A103&amp;"'!$A$1:$A$30"),0),MATCH('All Positional Stats'!H$91,INDIRECT("'"&amp;$A103&amp;"'!$A$1:$W$1"),0))</f>
        <v>8</v>
      </c>
      <c r="I103" s="1">
        <f t="shared" ca="1" si="296"/>
        <v>5</v>
      </c>
      <c r="J103" s="1">
        <f ca="1">INDEX(INDIRECT("'"&amp;$A103&amp;"'!$A$1:$W$30"),MATCH('All Positional Stats'!$A$92,INDIRECT("'"&amp;$A103&amp;"'!$A$1:$A$30"),0),MATCH('All Positional Stats'!J$91,INDIRECT("'"&amp;$A103&amp;"'!$A$1:$W$1"),0))</f>
        <v>19.2</v>
      </c>
      <c r="K103" s="1">
        <f t="shared" ca="1" si="296"/>
        <v>1</v>
      </c>
      <c r="L103" s="1">
        <f ca="1">INDEX(INDIRECT("'"&amp;$A103&amp;"'!$A$1:$W$30"),MATCH('All Positional Stats'!$A$92,INDIRECT("'"&amp;$A103&amp;"'!$A$1:$A$30"),0),MATCH('All Positional Stats'!L$91,INDIRECT("'"&amp;$A103&amp;"'!$A$1:$W$1"),0))</f>
        <v>13.2</v>
      </c>
      <c r="M103" s="1">
        <f t="shared" ca="1" si="296"/>
        <v>4</v>
      </c>
      <c r="N103" s="1">
        <f ca="1">INDEX(INDIRECT("'"&amp;$A103&amp;"'!$A$1:$W$30"),MATCH('All Positional Stats'!$A$92,INDIRECT("'"&amp;$A103&amp;"'!$A$1:$A$30"),0),MATCH('All Positional Stats'!N$91,INDIRECT("'"&amp;$A103&amp;"'!$A$1:$W$1"),0))</f>
        <v>13.2</v>
      </c>
      <c r="O103" s="1">
        <f t="shared" ca="1" si="296"/>
        <v>2</v>
      </c>
      <c r="P103" s="1">
        <f ca="1">INDEX(INDIRECT("'"&amp;$A103&amp;"'!$A$1:$W$30"),MATCH('All Positional Stats'!$A$92,INDIRECT("'"&amp;$A103&amp;"'!$A$1:$A$30"),0),MATCH('All Positional Stats'!P$91,INDIRECT("'"&amp;$A103&amp;"'!$A$1:$W$1"),0))</f>
        <v>15.1</v>
      </c>
      <c r="Q103" s="1">
        <f t="shared" ca="1" si="296"/>
        <v>4</v>
      </c>
      <c r="R103" s="1">
        <f ca="1">INDEX(INDIRECT("'"&amp;$A103&amp;"'!$A$1:$W$30"),MATCH('All Positional Stats'!$A$92,INDIRECT("'"&amp;$A103&amp;"'!$A$1:$A$30"),0),MATCH('All Positional Stats'!R$91,INDIRECT("'"&amp;$A103&amp;"'!$A$1:$W$1"),0))</f>
        <v>28.2</v>
      </c>
      <c r="S103" s="1">
        <f t="shared" ca="1" si="296"/>
        <v>1</v>
      </c>
      <c r="T103" s="1">
        <f ca="1">INDEX(INDIRECT("'"&amp;$A103&amp;"'!$A$1:$W$30"),MATCH('All Positional Stats'!$A$92,INDIRECT("'"&amp;$A103&amp;"'!$A$1:$A$30"),0),MATCH('All Positional Stats'!T$91,INDIRECT("'"&amp;$A103&amp;"'!$A$1:$W$1"),0))</f>
        <v>3.6</v>
      </c>
      <c r="U103" s="1">
        <f t="shared" ca="1" si="296"/>
        <v>11</v>
      </c>
      <c r="V103" s="1">
        <f ca="1">INDEX(INDIRECT("'"&amp;$A103&amp;"'!$A$1:$W$30"),MATCH('All Positional Stats'!$A$92,INDIRECT("'"&amp;$A103&amp;"'!$A$1:$A$30"),0),MATCH('All Positional Stats'!V$91,INDIRECT("'"&amp;$A103&amp;"'!$A$1:$W$1"),0))</f>
        <v>22.6</v>
      </c>
      <c r="W103" s="1">
        <f t="shared" ca="1" si="296"/>
        <v>2</v>
      </c>
      <c r="X103" s="1">
        <f ca="1">INDEX(INDIRECT("'"&amp;$A103&amp;"'!$A$1:$W$30"),MATCH('All Positional Stats'!$A$92,INDIRECT("'"&amp;$A103&amp;"'!$A$1:$A$30"),0),MATCH('All Positional Stats'!X$91,INDIRECT("'"&amp;$A103&amp;"'!$A$1:$W$1"),0))</f>
        <v>33.799999999999997</v>
      </c>
      <c r="Y103" s="1">
        <f t="shared" ca="1" si="296"/>
        <v>1</v>
      </c>
      <c r="Z103" s="1">
        <f ca="1">INDEX(INDIRECT("'"&amp;$A103&amp;"'!$A$1:$W$30"),MATCH('All Positional Stats'!$A$92,INDIRECT("'"&amp;$A103&amp;"'!$A$1:$A$30"),0),MATCH('All Positional Stats'!Z$91,INDIRECT("'"&amp;$A103&amp;"'!$A$1:$W$1"),0))</f>
        <v>27.1</v>
      </c>
      <c r="AA103" s="1">
        <f t="shared" ca="1" si="296"/>
        <v>2</v>
      </c>
      <c r="AB103" s="1">
        <f ca="1">INDEX(INDIRECT("'"&amp;$A103&amp;"'!$A$1:$W$30"),MATCH('All Positional Stats'!$A$92,INDIRECT("'"&amp;$A103&amp;"'!$A$1:$A$30"),0),MATCH('All Positional Stats'!AB$91,INDIRECT("'"&amp;$A103&amp;"'!$A$1:$W$1"),0))</f>
        <v>4.2</v>
      </c>
      <c r="AC103" s="1">
        <f t="shared" ca="1" si="296"/>
        <v>10</v>
      </c>
      <c r="AD103" s="1">
        <f ca="1">INDEX(INDIRECT("'"&amp;$A103&amp;"'!$A$1:$W$30"),MATCH('All Positional Stats'!$A$92,INDIRECT("'"&amp;$A103&amp;"'!$A$1:$A$30"),0),MATCH('All Positional Stats'!AD$91,INDIRECT("'"&amp;$A103&amp;"'!$A$1:$W$1"),0))</f>
        <v>17.899999999999999</v>
      </c>
      <c r="AE103" s="1">
        <f t="shared" ca="1" si="296"/>
        <v>2</v>
      </c>
      <c r="AF103" s="1">
        <f ca="1">INDEX(INDIRECT("'"&amp;$A103&amp;"'!$A$1:$W$30"),MATCH('All Positional Stats'!$A$92,INDIRECT("'"&amp;$A103&amp;"'!$A$1:$A$30"),0),MATCH('All Positional Stats'!AF$91,INDIRECT("'"&amp;$A103&amp;"'!$A$1:$W$1"),0))</f>
        <v>12.5</v>
      </c>
      <c r="AG103" s="1">
        <f t="shared" ca="1" si="296"/>
        <v>6</v>
      </c>
      <c r="AH103" s="1">
        <f ca="1">INDEX(INDIRECT("'"&amp;$A103&amp;"'!$A$1:$W$30"),MATCH('All Positional Stats'!$A$92,INDIRECT("'"&amp;$A103&amp;"'!$A$1:$A$30"),0),MATCH('All Positional Stats'!AH$91,INDIRECT("'"&amp;$A103&amp;"'!$A$1:$W$1"),0))</f>
        <v>1.3</v>
      </c>
      <c r="AI103" s="1">
        <f ca="1">INDEX(INDIRECT("'"&amp;$A103&amp;"'!$A$1:$W$30"),MATCH('All Positional Stats'!$A$92,INDIRECT("'"&amp;$A103&amp;"'!$A$1:$A$30"),0),MATCH('All Positional Stats'!AI$91,INDIRECT("'"&amp;$A103&amp;"'!$A$1:$W$1"),0))</f>
        <v>33.799999999999997</v>
      </c>
      <c r="AJ103" s="7">
        <f ca="1">INDEX(INDIRECT("'"&amp;$A103&amp;"'!$A$1:$W$30"),MATCH('All Positional Stats'!$A$92,INDIRECT("'"&amp;$A103&amp;"'!$A$1:$A$30"),0),MATCH('All Positional Stats'!AJ$91,INDIRECT("'"&amp;$A103&amp;"'!$A$1:$W$1"),0))</f>
        <v>14.074999999999999</v>
      </c>
      <c r="AK103" s="7">
        <f ca="1">INDEX(INDIRECT("'"&amp;$A103&amp;"'!$A$1:$W$30"),MATCH('All Positional Stats'!$A$92,INDIRECT("'"&amp;$A103&amp;"'!$A$1:$A$30"),0),MATCH('All Positional Stats'!AK$91,INDIRECT("'"&amp;$A103&amp;"'!$A$1:$W$1"),0))</f>
        <v>9.8321221005437085</v>
      </c>
      <c r="AL103" s="7">
        <f ca="1">INDEX(INDIRECT("'"&amp;$A103&amp;"'!$A$1:$W$30"),MATCH('All Positional Stats'!$A$92,INDIRECT("'"&amp;$A103&amp;"'!$A$1:$A$30"),0),MATCH('All Positional Stats'!AL$91,INDIRECT("'"&amp;$A103&amp;"'!$A$1:$W$1"),0))</f>
        <v>225.2</v>
      </c>
      <c r="AM103" s="6">
        <f ca="1">INDEX(INDIRECT("'"&amp;$A103&amp;"'!$A$1:$W$30"),MATCH('All Positional Stats'!$A$92,INDIRECT("'"&amp;$A103&amp;"'!$A$1:$A$30"),0),MATCH('All Positional Stats'!AM$91,INDIRECT("'"&amp;$A103&amp;"'!$A$1:$W$1"),0))</f>
        <v>0.13325443786982247</v>
      </c>
      <c r="AN103" s="9">
        <f t="shared" ca="1" si="294"/>
        <v>190.6</v>
      </c>
      <c r="AO103" s="8">
        <f t="shared" ca="1" si="295"/>
        <v>1</v>
      </c>
    </row>
    <row r="104" spans="1:41" ht="16.25" thickTop="1" thickBot="1" x14ac:dyDescent="0.9">
      <c r="A104" s="1" t="s">
        <v>12</v>
      </c>
      <c r="B104" s="1">
        <f ca="1">INDEX(INDIRECT("'"&amp;$A104&amp;"'!$A$1:$W$30"),MATCH('All Positional Stats'!$A$92,INDIRECT("'"&amp;$A104&amp;"'!$A$1:$A$30"),0),MATCH('All Positional Stats'!B$91,INDIRECT("'"&amp;$A104&amp;"'!$A$1:$W$1"),0))</f>
        <v>8.3000000000000007</v>
      </c>
      <c r="C104" s="1">
        <f t="shared" ca="1" si="293"/>
        <v>4</v>
      </c>
      <c r="D104" s="1">
        <f ca="1">INDEX(INDIRECT("'"&amp;$A104&amp;"'!$A$1:$W$30"),MATCH('All Positional Stats'!$A$92,INDIRECT("'"&amp;$A104&amp;"'!$A$1:$A$30"),0),MATCH('All Positional Stats'!D$91,INDIRECT("'"&amp;$A104&amp;"'!$A$1:$W$1"),0))</f>
        <v>4</v>
      </c>
      <c r="E104" s="1">
        <f t="shared" ca="1" si="296"/>
        <v>10</v>
      </c>
      <c r="F104" s="1">
        <f ca="1">INDEX(INDIRECT("'"&amp;$A104&amp;"'!$A$1:$W$30"),MATCH('All Positional Stats'!$A$92,INDIRECT("'"&amp;$A104&amp;"'!$A$1:$A$30"),0),MATCH('All Positional Stats'!F$91,INDIRECT("'"&amp;$A104&amp;"'!$A$1:$W$1"),0))</f>
        <v>2</v>
      </c>
      <c r="G104" s="1">
        <f t="shared" ca="1" si="296"/>
        <v>12</v>
      </c>
      <c r="H104" s="1">
        <f ca="1">INDEX(INDIRECT("'"&amp;$A104&amp;"'!$A$1:$W$30"),MATCH('All Positional Stats'!$A$92,INDIRECT("'"&amp;$A104&amp;"'!$A$1:$A$30"),0),MATCH('All Positional Stats'!H$91,INDIRECT("'"&amp;$A104&amp;"'!$A$1:$W$1"),0))</f>
        <v>2.2000000000000002</v>
      </c>
      <c r="I104" s="1">
        <f t="shared" ca="1" si="296"/>
        <v>10</v>
      </c>
      <c r="J104" s="1">
        <f ca="1">INDEX(INDIRECT("'"&amp;$A104&amp;"'!$A$1:$W$30"),MATCH('All Positional Stats'!$A$92,INDIRECT("'"&amp;$A104&amp;"'!$A$1:$A$30"),0),MATCH('All Positional Stats'!J$91,INDIRECT("'"&amp;$A104&amp;"'!$A$1:$W$1"),0))</f>
        <v>0</v>
      </c>
      <c r="K104" s="1">
        <f t="shared" ca="1" si="296"/>
        <v>11</v>
      </c>
      <c r="L104" s="1">
        <f ca="1">INDEX(INDIRECT("'"&amp;$A104&amp;"'!$A$1:$W$30"),MATCH('All Positional Stats'!$A$92,INDIRECT("'"&amp;$A104&amp;"'!$A$1:$A$30"),0),MATCH('All Positional Stats'!L$91,INDIRECT("'"&amp;$A104&amp;"'!$A$1:$W$1"),0))</f>
        <v>1.6</v>
      </c>
      <c r="M104" s="1">
        <f t="shared" ca="1" si="296"/>
        <v>10</v>
      </c>
      <c r="N104" s="1">
        <f ca="1">INDEX(INDIRECT("'"&amp;$A104&amp;"'!$A$1:$W$30"),MATCH('All Positional Stats'!$A$92,INDIRECT("'"&amp;$A104&amp;"'!$A$1:$A$30"),0),MATCH('All Positional Stats'!N$91,INDIRECT("'"&amp;$A104&amp;"'!$A$1:$W$1"),0))</f>
        <v>5.7</v>
      </c>
      <c r="O104" s="1">
        <f t="shared" ca="1" si="296"/>
        <v>9</v>
      </c>
      <c r="P104" s="1">
        <f ca="1">INDEX(INDIRECT("'"&amp;$A104&amp;"'!$A$1:$W$30"),MATCH('All Positional Stats'!$A$92,INDIRECT("'"&amp;$A104&amp;"'!$A$1:$A$30"),0),MATCH('All Positional Stats'!P$91,INDIRECT("'"&amp;$A104&amp;"'!$A$1:$W$1"),0))</f>
        <v>2.9</v>
      </c>
      <c r="Q104" s="1">
        <f t="shared" ca="1" si="296"/>
        <v>12</v>
      </c>
      <c r="R104" s="1">
        <f ca="1">INDEX(INDIRECT("'"&amp;$A104&amp;"'!$A$1:$W$30"),MATCH('All Positional Stats'!$A$92,INDIRECT("'"&amp;$A104&amp;"'!$A$1:$A$30"),0),MATCH('All Positional Stats'!R$91,INDIRECT("'"&amp;$A104&amp;"'!$A$1:$W$1"),0))</f>
        <v>13.2</v>
      </c>
      <c r="S104" s="1">
        <f t="shared" ca="1" si="296"/>
        <v>5</v>
      </c>
      <c r="T104" s="1">
        <f ca="1">INDEX(INDIRECT("'"&amp;$A104&amp;"'!$A$1:$W$30"),MATCH('All Positional Stats'!$A$92,INDIRECT("'"&amp;$A104&amp;"'!$A$1:$A$30"),0),MATCH('All Positional Stats'!T$91,INDIRECT("'"&amp;$A104&amp;"'!$A$1:$W$1"),0))</f>
        <v>11.1</v>
      </c>
      <c r="U104" s="1">
        <f t="shared" ca="1" si="296"/>
        <v>5</v>
      </c>
      <c r="V104" s="1">
        <f ca="1">INDEX(INDIRECT("'"&amp;$A104&amp;"'!$A$1:$W$30"),MATCH('All Positional Stats'!$A$92,INDIRECT("'"&amp;$A104&amp;"'!$A$1:$A$30"),0),MATCH('All Positional Stats'!V$91,INDIRECT("'"&amp;$A104&amp;"'!$A$1:$W$1"),0))</f>
        <v>5.0999999999999996</v>
      </c>
      <c r="W104" s="1">
        <f t="shared" ca="1" si="296"/>
        <v>11</v>
      </c>
      <c r="X104" s="1">
        <f ca="1">INDEX(INDIRECT("'"&amp;$A104&amp;"'!$A$1:$W$30"),MATCH('All Positional Stats'!$A$92,INDIRECT("'"&amp;$A104&amp;"'!$A$1:$A$30"),0),MATCH('All Positional Stats'!X$91,INDIRECT("'"&amp;$A104&amp;"'!$A$1:$W$1"),0))</f>
        <v>16.2</v>
      </c>
      <c r="Y104" s="1">
        <f t="shared" ca="1" si="296"/>
        <v>5</v>
      </c>
      <c r="Z104" s="1">
        <f ca="1">INDEX(INDIRECT("'"&amp;$A104&amp;"'!$A$1:$W$30"),MATCH('All Positional Stats'!$A$92,INDIRECT("'"&amp;$A104&amp;"'!$A$1:$A$30"),0),MATCH('All Positional Stats'!Z$91,INDIRECT("'"&amp;$A104&amp;"'!$A$1:$W$1"),0))</f>
        <v>11.3</v>
      </c>
      <c r="AA104" s="1">
        <f t="shared" ca="1" si="296"/>
        <v>5</v>
      </c>
      <c r="AB104" s="1">
        <f ca="1">INDEX(INDIRECT("'"&amp;$A104&amp;"'!$A$1:$W$30"),MATCH('All Positional Stats'!$A$92,INDIRECT("'"&amp;$A104&amp;"'!$A$1:$A$30"),0),MATCH('All Positional Stats'!AB$91,INDIRECT("'"&amp;$A104&amp;"'!$A$1:$W$1"),0))</f>
        <v>9.6</v>
      </c>
      <c r="AC104" s="1">
        <f t="shared" ca="1" si="296"/>
        <v>6</v>
      </c>
      <c r="AD104" s="1">
        <f ca="1">INDEX(INDIRECT("'"&amp;$A104&amp;"'!$A$1:$W$30"),MATCH('All Positional Stats'!$A$92,INDIRECT("'"&amp;$A104&amp;"'!$A$1:$A$30"),0),MATCH('All Positional Stats'!AD$91,INDIRECT("'"&amp;$A104&amp;"'!$A$1:$W$1"),0))</f>
        <v>2.4</v>
      </c>
      <c r="AE104" s="1">
        <f t="shared" ca="1" si="296"/>
        <v>11</v>
      </c>
      <c r="AF104" s="1">
        <f ca="1">INDEX(INDIRECT("'"&amp;$A104&amp;"'!$A$1:$W$30"),MATCH('All Positional Stats'!$A$92,INDIRECT("'"&amp;$A104&amp;"'!$A$1:$A$30"),0),MATCH('All Positional Stats'!AF$91,INDIRECT("'"&amp;$A104&amp;"'!$A$1:$W$1"),0))</f>
        <v>10.5</v>
      </c>
      <c r="AG104" s="1">
        <f t="shared" ca="1" si="296"/>
        <v>7</v>
      </c>
      <c r="AH104" s="1">
        <f ca="1">INDEX(INDIRECT("'"&amp;$A104&amp;"'!$A$1:$W$30"),MATCH('All Positional Stats'!$A$92,INDIRECT("'"&amp;$A104&amp;"'!$A$1:$A$30"),0),MATCH('All Positional Stats'!AH$91,INDIRECT("'"&amp;$A104&amp;"'!$A$1:$W$1"),0))</f>
        <v>0</v>
      </c>
      <c r="AI104" s="1">
        <f ca="1">INDEX(INDIRECT("'"&amp;$A104&amp;"'!$A$1:$W$30"),MATCH('All Positional Stats'!$A$92,INDIRECT("'"&amp;$A104&amp;"'!$A$1:$A$30"),0),MATCH('All Positional Stats'!AI$91,INDIRECT("'"&amp;$A104&amp;"'!$A$1:$W$1"),0))</f>
        <v>16.2</v>
      </c>
      <c r="AJ104" s="7">
        <f ca="1">INDEX(INDIRECT("'"&amp;$A104&amp;"'!$A$1:$W$30"),MATCH('All Positional Stats'!$A$92,INDIRECT("'"&amp;$A104&amp;"'!$A$1:$A$30"),0),MATCH('All Positional Stats'!AJ$91,INDIRECT("'"&amp;$A104&amp;"'!$A$1:$W$1"),0))</f>
        <v>6.6312499999999996</v>
      </c>
      <c r="AK104" s="7">
        <f ca="1">INDEX(INDIRECT("'"&amp;$A104&amp;"'!$A$1:$W$30"),MATCH('All Positional Stats'!$A$92,INDIRECT("'"&amp;$A104&amp;"'!$A$1:$A$30"),0),MATCH('All Positional Stats'!AK$91,INDIRECT("'"&amp;$A104&amp;"'!$A$1:$W$1"),0))</f>
        <v>4.7128439861192089</v>
      </c>
      <c r="AL104" s="7">
        <f ca="1">INDEX(INDIRECT("'"&amp;$A104&amp;"'!$A$1:$W$30"),MATCH('All Positional Stats'!$A$92,INDIRECT("'"&amp;$A104&amp;"'!$A$1:$A$30"),0),MATCH('All Positional Stats'!AL$91,INDIRECT("'"&amp;$A104&amp;"'!$A$1:$W$1"),0))</f>
        <v>106.1</v>
      </c>
      <c r="AM104" s="6">
        <f ca="1">INDEX(INDIRECT("'"&amp;$A104&amp;"'!$A$1:$W$30"),MATCH('All Positional Stats'!$A$92,INDIRECT("'"&amp;$A104&amp;"'!$A$1:$A$30"),0),MATCH('All Positional Stats'!AM$91,INDIRECT("'"&amp;$A104&amp;"'!$A$1:$W$1"),0))</f>
        <v>7.5904993561310641E-2</v>
      </c>
      <c r="AN104" s="9">
        <f t="shared" ca="1" si="294"/>
        <v>83.6</v>
      </c>
      <c r="AO104" s="8">
        <f t="shared" ca="1" si="295"/>
        <v>12</v>
      </c>
    </row>
    <row r="105" spans="1:41" ht="16.25" thickTop="1" thickBot="1" x14ac:dyDescent="0.9"/>
    <row r="106" spans="1:41" ht="16.25" thickTop="1" thickBot="1" x14ac:dyDescent="0.9">
      <c r="B106" s="13" t="s">
        <v>13</v>
      </c>
      <c r="C106" s="15"/>
      <c r="D106" s="13" t="s">
        <v>14</v>
      </c>
      <c r="E106" s="15"/>
      <c r="F106" s="13" t="s">
        <v>15</v>
      </c>
      <c r="G106" s="15"/>
      <c r="H106" s="13" t="s">
        <v>16</v>
      </c>
      <c r="I106" s="15"/>
      <c r="J106" s="13" t="s">
        <v>17</v>
      </c>
      <c r="K106" s="15"/>
      <c r="L106" s="13" t="s">
        <v>18</v>
      </c>
      <c r="M106" s="15"/>
      <c r="N106" s="13" t="s">
        <v>19</v>
      </c>
      <c r="O106" s="15"/>
      <c r="P106" s="13" t="s">
        <v>20</v>
      </c>
      <c r="Q106" s="15"/>
      <c r="R106" s="13" t="s">
        <v>21</v>
      </c>
      <c r="S106" s="15"/>
      <c r="T106" s="13" t="s">
        <v>22</v>
      </c>
      <c r="U106" s="15"/>
      <c r="V106" s="13" t="s">
        <v>23</v>
      </c>
      <c r="W106" s="15"/>
      <c r="X106" s="13" t="s">
        <v>24</v>
      </c>
      <c r="Y106" s="15"/>
      <c r="Z106" s="13" t="s">
        <v>25</v>
      </c>
      <c r="AA106" s="15"/>
      <c r="AB106" s="13" t="s">
        <v>26</v>
      </c>
      <c r="AC106" s="15"/>
      <c r="AD106" s="13" t="s">
        <v>27</v>
      </c>
      <c r="AE106" s="15"/>
      <c r="AF106" s="13" t="s">
        <v>28</v>
      </c>
      <c r="AG106" s="15"/>
      <c r="AH106" s="16" t="s">
        <v>30</v>
      </c>
      <c r="AI106" s="16" t="s">
        <v>31</v>
      </c>
      <c r="AJ106" s="16" t="s">
        <v>32</v>
      </c>
      <c r="AK106" s="16" t="s">
        <v>33</v>
      </c>
      <c r="AL106" s="16" t="s">
        <v>34</v>
      </c>
      <c r="AM106" s="16" t="s">
        <v>35</v>
      </c>
      <c r="AN106" s="16" t="s">
        <v>64</v>
      </c>
      <c r="AO106" s="16" t="s">
        <v>63</v>
      </c>
    </row>
    <row r="107" spans="1:41" ht="16.25" thickTop="1" thickBot="1" x14ac:dyDescent="0.9">
      <c r="A107" t="s">
        <v>61</v>
      </c>
      <c r="B107" s="5" t="s">
        <v>29</v>
      </c>
      <c r="C107" s="5" t="s">
        <v>63</v>
      </c>
      <c r="D107" s="5" t="s">
        <v>29</v>
      </c>
      <c r="E107" s="5" t="s">
        <v>63</v>
      </c>
      <c r="F107" s="5" t="s">
        <v>29</v>
      </c>
      <c r="G107" s="5" t="s">
        <v>63</v>
      </c>
      <c r="H107" s="5" t="s">
        <v>29</v>
      </c>
      <c r="I107" s="5" t="s">
        <v>63</v>
      </c>
      <c r="J107" s="5" t="s">
        <v>29</v>
      </c>
      <c r="K107" s="5" t="s">
        <v>63</v>
      </c>
      <c r="L107" s="5" t="s">
        <v>29</v>
      </c>
      <c r="M107" s="5" t="s">
        <v>63</v>
      </c>
      <c r="N107" s="5" t="s">
        <v>29</v>
      </c>
      <c r="O107" s="5" t="s">
        <v>63</v>
      </c>
      <c r="P107" s="5" t="s">
        <v>29</v>
      </c>
      <c r="Q107" s="5" t="s">
        <v>63</v>
      </c>
      <c r="R107" s="5" t="s">
        <v>29</v>
      </c>
      <c r="S107" s="5" t="s">
        <v>63</v>
      </c>
      <c r="T107" s="5" t="s">
        <v>29</v>
      </c>
      <c r="U107" s="5" t="s">
        <v>63</v>
      </c>
      <c r="V107" s="5" t="s">
        <v>29</v>
      </c>
      <c r="W107" s="5" t="s">
        <v>63</v>
      </c>
      <c r="X107" s="5" t="s">
        <v>29</v>
      </c>
      <c r="Y107" s="5" t="s">
        <v>63</v>
      </c>
      <c r="Z107" s="5" t="s">
        <v>29</v>
      </c>
      <c r="AA107" s="5" t="s">
        <v>63</v>
      </c>
      <c r="AB107" s="5" t="s">
        <v>29</v>
      </c>
      <c r="AC107" s="5" t="s">
        <v>63</v>
      </c>
      <c r="AD107" s="5" t="s">
        <v>29</v>
      </c>
      <c r="AE107" s="5" t="s">
        <v>63</v>
      </c>
      <c r="AF107" s="5" t="s">
        <v>29</v>
      </c>
      <c r="AG107" s="5" t="s">
        <v>63</v>
      </c>
      <c r="AH107" s="17"/>
      <c r="AI107" s="17"/>
      <c r="AJ107" s="17"/>
      <c r="AK107" s="17"/>
      <c r="AL107" s="17"/>
      <c r="AM107" s="17"/>
      <c r="AN107" s="17"/>
      <c r="AO107" s="17"/>
    </row>
    <row r="108" spans="1:41" ht="16.25" thickTop="1" thickBot="1" x14ac:dyDescent="0.9">
      <c r="A108" s="1" t="s">
        <v>1</v>
      </c>
      <c r="B108" s="1">
        <f ca="1">INDEX(INDIRECT("'"&amp;$A108&amp;"'!$A$1:$W$30"),MATCH('All Positional Stats'!$A$107,INDIRECT("'"&amp;$A108&amp;"'!$A$1:$A$30"),0),MATCH('All Positional Stats'!B$106,INDIRECT("'"&amp;$A108&amp;"'!$A$1:$W$1"),0))</f>
        <v>19</v>
      </c>
      <c r="C108" s="1">
        <f ca="1">_xlfn.RANK.EQ(B108,B$108:B$119)</f>
        <v>4</v>
      </c>
      <c r="D108" s="1">
        <f ca="1">INDEX(INDIRECT("'"&amp;$A108&amp;"'!$A$1:$W$30"),MATCH('All Positional Stats'!$A$107,INDIRECT("'"&amp;$A108&amp;"'!$A$1:$A$30"),0),MATCH('All Positional Stats'!D$106,INDIRECT("'"&amp;$A108&amp;"'!$A$1:$W$1"),0))</f>
        <v>11</v>
      </c>
      <c r="E108" s="1">
        <f t="shared" ref="E108" ca="1" si="297">_xlfn.RANK.EQ(D108,D$108:D$119)</f>
        <v>4</v>
      </c>
      <c r="F108" s="1">
        <f ca="1">INDEX(INDIRECT("'"&amp;$A108&amp;"'!$A$1:$W$30"),MATCH('All Positional Stats'!$A$107,INDIRECT("'"&amp;$A108&amp;"'!$A$1:$A$30"),0),MATCH('All Positional Stats'!F$106,INDIRECT("'"&amp;$A108&amp;"'!$A$1:$W$1"),0))</f>
        <v>6</v>
      </c>
      <c r="G108" s="1">
        <f t="shared" ref="G108" ca="1" si="298">_xlfn.RANK.EQ(F108,F$108:F$119)</f>
        <v>5</v>
      </c>
      <c r="H108" s="1">
        <f ca="1">INDEX(INDIRECT("'"&amp;$A108&amp;"'!$A$1:$W$30"),MATCH('All Positional Stats'!$A$107,INDIRECT("'"&amp;$A108&amp;"'!$A$1:$A$30"),0),MATCH('All Positional Stats'!H$106,INDIRECT("'"&amp;$A108&amp;"'!$A$1:$W$1"),0))</f>
        <v>6</v>
      </c>
      <c r="I108" s="1">
        <f t="shared" ref="I108" ca="1" si="299">_xlfn.RANK.EQ(H108,H$108:H$119)</f>
        <v>8</v>
      </c>
      <c r="J108" s="1">
        <f ca="1">INDEX(INDIRECT("'"&amp;$A108&amp;"'!$A$1:$W$30"),MATCH('All Positional Stats'!$A$107,INDIRECT("'"&amp;$A108&amp;"'!$A$1:$A$30"),0),MATCH('All Positional Stats'!J$106,INDIRECT("'"&amp;$A108&amp;"'!$A$1:$W$1"),0))</f>
        <v>4</v>
      </c>
      <c r="K108" s="1">
        <f t="shared" ref="K108" ca="1" si="300">_xlfn.RANK.EQ(J108,J$108:J$119)</f>
        <v>10</v>
      </c>
      <c r="L108" s="1">
        <f ca="1">INDEX(INDIRECT("'"&amp;$A108&amp;"'!$A$1:$W$30"),MATCH('All Positional Stats'!$A$107,INDIRECT("'"&amp;$A108&amp;"'!$A$1:$A$30"),0),MATCH('All Positional Stats'!L$106,INDIRECT("'"&amp;$A108&amp;"'!$A$1:$W$1"),0))</f>
        <v>10</v>
      </c>
      <c r="M108" s="1">
        <f t="shared" ref="M108" ca="1" si="301">_xlfn.RANK.EQ(L108,L$108:L$119)</f>
        <v>5</v>
      </c>
      <c r="N108" s="1">
        <f ca="1">INDEX(INDIRECT("'"&amp;$A108&amp;"'!$A$1:$W$30"),MATCH('All Positional Stats'!$A$107,INDIRECT("'"&amp;$A108&amp;"'!$A$1:$A$30"),0),MATCH('All Positional Stats'!N$106,INDIRECT("'"&amp;$A108&amp;"'!$A$1:$W$1"),0))</f>
        <v>12</v>
      </c>
      <c r="O108" s="1">
        <f t="shared" ref="O108" ca="1" si="302">_xlfn.RANK.EQ(N108,N$108:N$119)</f>
        <v>5</v>
      </c>
      <c r="P108" s="1">
        <f ca="1">INDEX(INDIRECT("'"&amp;$A108&amp;"'!$A$1:$W$30"),MATCH('All Positional Stats'!$A$107,INDIRECT("'"&amp;$A108&amp;"'!$A$1:$A$30"),0),MATCH('All Positional Stats'!P$106,INDIRECT("'"&amp;$A108&amp;"'!$A$1:$W$1"),0))</f>
        <v>0</v>
      </c>
      <c r="Q108" s="1">
        <f t="shared" ref="Q108" ca="1" si="303">_xlfn.RANK.EQ(P108,P$108:P$119)</f>
        <v>11</v>
      </c>
      <c r="R108" s="1">
        <f ca="1">INDEX(INDIRECT("'"&amp;$A108&amp;"'!$A$1:$W$30"),MATCH('All Positional Stats'!$A$107,INDIRECT("'"&amp;$A108&amp;"'!$A$1:$A$30"),0),MATCH('All Positional Stats'!R$106,INDIRECT("'"&amp;$A108&amp;"'!$A$1:$W$1"),0))</f>
        <v>12</v>
      </c>
      <c r="S108" s="1">
        <f t="shared" ref="S108:AG109" ca="1" si="304">_xlfn.RANK.EQ(R108,R$108:R$119)</f>
        <v>4</v>
      </c>
      <c r="T108" s="1">
        <f ca="1">INDEX(INDIRECT("'"&amp;$A108&amp;"'!$A$1:$W$30"),MATCH('All Positional Stats'!$A$107,INDIRECT("'"&amp;$A108&amp;"'!$A$1:$A$30"),0),MATCH('All Positional Stats'!T$106,INDIRECT("'"&amp;$A108&amp;"'!$A$1:$W$1"),0))</f>
        <v>7</v>
      </c>
      <c r="U108" s="1">
        <f t="shared" ref="U108" ca="1" si="305">_xlfn.RANK.EQ(T108,T$108:T$119)</f>
        <v>6</v>
      </c>
      <c r="V108" s="1">
        <f ca="1">INDEX(INDIRECT("'"&amp;$A108&amp;"'!$A$1:$W$30"),MATCH('All Positional Stats'!$A$107,INDIRECT("'"&amp;$A108&amp;"'!$A$1:$A$30"),0),MATCH('All Positional Stats'!V$106,INDIRECT("'"&amp;$A108&amp;"'!$A$1:$W$1"),0))</f>
        <v>3</v>
      </c>
      <c r="W108" s="1">
        <f t="shared" ref="W108" ca="1" si="306">_xlfn.RANK.EQ(V108,V$108:V$119)</f>
        <v>12</v>
      </c>
      <c r="X108" s="1">
        <f ca="1">INDEX(INDIRECT("'"&amp;$A108&amp;"'!$A$1:$W$30"),MATCH('All Positional Stats'!$A$107,INDIRECT("'"&amp;$A108&amp;"'!$A$1:$A$30"),0),MATCH('All Positional Stats'!X$106,INDIRECT("'"&amp;$A108&amp;"'!$A$1:$W$1"),0))</f>
        <v>3</v>
      </c>
      <c r="Y108" s="1">
        <f t="shared" ref="Y108" ca="1" si="307">_xlfn.RANK.EQ(X108,X$108:X$119)</f>
        <v>8</v>
      </c>
      <c r="Z108" s="1">
        <f ca="1">INDEX(INDIRECT("'"&amp;$A108&amp;"'!$A$1:$W$30"),MATCH('All Positional Stats'!$A$107,INDIRECT("'"&amp;$A108&amp;"'!$A$1:$A$30"),0),MATCH('All Positional Stats'!Z$106,INDIRECT("'"&amp;$A108&amp;"'!$A$1:$W$1"),0))</f>
        <v>1</v>
      </c>
      <c r="AA108" s="1">
        <f t="shared" ref="AA108" ca="1" si="308">_xlfn.RANK.EQ(Z108,Z$108:Z$119)</f>
        <v>11</v>
      </c>
      <c r="AB108" s="1">
        <f ca="1">INDEX(INDIRECT("'"&amp;$A108&amp;"'!$A$1:$W$30"),MATCH('All Positional Stats'!$A$107,INDIRECT("'"&amp;$A108&amp;"'!$A$1:$A$30"),0),MATCH('All Positional Stats'!AB$106,INDIRECT("'"&amp;$A108&amp;"'!$A$1:$W$1"),0))</f>
        <v>-3</v>
      </c>
      <c r="AC108" s="1">
        <f t="shared" ref="AC108" ca="1" si="309">_xlfn.RANK.EQ(AB108,AB$108:AB$119)</f>
        <v>10</v>
      </c>
      <c r="AD108" s="1">
        <f ca="1">INDEX(INDIRECT("'"&amp;$A108&amp;"'!$A$1:$W$30"),MATCH('All Positional Stats'!$A$107,INDIRECT("'"&amp;$A108&amp;"'!$A$1:$A$30"),0),MATCH('All Positional Stats'!AD$106,INDIRECT("'"&amp;$A108&amp;"'!$A$1:$W$1"),0))</f>
        <v>3</v>
      </c>
      <c r="AE108" s="1">
        <f t="shared" ref="AE108" ca="1" si="310">_xlfn.RANK.EQ(AD108,AD$108:AD$119)</f>
        <v>8</v>
      </c>
      <c r="AF108" s="1">
        <f ca="1">INDEX(INDIRECT("'"&amp;$A108&amp;"'!$A$1:$W$30"),MATCH('All Positional Stats'!$A$107,INDIRECT("'"&amp;$A108&amp;"'!$A$1:$A$30"),0),MATCH('All Positional Stats'!AF$106,INDIRECT("'"&amp;$A108&amp;"'!$A$1:$W$1"),0))</f>
        <v>17</v>
      </c>
      <c r="AG108" s="1">
        <f t="shared" ref="AG108" ca="1" si="311">_xlfn.RANK.EQ(AF108,AF$108:AF$119)</f>
        <v>3</v>
      </c>
      <c r="AH108" s="1">
        <f ca="1">INDEX(INDIRECT("'"&amp;$A108&amp;"'!$A$1:$W$30"),MATCH('All Positional Stats'!$A$107,INDIRECT("'"&amp;$A108&amp;"'!$A$1:$A$30"),0),MATCH('All Positional Stats'!AH$106,INDIRECT("'"&amp;$A108&amp;"'!$A$1:$W$1"),0))</f>
        <v>-3</v>
      </c>
      <c r="AI108" s="1">
        <f ca="1">INDEX(INDIRECT("'"&amp;$A108&amp;"'!$A$1:$W$30"),MATCH('All Positional Stats'!$A$107,INDIRECT("'"&amp;$A108&amp;"'!$A$1:$A$30"),0),MATCH('All Positional Stats'!AI$106,INDIRECT("'"&amp;$A108&amp;"'!$A$1:$W$1"),0))</f>
        <v>19</v>
      </c>
      <c r="AJ108" s="7">
        <f ca="1">INDEX(INDIRECT("'"&amp;$A108&amp;"'!$A$1:$W$30"),MATCH('All Positional Stats'!$A$107,INDIRECT("'"&amp;$A108&amp;"'!$A$1:$A$30"),0),MATCH('All Positional Stats'!AJ$106,INDIRECT("'"&amp;$A108&amp;"'!$A$1:$W$1"),0))</f>
        <v>6.9375</v>
      </c>
      <c r="AK108" s="7">
        <f ca="1">INDEX(INDIRECT("'"&amp;$A108&amp;"'!$A$1:$W$30"),MATCH('All Positional Stats'!$A$107,INDIRECT("'"&amp;$A108&amp;"'!$A$1:$A$30"),0),MATCH('All Positional Stats'!AK$106,INDIRECT("'"&amp;$A108&amp;"'!$A$1:$W$1"),0))</f>
        <v>5.9315759920951869</v>
      </c>
      <c r="AL108" s="7">
        <f ca="1">INDEX(INDIRECT("'"&amp;$A108&amp;"'!$A$1:$W$30"),MATCH('All Positional Stats'!$A$107,INDIRECT("'"&amp;$A108&amp;"'!$A$1:$A$30"),0),MATCH('All Positional Stats'!AL$106,INDIRECT("'"&amp;$A108&amp;"'!$A$1:$W$1"),0))</f>
        <v>111</v>
      </c>
      <c r="AM108" s="6">
        <f ca="1">INDEX(INDIRECT("'"&amp;$A108&amp;"'!$A$1:$W$30"),MATCH('All Positional Stats'!$A$107,INDIRECT("'"&amp;$A108&amp;"'!$A$1:$A$30"),0),MATCH('All Positional Stats'!AM$106,INDIRECT("'"&amp;$A108&amp;"'!$A$1:$W$1"),0))</f>
        <v>8.1455933074044182E-2</v>
      </c>
      <c r="AN108" s="9">
        <f ca="1">SUMIF($B$107:$AA$107, "Points", B108:AA108)</f>
        <v>94</v>
      </c>
      <c r="AO108" s="8">
        <f ca="1">_xlfn.RANK.EQ(AN108,$AN$108:$AN$119)</f>
        <v>7</v>
      </c>
    </row>
    <row r="109" spans="1:41" ht="16.25" thickTop="1" thickBot="1" x14ac:dyDescent="0.9">
      <c r="A109" s="1" t="s">
        <v>2</v>
      </c>
      <c r="B109" s="1">
        <f ca="1">INDEX(INDIRECT("'"&amp;$A109&amp;"'!$A$1:$W$30"),MATCH('All Positional Stats'!$A$107,INDIRECT("'"&amp;$A109&amp;"'!$A$1:$A$30"),0),MATCH('All Positional Stats'!B$106,INDIRECT("'"&amp;$A109&amp;"'!$A$1:$W$1"),0))</f>
        <v>22</v>
      </c>
      <c r="C109" s="1">
        <f t="shared" ref="C109:Q119" ca="1" si="312">_xlfn.RANK.EQ(B109,B$108:B$119)</f>
        <v>3</v>
      </c>
      <c r="D109" s="1">
        <f ca="1">INDEX(INDIRECT("'"&amp;$A109&amp;"'!$A$1:$W$30"),MATCH('All Positional Stats'!$A$107,INDIRECT("'"&amp;$A109&amp;"'!$A$1:$A$30"),0),MATCH('All Positional Stats'!D$106,INDIRECT("'"&amp;$A109&amp;"'!$A$1:$W$1"),0))</f>
        <v>15</v>
      </c>
      <c r="E109" s="1">
        <f t="shared" ca="1" si="312"/>
        <v>2</v>
      </c>
      <c r="F109" s="1">
        <f ca="1">INDEX(INDIRECT("'"&amp;$A109&amp;"'!$A$1:$W$30"),MATCH('All Positional Stats'!$A$107,INDIRECT("'"&amp;$A109&amp;"'!$A$1:$A$30"),0),MATCH('All Positional Stats'!F$106,INDIRECT("'"&amp;$A109&amp;"'!$A$1:$W$1"),0))</f>
        <v>-6</v>
      </c>
      <c r="G109" s="1">
        <f t="shared" ca="1" si="312"/>
        <v>12</v>
      </c>
      <c r="H109" s="1">
        <f ca="1">INDEX(INDIRECT("'"&amp;$A109&amp;"'!$A$1:$W$30"),MATCH('All Positional Stats'!$A$107,INDIRECT("'"&amp;$A109&amp;"'!$A$1:$A$30"),0),MATCH('All Positional Stats'!H$106,INDIRECT("'"&amp;$A109&amp;"'!$A$1:$W$1"),0))</f>
        <v>2</v>
      </c>
      <c r="I109" s="1">
        <f t="shared" ca="1" si="312"/>
        <v>9</v>
      </c>
      <c r="J109" s="1">
        <f ca="1">INDEX(INDIRECT("'"&amp;$A109&amp;"'!$A$1:$W$30"),MATCH('All Positional Stats'!$A$107,INDIRECT("'"&amp;$A109&amp;"'!$A$1:$A$30"),0),MATCH('All Positional Stats'!J$106,INDIRECT("'"&amp;$A109&amp;"'!$A$1:$W$1"),0))</f>
        <v>14</v>
      </c>
      <c r="K109" s="1">
        <f t="shared" ca="1" si="312"/>
        <v>2</v>
      </c>
      <c r="L109" s="1">
        <f ca="1">INDEX(INDIRECT("'"&amp;$A109&amp;"'!$A$1:$W$30"),MATCH('All Positional Stats'!$A$107,INDIRECT("'"&amp;$A109&amp;"'!$A$1:$A$30"),0),MATCH('All Positional Stats'!L$106,INDIRECT("'"&amp;$A109&amp;"'!$A$1:$W$1"),0))</f>
        <v>20</v>
      </c>
      <c r="M109" s="1">
        <f t="shared" ca="1" si="312"/>
        <v>3</v>
      </c>
      <c r="N109" s="1">
        <f ca="1">INDEX(INDIRECT("'"&amp;$A109&amp;"'!$A$1:$W$30"),MATCH('All Positional Stats'!$A$107,INDIRECT("'"&amp;$A109&amp;"'!$A$1:$A$30"),0),MATCH('All Positional Stats'!N$106,INDIRECT("'"&amp;$A109&amp;"'!$A$1:$W$1"),0))</f>
        <v>1</v>
      </c>
      <c r="O109" s="1">
        <f t="shared" ca="1" si="312"/>
        <v>12</v>
      </c>
      <c r="P109" s="1">
        <f ca="1">INDEX(INDIRECT("'"&amp;$A109&amp;"'!$A$1:$W$30"),MATCH('All Positional Stats'!$A$107,INDIRECT("'"&amp;$A109&amp;"'!$A$1:$A$30"),0),MATCH('All Positional Stats'!P$106,INDIRECT("'"&amp;$A109&amp;"'!$A$1:$W$1"),0))</f>
        <v>27</v>
      </c>
      <c r="Q109" s="1">
        <f t="shared" ca="1" si="312"/>
        <v>1</v>
      </c>
      <c r="R109" s="1">
        <f ca="1">INDEX(INDIRECT("'"&amp;$A109&amp;"'!$A$1:$W$30"),MATCH('All Positional Stats'!$A$107,INDIRECT("'"&amp;$A109&amp;"'!$A$1:$A$30"),0),MATCH('All Positional Stats'!R$106,INDIRECT("'"&amp;$A109&amp;"'!$A$1:$W$1"),0))</f>
        <v>7</v>
      </c>
      <c r="S109" s="1">
        <f t="shared" ca="1" si="304"/>
        <v>7</v>
      </c>
      <c r="T109" s="1">
        <f ca="1">INDEX(INDIRECT("'"&amp;$A109&amp;"'!$A$1:$W$30"),MATCH('All Positional Stats'!$A$107,INDIRECT("'"&amp;$A109&amp;"'!$A$1:$A$30"),0),MATCH('All Positional Stats'!T$106,INDIRECT("'"&amp;$A109&amp;"'!$A$1:$W$1"),0))</f>
        <v>16</v>
      </c>
      <c r="U109" s="1">
        <f t="shared" ca="1" si="304"/>
        <v>1</v>
      </c>
      <c r="V109" s="1">
        <f ca="1">INDEX(INDIRECT("'"&amp;$A109&amp;"'!$A$1:$W$30"),MATCH('All Positional Stats'!$A$107,INDIRECT("'"&amp;$A109&amp;"'!$A$1:$A$30"),0),MATCH('All Positional Stats'!V$106,INDIRECT("'"&amp;$A109&amp;"'!$A$1:$W$1"),0))</f>
        <v>23</v>
      </c>
      <c r="W109" s="1">
        <f t="shared" ca="1" si="304"/>
        <v>3</v>
      </c>
      <c r="X109" s="1">
        <f ca="1">INDEX(INDIRECT("'"&amp;$A109&amp;"'!$A$1:$W$30"),MATCH('All Positional Stats'!$A$107,INDIRECT("'"&amp;$A109&amp;"'!$A$1:$A$30"),0),MATCH('All Positional Stats'!X$106,INDIRECT("'"&amp;$A109&amp;"'!$A$1:$W$1"),0))</f>
        <v>9</v>
      </c>
      <c r="Y109" s="1">
        <f t="shared" ca="1" si="304"/>
        <v>6</v>
      </c>
      <c r="Z109" s="1">
        <f ca="1">INDEX(INDIRECT("'"&amp;$A109&amp;"'!$A$1:$W$30"),MATCH('All Positional Stats'!$A$107,INDIRECT("'"&amp;$A109&amp;"'!$A$1:$A$30"),0),MATCH('All Positional Stats'!Z$106,INDIRECT("'"&amp;$A109&amp;"'!$A$1:$W$1"),0))</f>
        <v>14</v>
      </c>
      <c r="AA109" s="1">
        <f t="shared" ca="1" si="304"/>
        <v>1</v>
      </c>
      <c r="AB109" s="1">
        <f ca="1">INDEX(INDIRECT("'"&amp;$A109&amp;"'!$A$1:$W$30"),MATCH('All Positional Stats'!$A$107,INDIRECT("'"&amp;$A109&amp;"'!$A$1:$A$30"),0),MATCH('All Positional Stats'!AB$106,INDIRECT("'"&amp;$A109&amp;"'!$A$1:$W$1"),0))</f>
        <v>-6</v>
      </c>
      <c r="AC109" s="1">
        <f t="shared" ca="1" si="304"/>
        <v>12</v>
      </c>
      <c r="AD109" s="1">
        <f ca="1">INDEX(INDIRECT("'"&amp;$A109&amp;"'!$A$1:$W$30"),MATCH('All Positional Stats'!$A$107,INDIRECT("'"&amp;$A109&amp;"'!$A$1:$A$30"),0),MATCH('All Positional Stats'!AD$106,INDIRECT("'"&amp;$A109&amp;"'!$A$1:$W$1"),0))</f>
        <v>21</v>
      </c>
      <c r="AE109" s="1">
        <f t="shared" ca="1" si="304"/>
        <v>1</v>
      </c>
      <c r="AF109" s="1">
        <f ca="1">INDEX(INDIRECT("'"&amp;$A109&amp;"'!$A$1:$W$30"),MATCH('All Positional Stats'!$A$107,INDIRECT("'"&amp;$A109&amp;"'!$A$1:$A$30"),0),MATCH('All Positional Stats'!AF$106,INDIRECT("'"&amp;$A109&amp;"'!$A$1:$W$1"),0))</f>
        <v>7</v>
      </c>
      <c r="AG109" s="1">
        <f t="shared" ca="1" si="304"/>
        <v>9</v>
      </c>
      <c r="AH109" s="1">
        <f ca="1">INDEX(INDIRECT("'"&amp;$A109&amp;"'!$A$1:$W$30"),MATCH('All Positional Stats'!$A$107,INDIRECT("'"&amp;$A109&amp;"'!$A$1:$A$30"),0),MATCH('All Positional Stats'!AH$106,INDIRECT("'"&amp;$A109&amp;"'!$A$1:$W$1"),0))</f>
        <v>-6</v>
      </c>
      <c r="AI109" s="1">
        <f ca="1">INDEX(INDIRECT("'"&amp;$A109&amp;"'!$A$1:$W$30"),MATCH('All Positional Stats'!$A$107,INDIRECT("'"&amp;$A109&amp;"'!$A$1:$A$30"),0),MATCH('All Positional Stats'!AI$106,INDIRECT("'"&amp;$A109&amp;"'!$A$1:$W$1"),0))</f>
        <v>27</v>
      </c>
      <c r="AJ109" s="7">
        <f ca="1">INDEX(INDIRECT("'"&amp;$A109&amp;"'!$A$1:$W$30"),MATCH('All Positional Stats'!$A$107,INDIRECT("'"&amp;$A109&amp;"'!$A$1:$A$30"),0),MATCH('All Positional Stats'!AJ$106,INDIRECT("'"&amp;$A109&amp;"'!$A$1:$W$1"),0))</f>
        <v>11.625</v>
      </c>
      <c r="AK109" s="7">
        <f ca="1">INDEX(INDIRECT("'"&amp;$A109&amp;"'!$A$1:$W$30"),MATCH('All Positional Stats'!$A$107,INDIRECT("'"&amp;$A109&amp;"'!$A$1:$A$30"),0),MATCH('All Positional Stats'!AK$106,INDIRECT("'"&amp;$A109&amp;"'!$A$1:$W$1"),0))</f>
        <v>9.8417160597123505</v>
      </c>
      <c r="AL109" s="7">
        <f ca="1">INDEX(INDIRECT("'"&amp;$A109&amp;"'!$A$1:$W$30"),MATCH('All Positional Stats'!$A$107,INDIRECT("'"&amp;$A109&amp;"'!$A$1:$A$30"),0),MATCH('All Positional Stats'!AL$106,INDIRECT("'"&amp;$A109&amp;"'!$A$1:$W$1"),0))</f>
        <v>186</v>
      </c>
      <c r="AM109" s="6">
        <f ca="1">INDEX(INDIRECT("'"&amp;$A109&amp;"'!$A$1:$W$30"),MATCH('All Positional Stats'!$A$107,INDIRECT("'"&amp;$A109&amp;"'!$A$1:$A$30"),0),MATCH('All Positional Stats'!AM$106,INDIRECT("'"&amp;$A109&amp;"'!$A$1:$W$1"),0))</f>
        <v>0.1234567901234568</v>
      </c>
      <c r="AN109" s="9">
        <f t="shared" ref="AN109:AN119" ca="1" si="313">SUMIF($B$77:$AA$77, "Points", B109:AA109)</f>
        <v>164</v>
      </c>
      <c r="AO109" s="8">
        <f t="shared" ref="AO109:AO119" ca="1" si="314">_xlfn.RANK.EQ(AN109,$AN$108:$AN$119)</f>
        <v>2</v>
      </c>
    </row>
    <row r="110" spans="1:41" ht="16.25" thickTop="1" thickBot="1" x14ac:dyDescent="0.9">
      <c r="A110" s="1" t="s">
        <v>3</v>
      </c>
      <c r="B110" s="1">
        <f ca="1">INDEX(INDIRECT("'"&amp;$A110&amp;"'!$A$1:$W$30"),MATCH('All Positional Stats'!$A$107,INDIRECT("'"&amp;$A110&amp;"'!$A$1:$A$30"),0),MATCH('All Positional Stats'!B$106,INDIRECT("'"&amp;$A110&amp;"'!$A$1:$W$1"),0))</f>
        <v>14</v>
      </c>
      <c r="C110" s="1">
        <f t="shared" ca="1" si="312"/>
        <v>5</v>
      </c>
      <c r="D110" s="1">
        <f ca="1">INDEX(INDIRECT("'"&amp;$A110&amp;"'!$A$1:$W$30"),MATCH('All Positional Stats'!$A$107,INDIRECT("'"&amp;$A110&amp;"'!$A$1:$A$30"),0),MATCH('All Positional Stats'!D$106,INDIRECT("'"&amp;$A110&amp;"'!$A$1:$W$1"),0))</f>
        <v>10</v>
      </c>
      <c r="E110" s="1">
        <f t="shared" ref="E110:AG119" ca="1" si="315">_xlfn.RANK.EQ(D110,D$108:D$119)</f>
        <v>5</v>
      </c>
      <c r="F110" s="1">
        <f ca="1">INDEX(INDIRECT("'"&amp;$A110&amp;"'!$A$1:$W$30"),MATCH('All Positional Stats'!$A$107,INDIRECT("'"&amp;$A110&amp;"'!$A$1:$A$30"),0),MATCH('All Positional Stats'!F$106,INDIRECT("'"&amp;$A110&amp;"'!$A$1:$W$1"),0))</f>
        <v>7</v>
      </c>
      <c r="G110" s="1">
        <f t="shared" ca="1" si="315"/>
        <v>4</v>
      </c>
      <c r="H110" s="1">
        <f ca="1">INDEX(INDIRECT("'"&amp;$A110&amp;"'!$A$1:$W$30"),MATCH('All Positional Stats'!$A$107,INDIRECT("'"&amp;$A110&amp;"'!$A$1:$A$30"),0),MATCH('All Positional Stats'!H$106,INDIRECT("'"&amp;$A110&amp;"'!$A$1:$W$1"),0))</f>
        <v>9</v>
      </c>
      <c r="I110" s="1">
        <f t="shared" ca="1" si="315"/>
        <v>5</v>
      </c>
      <c r="J110" s="1">
        <f ca="1">INDEX(INDIRECT("'"&amp;$A110&amp;"'!$A$1:$W$30"),MATCH('All Positional Stats'!$A$107,INDIRECT("'"&amp;$A110&amp;"'!$A$1:$A$30"),0),MATCH('All Positional Stats'!J$106,INDIRECT("'"&amp;$A110&amp;"'!$A$1:$W$1"),0))</f>
        <v>11</v>
      </c>
      <c r="K110" s="1">
        <f t="shared" ca="1" si="315"/>
        <v>4</v>
      </c>
      <c r="L110" s="1">
        <f ca="1">INDEX(INDIRECT("'"&amp;$A110&amp;"'!$A$1:$W$30"),MATCH('All Positional Stats'!$A$107,INDIRECT("'"&amp;$A110&amp;"'!$A$1:$A$30"),0),MATCH('All Positional Stats'!L$106,INDIRECT("'"&amp;$A110&amp;"'!$A$1:$W$1"),0))</f>
        <v>23</v>
      </c>
      <c r="M110" s="1">
        <f t="shared" ca="1" si="315"/>
        <v>1</v>
      </c>
      <c r="N110" s="1">
        <f ca="1">INDEX(INDIRECT("'"&amp;$A110&amp;"'!$A$1:$W$30"),MATCH('All Positional Stats'!$A$107,INDIRECT("'"&amp;$A110&amp;"'!$A$1:$A$30"),0),MATCH('All Positional Stats'!N$106,INDIRECT("'"&amp;$A110&amp;"'!$A$1:$W$1"),0))</f>
        <v>13</v>
      </c>
      <c r="O110" s="1">
        <f t="shared" ca="1" si="315"/>
        <v>3</v>
      </c>
      <c r="P110" s="1">
        <f ca="1">INDEX(INDIRECT("'"&amp;$A110&amp;"'!$A$1:$W$30"),MATCH('All Positional Stats'!$A$107,INDIRECT("'"&amp;$A110&amp;"'!$A$1:$A$30"),0),MATCH('All Positional Stats'!P$106,INDIRECT("'"&amp;$A110&amp;"'!$A$1:$W$1"),0))</f>
        <v>-4</v>
      </c>
      <c r="Q110" s="1">
        <f t="shared" ca="1" si="315"/>
        <v>12</v>
      </c>
      <c r="R110" s="1">
        <f ca="1">INDEX(INDIRECT("'"&amp;$A110&amp;"'!$A$1:$W$30"),MATCH('All Positional Stats'!$A$107,INDIRECT("'"&amp;$A110&amp;"'!$A$1:$A$30"),0),MATCH('All Positional Stats'!R$106,INDIRECT("'"&amp;$A110&amp;"'!$A$1:$W$1"),0))</f>
        <v>10</v>
      </c>
      <c r="S110" s="1">
        <f t="shared" ca="1" si="315"/>
        <v>5</v>
      </c>
      <c r="T110" s="1">
        <f ca="1">INDEX(INDIRECT("'"&amp;$A110&amp;"'!$A$1:$W$30"),MATCH('All Positional Stats'!$A$107,INDIRECT("'"&amp;$A110&amp;"'!$A$1:$A$30"),0),MATCH('All Positional Stats'!T$106,INDIRECT("'"&amp;$A110&amp;"'!$A$1:$W$1"),0))</f>
        <v>3</v>
      </c>
      <c r="U110" s="1">
        <f t="shared" ca="1" si="315"/>
        <v>8</v>
      </c>
      <c r="V110" s="1">
        <f ca="1">INDEX(INDIRECT("'"&amp;$A110&amp;"'!$A$1:$W$30"),MATCH('All Positional Stats'!$A$107,INDIRECT("'"&amp;$A110&amp;"'!$A$1:$A$30"),0),MATCH('All Positional Stats'!V$106,INDIRECT("'"&amp;$A110&amp;"'!$A$1:$W$1"),0))</f>
        <v>8</v>
      </c>
      <c r="W110" s="1">
        <f t="shared" ca="1" si="315"/>
        <v>7</v>
      </c>
      <c r="X110" s="1">
        <f ca="1">INDEX(INDIRECT("'"&amp;$A110&amp;"'!$A$1:$W$30"),MATCH('All Positional Stats'!$A$107,INDIRECT("'"&amp;$A110&amp;"'!$A$1:$A$30"),0),MATCH('All Positional Stats'!X$106,INDIRECT("'"&amp;$A110&amp;"'!$A$1:$W$1"),0))</f>
        <v>3</v>
      </c>
      <c r="Y110" s="1">
        <f t="shared" ca="1" si="315"/>
        <v>8</v>
      </c>
      <c r="Z110" s="1">
        <f ca="1">INDEX(INDIRECT("'"&amp;$A110&amp;"'!$A$1:$W$30"),MATCH('All Positional Stats'!$A$107,INDIRECT("'"&amp;$A110&amp;"'!$A$1:$A$30"),0),MATCH('All Positional Stats'!Z$106,INDIRECT("'"&amp;$A110&amp;"'!$A$1:$W$1"),0))</f>
        <v>4</v>
      </c>
      <c r="AA110" s="1">
        <f t="shared" ca="1" si="315"/>
        <v>9</v>
      </c>
      <c r="AB110" s="1">
        <f ca="1">INDEX(INDIRECT("'"&amp;$A110&amp;"'!$A$1:$W$30"),MATCH('All Positional Stats'!$A$107,INDIRECT("'"&amp;$A110&amp;"'!$A$1:$A$30"),0),MATCH('All Positional Stats'!AB$106,INDIRECT("'"&amp;$A110&amp;"'!$A$1:$W$1"),0))</f>
        <v>1</v>
      </c>
      <c r="AC110" s="1">
        <f t="shared" ca="1" si="315"/>
        <v>7</v>
      </c>
      <c r="AD110" s="1">
        <f ca="1">INDEX(INDIRECT("'"&amp;$A110&amp;"'!$A$1:$W$30"),MATCH('All Positional Stats'!$A$107,INDIRECT("'"&amp;$A110&amp;"'!$A$1:$A$30"),0),MATCH('All Positional Stats'!AD$106,INDIRECT("'"&amp;$A110&amp;"'!$A$1:$W$1"),0))</f>
        <v>-7</v>
      </c>
      <c r="AE110" s="1">
        <f t="shared" ca="1" si="315"/>
        <v>12</v>
      </c>
      <c r="AF110" s="1">
        <f ca="1">INDEX(INDIRECT("'"&amp;$A110&amp;"'!$A$1:$W$30"),MATCH('All Positional Stats'!$A$107,INDIRECT("'"&amp;$A110&amp;"'!$A$1:$A$30"),0),MATCH('All Positional Stats'!AF$106,INDIRECT("'"&amp;$A110&amp;"'!$A$1:$W$1"),0))</f>
        <v>-1</v>
      </c>
      <c r="AG110" s="1">
        <f t="shared" ca="1" si="315"/>
        <v>12</v>
      </c>
      <c r="AH110" s="1">
        <f ca="1">INDEX(INDIRECT("'"&amp;$A110&amp;"'!$A$1:$W$30"),MATCH('All Positional Stats'!$A$107,INDIRECT("'"&amp;$A110&amp;"'!$A$1:$A$30"),0),MATCH('All Positional Stats'!AH$106,INDIRECT("'"&amp;$A110&amp;"'!$A$1:$W$1"),0))</f>
        <v>-7</v>
      </c>
      <c r="AI110" s="1">
        <f ca="1">INDEX(INDIRECT("'"&amp;$A110&amp;"'!$A$1:$W$30"),MATCH('All Positional Stats'!$A$107,INDIRECT("'"&amp;$A110&amp;"'!$A$1:$A$30"),0),MATCH('All Positional Stats'!AI$106,INDIRECT("'"&amp;$A110&amp;"'!$A$1:$W$1"),0))</f>
        <v>23</v>
      </c>
      <c r="AJ110" s="7">
        <f ca="1">INDEX(INDIRECT("'"&amp;$A110&amp;"'!$A$1:$W$30"),MATCH('All Positional Stats'!$A$107,INDIRECT("'"&amp;$A110&amp;"'!$A$1:$A$30"),0),MATCH('All Positional Stats'!AJ$106,INDIRECT("'"&amp;$A110&amp;"'!$A$1:$W$1"),0))</f>
        <v>6.5</v>
      </c>
      <c r="AK110" s="7">
        <f ca="1">INDEX(INDIRECT("'"&amp;$A110&amp;"'!$A$1:$W$30"),MATCH('All Positional Stats'!$A$107,INDIRECT("'"&amp;$A110&amp;"'!$A$1:$A$30"),0),MATCH('All Positional Stats'!AK$106,INDIRECT("'"&amp;$A110&amp;"'!$A$1:$W$1"),0))</f>
        <v>7.2197645390968255</v>
      </c>
      <c r="AL110" s="7">
        <f ca="1">INDEX(INDIRECT("'"&amp;$A110&amp;"'!$A$1:$W$30"),MATCH('All Positional Stats'!$A$107,INDIRECT("'"&amp;$A110&amp;"'!$A$1:$A$30"),0),MATCH('All Positional Stats'!AL$106,INDIRECT("'"&amp;$A110&amp;"'!$A$1:$W$1"),0))</f>
        <v>104</v>
      </c>
      <c r="AM110" s="6">
        <f ca="1">INDEX(INDIRECT("'"&amp;$A110&amp;"'!$A$1:$W$30"),MATCH('All Positional Stats'!$A$107,INDIRECT("'"&amp;$A110&amp;"'!$A$1:$A$30"),0),MATCH('All Positional Stats'!AM$106,INDIRECT("'"&amp;$A110&amp;"'!$A$1:$W$1"),0))</f>
        <v>7.1902654867256638E-2</v>
      </c>
      <c r="AN110" s="9">
        <f t="shared" ca="1" si="313"/>
        <v>111</v>
      </c>
      <c r="AO110" s="8">
        <f t="shared" ca="1" si="314"/>
        <v>6</v>
      </c>
    </row>
    <row r="111" spans="1:41" ht="16.25" thickTop="1" thickBot="1" x14ac:dyDescent="0.9">
      <c r="A111" s="1" t="s">
        <v>4</v>
      </c>
      <c r="B111" s="1">
        <f ca="1">INDEX(INDIRECT("'"&amp;$A111&amp;"'!$A$1:$W$30"),MATCH('All Positional Stats'!$A$107,INDIRECT("'"&amp;$A111&amp;"'!$A$1:$A$30"),0),MATCH('All Positional Stats'!B$106,INDIRECT("'"&amp;$A111&amp;"'!$A$1:$W$1"),0))</f>
        <v>10</v>
      </c>
      <c r="C111" s="1">
        <f t="shared" ca="1" si="312"/>
        <v>6</v>
      </c>
      <c r="D111" s="1">
        <f ca="1">INDEX(INDIRECT("'"&amp;$A111&amp;"'!$A$1:$W$30"),MATCH('All Positional Stats'!$A$107,INDIRECT("'"&amp;$A111&amp;"'!$A$1:$A$30"),0),MATCH('All Positional Stats'!D$106,INDIRECT("'"&amp;$A111&amp;"'!$A$1:$W$1"),0))</f>
        <v>7</v>
      </c>
      <c r="E111" s="1">
        <f t="shared" ca="1" si="315"/>
        <v>9</v>
      </c>
      <c r="F111" s="1">
        <f ca="1">INDEX(INDIRECT("'"&amp;$A111&amp;"'!$A$1:$W$30"),MATCH('All Positional Stats'!$A$107,INDIRECT("'"&amp;$A111&amp;"'!$A$1:$A$30"),0),MATCH('All Positional Stats'!F$106,INDIRECT("'"&amp;$A111&amp;"'!$A$1:$W$1"),0))</f>
        <v>11</v>
      </c>
      <c r="G111" s="1">
        <f t="shared" ca="1" si="315"/>
        <v>2</v>
      </c>
      <c r="H111" s="1">
        <f ca="1">INDEX(INDIRECT("'"&amp;$A111&amp;"'!$A$1:$W$30"),MATCH('All Positional Stats'!$A$107,INDIRECT("'"&amp;$A111&amp;"'!$A$1:$A$30"),0),MATCH('All Positional Stats'!H$106,INDIRECT("'"&amp;$A111&amp;"'!$A$1:$W$1"),0))</f>
        <v>8</v>
      </c>
      <c r="I111" s="1">
        <f t="shared" ca="1" si="315"/>
        <v>7</v>
      </c>
      <c r="J111" s="1">
        <f ca="1">INDEX(INDIRECT("'"&amp;$A111&amp;"'!$A$1:$W$30"),MATCH('All Positional Stats'!$A$107,INDIRECT("'"&amp;$A111&amp;"'!$A$1:$A$30"),0),MATCH('All Positional Stats'!J$106,INDIRECT("'"&amp;$A111&amp;"'!$A$1:$W$1"),0))</f>
        <v>9</v>
      </c>
      <c r="K111" s="1">
        <f t="shared" ca="1" si="315"/>
        <v>5</v>
      </c>
      <c r="L111" s="1">
        <f ca="1">INDEX(INDIRECT("'"&amp;$A111&amp;"'!$A$1:$W$30"),MATCH('All Positional Stats'!$A$107,INDIRECT("'"&amp;$A111&amp;"'!$A$1:$A$30"),0),MATCH('All Positional Stats'!L$106,INDIRECT("'"&amp;$A111&amp;"'!$A$1:$W$1"),0))</f>
        <v>1</v>
      </c>
      <c r="M111" s="1">
        <f t="shared" ca="1" si="315"/>
        <v>12</v>
      </c>
      <c r="N111" s="1">
        <f ca="1">INDEX(INDIRECT("'"&amp;$A111&amp;"'!$A$1:$W$30"),MATCH('All Positional Stats'!$A$107,INDIRECT("'"&amp;$A111&amp;"'!$A$1:$A$30"),0),MATCH('All Positional Stats'!N$106,INDIRECT("'"&amp;$A111&amp;"'!$A$1:$W$1"),0))</f>
        <v>8</v>
      </c>
      <c r="O111" s="1">
        <f t="shared" ca="1" si="315"/>
        <v>7</v>
      </c>
      <c r="P111" s="1">
        <f ca="1">INDEX(INDIRECT("'"&amp;$A111&amp;"'!$A$1:$W$30"),MATCH('All Positional Stats'!$A$107,INDIRECT("'"&amp;$A111&amp;"'!$A$1:$A$30"),0),MATCH('All Positional Stats'!P$106,INDIRECT("'"&amp;$A111&amp;"'!$A$1:$W$1"),0))</f>
        <v>3</v>
      </c>
      <c r="Q111" s="1">
        <f t="shared" ca="1" si="315"/>
        <v>9</v>
      </c>
      <c r="R111" s="1">
        <f ca="1">INDEX(INDIRECT("'"&amp;$A111&amp;"'!$A$1:$W$30"),MATCH('All Positional Stats'!$A$107,INDIRECT("'"&amp;$A111&amp;"'!$A$1:$A$30"),0),MATCH('All Positional Stats'!R$106,INDIRECT("'"&amp;$A111&amp;"'!$A$1:$W$1"),0))</f>
        <v>0</v>
      </c>
      <c r="S111" s="1">
        <f t="shared" ca="1" si="315"/>
        <v>10</v>
      </c>
      <c r="T111" s="1">
        <f ca="1">INDEX(INDIRECT("'"&amp;$A111&amp;"'!$A$1:$W$30"),MATCH('All Positional Stats'!$A$107,INDIRECT("'"&amp;$A111&amp;"'!$A$1:$A$30"),0),MATCH('All Positional Stats'!T$106,INDIRECT("'"&amp;$A111&amp;"'!$A$1:$W$1"),0))</f>
        <v>3</v>
      </c>
      <c r="U111" s="1">
        <f t="shared" ca="1" si="315"/>
        <v>8</v>
      </c>
      <c r="V111" s="1">
        <f ca="1">INDEX(INDIRECT("'"&amp;$A111&amp;"'!$A$1:$W$30"),MATCH('All Positional Stats'!$A$107,INDIRECT("'"&amp;$A111&amp;"'!$A$1:$A$30"),0),MATCH('All Positional Stats'!V$106,INDIRECT("'"&amp;$A111&amp;"'!$A$1:$W$1"),0))</f>
        <v>7</v>
      </c>
      <c r="W111" s="1">
        <f t="shared" ca="1" si="315"/>
        <v>9</v>
      </c>
      <c r="X111" s="1">
        <f ca="1">INDEX(INDIRECT("'"&amp;$A111&amp;"'!$A$1:$W$30"),MATCH('All Positional Stats'!$A$107,INDIRECT("'"&amp;$A111&amp;"'!$A$1:$A$30"),0),MATCH('All Positional Stats'!X$106,INDIRECT("'"&amp;$A111&amp;"'!$A$1:$W$1"),0))</f>
        <v>16</v>
      </c>
      <c r="Y111" s="1">
        <f t="shared" ca="1" si="315"/>
        <v>2</v>
      </c>
      <c r="Z111" s="1">
        <f ca="1">INDEX(INDIRECT("'"&amp;$A111&amp;"'!$A$1:$W$30"),MATCH('All Positional Stats'!$A$107,INDIRECT("'"&amp;$A111&amp;"'!$A$1:$A$30"),0),MATCH('All Positional Stats'!Z$106,INDIRECT("'"&amp;$A111&amp;"'!$A$1:$W$1"),0))</f>
        <v>8</v>
      </c>
      <c r="AA111" s="1">
        <f t="shared" ca="1" si="315"/>
        <v>6</v>
      </c>
      <c r="AB111" s="1">
        <f ca="1">INDEX(INDIRECT("'"&amp;$A111&amp;"'!$A$1:$W$30"),MATCH('All Positional Stats'!$A$107,INDIRECT("'"&amp;$A111&amp;"'!$A$1:$A$30"),0),MATCH('All Positional Stats'!AB$106,INDIRECT("'"&amp;$A111&amp;"'!$A$1:$W$1"),0))</f>
        <v>13</v>
      </c>
      <c r="AC111" s="1">
        <f t="shared" ca="1" si="315"/>
        <v>1</v>
      </c>
      <c r="AD111" s="1">
        <f ca="1">INDEX(INDIRECT("'"&amp;$A111&amp;"'!$A$1:$W$30"),MATCH('All Positional Stats'!$A$107,INDIRECT("'"&amp;$A111&amp;"'!$A$1:$A$30"),0),MATCH('All Positional Stats'!AD$106,INDIRECT("'"&amp;$A111&amp;"'!$A$1:$W$1"),0))</f>
        <v>0</v>
      </c>
      <c r="AE111" s="1">
        <f t="shared" ca="1" si="315"/>
        <v>10</v>
      </c>
      <c r="AF111" s="1">
        <f ca="1">INDEX(INDIRECT("'"&amp;$A111&amp;"'!$A$1:$W$30"),MATCH('All Positional Stats'!$A$107,INDIRECT("'"&amp;$A111&amp;"'!$A$1:$A$30"),0),MATCH('All Positional Stats'!AF$106,INDIRECT("'"&amp;$A111&amp;"'!$A$1:$W$1"),0))</f>
        <v>22</v>
      </c>
      <c r="AG111" s="1">
        <f t="shared" ca="1" si="315"/>
        <v>1</v>
      </c>
      <c r="AH111" s="1">
        <f ca="1">INDEX(INDIRECT("'"&amp;$A111&amp;"'!$A$1:$W$30"),MATCH('All Positional Stats'!$A$107,INDIRECT("'"&amp;$A111&amp;"'!$A$1:$A$30"),0),MATCH('All Positional Stats'!AH$106,INDIRECT("'"&amp;$A111&amp;"'!$A$1:$W$1"),0))</f>
        <v>0</v>
      </c>
      <c r="AI111" s="1">
        <f ca="1">INDEX(INDIRECT("'"&amp;$A111&amp;"'!$A$1:$W$30"),MATCH('All Positional Stats'!$A$107,INDIRECT("'"&amp;$A111&amp;"'!$A$1:$A$30"),0),MATCH('All Positional Stats'!AI$106,INDIRECT("'"&amp;$A111&amp;"'!$A$1:$W$1"),0))</f>
        <v>22</v>
      </c>
      <c r="AJ111" s="7">
        <f ca="1">INDEX(INDIRECT("'"&amp;$A111&amp;"'!$A$1:$W$30"),MATCH('All Positional Stats'!$A$107,INDIRECT("'"&amp;$A111&amp;"'!$A$1:$A$30"),0),MATCH('All Positional Stats'!AJ$106,INDIRECT("'"&amp;$A111&amp;"'!$A$1:$W$1"),0))</f>
        <v>7.875</v>
      </c>
      <c r="AK111" s="7">
        <f ca="1">INDEX(INDIRECT("'"&amp;$A111&amp;"'!$A$1:$W$30"),MATCH('All Positional Stats'!$A$107,INDIRECT("'"&amp;$A111&amp;"'!$A$1:$A$30"),0),MATCH('All Positional Stats'!AK$106,INDIRECT("'"&amp;$A111&amp;"'!$A$1:$W$1"),0))</f>
        <v>5.7432025038300711</v>
      </c>
      <c r="AL111" s="7">
        <f ca="1">INDEX(INDIRECT("'"&amp;$A111&amp;"'!$A$1:$W$30"),MATCH('All Positional Stats'!$A$107,INDIRECT("'"&amp;$A111&amp;"'!$A$1:$A$30"),0),MATCH('All Positional Stats'!AL$106,INDIRECT("'"&amp;$A111&amp;"'!$A$1:$W$1"),0))</f>
        <v>126</v>
      </c>
      <c r="AM111" s="6">
        <f ca="1">INDEX(INDIRECT("'"&amp;$A111&amp;"'!$A$1:$W$30"),MATCH('All Positional Stats'!$A$107,INDIRECT("'"&amp;$A111&amp;"'!$A$1:$A$30"),0),MATCH('All Positional Stats'!AM$106,INDIRECT("'"&amp;$A111&amp;"'!$A$1:$W$1"),0))</f>
        <v>8.1112398609501729E-2</v>
      </c>
      <c r="AN111" s="9">
        <f t="shared" ca="1" si="313"/>
        <v>91</v>
      </c>
      <c r="AO111" s="8">
        <f t="shared" ca="1" si="314"/>
        <v>8</v>
      </c>
    </row>
    <row r="112" spans="1:41" ht="16.25" thickTop="1" thickBot="1" x14ac:dyDescent="0.9">
      <c r="A112" s="1" t="s">
        <v>5</v>
      </c>
      <c r="B112" s="1">
        <f ca="1">INDEX(INDIRECT("'"&amp;$A112&amp;"'!$A$1:$W$30"),MATCH('All Positional Stats'!$A$107,INDIRECT("'"&amp;$A112&amp;"'!$A$1:$A$30"),0),MATCH('All Positional Stats'!B$106,INDIRECT("'"&amp;$A112&amp;"'!$A$1:$W$1"),0))</f>
        <v>29</v>
      </c>
      <c r="C112" s="1">
        <f t="shared" ca="1" si="312"/>
        <v>1</v>
      </c>
      <c r="D112" s="1">
        <f ca="1">INDEX(INDIRECT("'"&amp;$A112&amp;"'!$A$1:$W$30"),MATCH('All Positional Stats'!$A$107,INDIRECT("'"&amp;$A112&amp;"'!$A$1:$A$30"),0),MATCH('All Positional Stats'!D$106,INDIRECT("'"&amp;$A112&amp;"'!$A$1:$W$1"),0))</f>
        <v>-1</v>
      </c>
      <c r="E112" s="1">
        <f t="shared" ca="1" si="315"/>
        <v>12</v>
      </c>
      <c r="F112" s="1">
        <f ca="1">INDEX(INDIRECT("'"&amp;$A112&amp;"'!$A$1:$W$30"),MATCH('All Positional Stats'!$A$107,INDIRECT("'"&amp;$A112&amp;"'!$A$1:$A$30"),0),MATCH('All Positional Stats'!F$106,INDIRECT("'"&amp;$A112&amp;"'!$A$1:$W$1"),0))</f>
        <v>14</v>
      </c>
      <c r="G112" s="1">
        <f t="shared" ca="1" si="315"/>
        <v>1</v>
      </c>
      <c r="H112" s="1">
        <f ca="1">INDEX(INDIRECT("'"&amp;$A112&amp;"'!$A$1:$W$30"),MATCH('All Positional Stats'!$A$107,INDIRECT("'"&amp;$A112&amp;"'!$A$1:$A$30"),0),MATCH('All Positional Stats'!H$106,INDIRECT("'"&amp;$A112&amp;"'!$A$1:$W$1"),0))</f>
        <v>10</v>
      </c>
      <c r="I112" s="1">
        <f t="shared" ca="1" si="315"/>
        <v>2</v>
      </c>
      <c r="J112" s="1">
        <f ca="1">INDEX(INDIRECT("'"&amp;$A112&amp;"'!$A$1:$W$30"),MATCH('All Positional Stats'!$A$107,INDIRECT("'"&amp;$A112&amp;"'!$A$1:$A$30"),0),MATCH('All Positional Stats'!J$106,INDIRECT("'"&amp;$A112&amp;"'!$A$1:$W$1"),0))</f>
        <v>26</v>
      </c>
      <c r="K112" s="1">
        <f t="shared" ca="1" si="315"/>
        <v>1</v>
      </c>
      <c r="L112" s="1">
        <f ca="1">INDEX(INDIRECT("'"&amp;$A112&amp;"'!$A$1:$W$30"),MATCH('All Positional Stats'!$A$107,INDIRECT("'"&amp;$A112&amp;"'!$A$1:$A$30"),0),MATCH('All Positional Stats'!L$106,INDIRECT("'"&amp;$A112&amp;"'!$A$1:$W$1"),0))</f>
        <v>7</v>
      </c>
      <c r="M112" s="1">
        <f t="shared" ca="1" si="315"/>
        <v>8</v>
      </c>
      <c r="N112" s="1">
        <f ca="1">INDEX(INDIRECT("'"&amp;$A112&amp;"'!$A$1:$W$30"),MATCH('All Positional Stats'!$A$107,INDIRECT("'"&amp;$A112&amp;"'!$A$1:$A$30"),0),MATCH('All Positional Stats'!N$106,INDIRECT("'"&amp;$A112&amp;"'!$A$1:$W$1"),0))</f>
        <v>17</v>
      </c>
      <c r="O112" s="1">
        <f t="shared" ca="1" si="315"/>
        <v>1</v>
      </c>
      <c r="P112" s="1">
        <f ca="1">INDEX(INDIRECT("'"&amp;$A112&amp;"'!$A$1:$W$30"),MATCH('All Positional Stats'!$A$107,INDIRECT("'"&amp;$A112&amp;"'!$A$1:$A$30"),0),MATCH('All Positional Stats'!P$106,INDIRECT("'"&amp;$A112&amp;"'!$A$1:$W$1"),0))</f>
        <v>18</v>
      </c>
      <c r="Q112" s="1">
        <f t="shared" ca="1" si="315"/>
        <v>3</v>
      </c>
      <c r="R112" s="1">
        <f ca="1">INDEX(INDIRECT("'"&amp;$A112&amp;"'!$A$1:$W$30"),MATCH('All Positional Stats'!$A$107,INDIRECT("'"&amp;$A112&amp;"'!$A$1:$A$30"),0),MATCH('All Positional Stats'!R$106,INDIRECT("'"&amp;$A112&amp;"'!$A$1:$W$1"),0))</f>
        <v>14</v>
      </c>
      <c r="S112" s="1">
        <f t="shared" ca="1" si="315"/>
        <v>2</v>
      </c>
      <c r="T112" s="1">
        <f ca="1">INDEX(INDIRECT("'"&amp;$A112&amp;"'!$A$1:$W$30"),MATCH('All Positional Stats'!$A$107,INDIRECT("'"&amp;$A112&amp;"'!$A$1:$A$30"),0),MATCH('All Positional Stats'!T$106,INDIRECT("'"&amp;$A112&amp;"'!$A$1:$W$1"),0))</f>
        <v>5</v>
      </c>
      <c r="U112" s="1">
        <f t="shared" ca="1" si="315"/>
        <v>7</v>
      </c>
      <c r="V112" s="1">
        <f ca="1">INDEX(INDIRECT("'"&amp;$A112&amp;"'!$A$1:$W$30"),MATCH('All Positional Stats'!$A$107,INDIRECT("'"&amp;$A112&amp;"'!$A$1:$A$30"),0),MATCH('All Positional Stats'!V$106,INDIRECT("'"&amp;$A112&amp;"'!$A$1:$W$1"),0))</f>
        <v>27</v>
      </c>
      <c r="W112" s="1">
        <f t="shared" ca="1" si="315"/>
        <v>1</v>
      </c>
      <c r="X112" s="1">
        <f ca="1">INDEX(INDIRECT("'"&amp;$A112&amp;"'!$A$1:$W$30"),MATCH('All Positional Stats'!$A$107,INDIRECT("'"&amp;$A112&amp;"'!$A$1:$A$30"),0),MATCH('All Positional Stats'!X$106,INDIRECT("'"&amp;$A112&amp;"'!$A$1:$W$1"),0))</f>
        <v>11</v>
      </c>
      <c r="Y112" s="1">
        <f t="shared" ca="1" si="315"/>
        <v>4</v>
      </c>
      <c r="Z112" s="1">
        <f ca="1">INDEX(INDIRECT("'"&amp;$A112&amp;"'!$A$1:$W$30"),MATCH('All Positional Stats'!$A$107,INDIRECT("'"&amp;$A112&amp;"'!$A$1:$A$30"),0),MATCH('All Positional Stats'!Z$106,INDIRECT("'"&amp;$A112&amp;"'!$A$1:$W$1"),0))</f>
        <v>13</v>
      </c>
      <c r="AA112" s="1">
        <f t="shared" ca="1" si="315"/>
        <v>2</v>
      </c>
      <c r="AB112" s="1">
        <f ca="1">INDEX(INDIRECT("'"&amp;$A112&amp;"'!$A$1:$W$30"),MATCH('All Positional Stats'!$A$107,INDIRECT("'"&amp;$A112&amp;"'!$A$1:$A$30"),0),MATCH('All Positional Stats'!AB$106,INDIRECT("'"&amp;$A112&amp;"'!$A$1:$W$1"),0))</f>
        <v>5</v>
      </c>
      <c r="AC112" s="1">
        <f t="shared" ca="1" si="315"/>
        <v>5</v>
      </c>
      <c r="AD112" s="1">
        <f ca="1">INDEX(INDIRECT("'"&amp;$A112&amp;"'!$A$1:$W$30"),MATCH('All Positional Stats'!$A$107,INDIRECT("'"&amp;$A112&amp;"'!$A$1:$A$30"),0),MATCH('All Positional Stats'!AD$106,INDIRECT("'"&amp;$A112&amp;"'!$A$1:$W$1"),0))</f>
        <v>12</v>
      </c>
      <c r="AE112" s="1">
        <f t="shared" ca="1" si="315"/>
        <v>3</v>
      </c>
      <c r="AF112" s="1">
        <f ca="1">INDEX(INDIRECT("'"&amp;$A112&amp;"'!$A$1:$W$30"),MATCH('All Positional Stats'!$A$107,INDIRECT("'"&amp;$A112&amp;"'!$A$1:$A$30"),0),MATCH('All Positional Stats'!AF$106,INDIRECT("'"&amp;$A112&amp;"'!$A$1:$W$1"),0))</f>
        <v>3</v>
      </c>
      <c r="AG112" s="1">
        <f t="shared" ca="1" si="315"/>
        <v>11</v>
      </c>
      <c r="AH112" s="1">
        <f ca="1">INDEX(INDIRECT("'"&amp;$A112&amp;"'!$A$1:$W$30"),MATCH('All Positional Stats'!$A$107,INDIRECT("'"&amp;$A112&amp;"'!$A$1:$A$30"),0),MATCH('All Positional Stats'!AH$106,INDIRECT("'"&amp;$A112&amp;"'!$A$1:$W$1"),0))</f>
        <v>-1</v>
      </c>
      <c r="AI112" s="1">
        <f ca="1">INDEX(INDIRECT("'"&amp;$A112&amp;"'!$A$1:$W$30"),MATCH('All Positional Stats'!$A$107,INDIRECT("'"&amp;$A112&amp;"'!$A$1:$A$30"),0),MATCH('All Positional Stats'!AI$106,INDIRECT("'"&amp;$A112&amp;"'!$A$1:$W$1"),0))</f>
        <v>29</v>
      </c>
      <c r="AJ112" s="7">
        <f ca="1">INDEX(INDIRECT("'"&amp;$A112&amp;"'!$A$1:$W$30"),MATCH('All Positional Stats'!$A$107,INDIRECT("'"&amp;$A112&amp;"'!$A$1:$A$30"),0),MATCH('All Positional Stats'!AJ$106,INDIRECT("'"&amp;$A112&amp;"'!$A$1:$W$1"),0))</f>
        <v>13.125</v>
      </c>
      <c r="AK112" s="7">
        <f ca="1">INDEX(INDIRECT("'"&amp;$A112&amp;"'!$A$1:$W$30"),MATCH('All Positional Stats'!$A$107,INDIRECT("'"&amp;$A112&amp;"'!$A$1:$A$30"),0),MATCH('All Positional Stats'!AK$106,INDIRECT("'"&amp;$A112&amp;"'!$A$1:$W$1"),0))</f>
        <v>8.4326374877614647</v>
      </c>
      <c r="AL112" s="7">
        <f ca="1">INDEX(INDIRECT("'"&amp;$A112&amp;"'!$A$1:$W$30"),MATCH('All Positional Stats'!$A$107,INDIRECT("'"&amp;$A112&amp;"'!$A$1:$A$30"),0),MATCH('All Positional Stats'!AL$106,INDIRECT("'"&amp;$A112&amp;"'!$A$1:$W$1"),0))</f>
        <v>210</v>
      </c>
      <c r="AM112" s="6">
        <f ca="1">INDEX(INDIRECT("'"&amp;$A112&amp;"'!$A$1:$W$30"),MATCH('All Positional Stats'!$A$107,INDIRECT("'"&amp;$A112&amp;"'!$A$1:$A$30"),0),MATCH('All Positional Stats'!AM$106,INDIRECT("'"&amp;$A112&amp;"'!$A$1:$W$1"),0))</f>
        <v>0.13711151736745886</v>
      </c>
      <c r="AN112" s="9">
        <f t="shared" ca="1" si="313"/>
        <v>190</v>
      </c>
      <c r="AO112" s="8">
        <f t="shared" ca="1" si="314"/>
        <v>1</v>
      </c>
    </row>
    <row r="113" spans="1:41" ht="16.25" thickTop="1" thickBot="1" x14ac:dyDescent="0.9">
      <c r="A113" s="1" t="s">
        <v>6</v>
      </c>
      <c r="B113" s="1">
        <f ca="1">INDEX(INDIRECT("'"&amp;$A113&amp;"'!$A$1:$W$30"),MATCH('All Positional Stats'!$A$107,INDIRECT("'"&amp;$A113&amp;"'!$A$1:$A$30"),0),MATCH('All Positional Stats'!B$106,INDIRECT("'"&amp;$A113&amp;"'!$A$1:$W$1"),0))</f>
        <v>5</v>
      </c>
      <c r="C113" s="1">
        <f t="shared" ca="1" si="312"/>
        <v>10</v>
      </c>
      <c r="D113" s="1">
        <f ca="1">INDEX(INDIRECT("'"&amp;$A113&amp;"'!$A$1:$W$30"),MATCH('All Positional Stats'!$A$107,INDIRECT("'"&amp;$A113&amp;"'!$A$1:$A$30"),0),MATCH('All Positional Stats'!D$106,INDIRECT("'"&amp;$A113&amp;"'!$A$1:$W$1"),0))</f>
        <v>8</v>
      </c>
      <c r="E113" s="1">
        <f t="shared" ca="1" si="315"/>
        <v>8</v>
      </c>
      <c r="F113" s="1">
        <f ca="1">INDEX(INDIRECT("'"&amp;$A113&amp;"'!$A$1:$W$30"),MATCH('All Positional Stats'!$A$107,INDIRECT("'"&amp;$A113&amp;"'!$A$1:$A$30"),0),MATCH('All Positional Stats'!F$106,INDIRECT("'"&amp;$A113&amp;"'!$A$1:$W$1"),0))</f>
        <v>3</v>
      </c>
      <c r="G113" s="1">
        <f t="shared" ca="1" si="315"/>
        <v>7</v>
      </c>
      <c r="H113" s="1">
        <f ca="1">INDEX(INDIRECT("'"&amp;$A113&amp;"'!$A$1:$W$30"),MATCH('All Positional Stats'!$A$107,INDIRECT("'"&amp;$A113&amp;"'!$A$1:$A$30"),0),MATCH('All Positional Stats'!H$106,INDIRECT("'"&amp;$A113&amp;"'!$A$1:$W$1"),0))</f>
        <v>2</v>
      </c>
      <c r="I113" s="1">
        <f t="shared" ca="1" si="315"/>
        <v>9</v>
      </c>
      <c r="J113" s="1">
        <f ca="1">INDEX(INDIRECT("'"&amp;$A113&amp;"'!$A$1:$W$30"),MATCH('All Positional Stats'!$A$107,INDIRECT("'"&amp;$A113&amp;"'!$A$1:$A$30"),0),MATCH('All Positional Stats'!J$106,INDIRECT("'"&amp;$A113&amp;"'!$A$1:$W$1"),0))</f>
        <v>5</v>
      </c>
      <c r="K113" s="1">
        <f t="shared" ca="1" si="315"/>
        <v>9</v>
      </c>
      <c r="L113" s="1">
        <f ca="1">INDEX(INDIRECT("'"&amp;$A113&amp;"'!$A$1:$W$30"),MATCH('All Positional Stats'!$A$107,INDIRECT("'"&amp;$A113&amp;"'!$A$1:$A$30"),0),MATCH('All Positional Stats'!L$106,INDIRECT("'"&amp;$A113&amp;"'!$A$1:$W$1"),0))</f>
        <v>21</v>
      </c>
      <c r="M113" s="1">
        <f t="shared" ca="1" si="315"/>
        <v>2</v>
      </c>
      <c r="N113" s="1">
        <f ca="1">INDEX(INDIRECT("'"&amp;$A113&amp;"'!$A$1:$W$30"),MATCH('All Positional Stats'!$A$107,INDIRECT("'"&amp;$A113&amp;"'!$A$1:$A$30"),0),MATCH('All Positional Stats'!N$106,INDIRECT("'"&amp;$A113&amp;"'!$A$1:$W$1"),0))</f>
        <v>15</v>
      </c>
      <c r="O113" s="1">
        <f t="shared" ca="1" si="315"/>
        <v>2</v>
      </c>
      <c r="P113" s="1">
        <f ca="1">INDEX(INDIRECT("'"&amp;$A113&amp;"'!$A$1:$W$30"),MATCH('All Positional Stats'!$A$107,INDIRECT("'"&amp;$A113&amp;"'!$A$1:$A$30"),0),MATCH('All Positional Stats'!P$106,INDIRECT("'"&amp;$A113&amp;"'!$A$1:$W$1"),0))</f>
        <v>14</v>
      </c>
      <c r="Q113" s="1">
        <f t="shared" ca="1" si="315"/>
        <v>4</v>
      </c>
      <c r="R113" s="1">
        <f ca="1">INDEX(INDIRECT("'"&amp;$A113&amp;"'!$A$1:$W$30"),MATCH('All Positional Stats'!$A$107,INDIRECT("'"&amp;$A113&amp;"'!$A$1:$A$30"),0),MATCH('All Positional Stats'!R$106,INDIRECT("'"&amp;$A113&amp;"'!$A$1:$W$1"),0))</f>
        <v>-1</v>
      </c>
      <c r="S113" s="1">
        <f t="shared" ca="1" si="315"/>
        <v>12</v>
      </c>
      <c r="T113" s="1">
        <f ca="1">INDEX(INDIRECT("'"&amp;$A113&amp;"'!$A$1:$W$30"),MATCH('All Positional Stats'!$A$107,INDIRECT("'"&amp;$A113&amp;"'!$A$1:$A$30"),0),MATCH('All Positional Stats'!T$106,INDIRECT("'"&amp;$A113&amp;"'!$A$1:$W$1"),0))</f>
        <v>2</v>
      </c>
      <c r="U113" s="1">
        <f t="shared" ca="1" si="315"/>
        <v>10</v>
      </c>
      <c r="V113" s="1">
        <f ca="1">INDEX(INDIRECT("'"&amp;$A113&amp;"'!$A$1:$W$30"),MATCH('All Positional Stats'!$A$107,INDIRECT("'"&amp;$A113&amp;"'!$A$1:$A$30"),0),MATCH('All Positional Stats'!V$106,INDIRECT("'"&amp;$A113&amp;"'!$A$1:$W$1"),0))</f>
        <v>10</v>
      </c>
      <c r="W113" s="1">
        <f t="shared" ca="1" si="315"/>
        <v>5</v>
      </c>
      <c r="X113" s="1">
        <f ca="1">INDEX(INDIRECT("'"&amp;$A113&amp;"'!$A$1:$W$30"),MATCH('All Positional Stats'!$A$107,INDIRECT("'"&amp;$A113&amp;"'!$A$1:$A$30"),0),MATCH('All Positional Stats'!X$106,INDIRECT("'"&amp;$A113&amp;"'!$A$1:$W$1"),0))</f>
        <v>2</v>
      </c>
      <c r="Y113" s="1">
        <f t="shared" ca="1" si="315"/>
        <v>10</v>
      </c>
      <c r="Z113" s="1">
        <f ca="1">INDEX(INDIRECT("'"&amp;$A113&amp;"'!$A$1:$W$30"),MATCH('All Positional Stats'!$A$107,INDIRECT("'"&amp;$A113&amp;"'!$A$1:$A$30"),0),MATCH('All Positional Stats'!Z$106,INDIRECT("'"&amp;$A113&amp;"'!$A$1:$W$1"),0))</f>
        <v>2</v>
      </c>
      <c r="AA113" s="1">
        <f t="shared" ca="1" si="315"/>
        <v>10</v>
      </c>
      <c r="AB113" s="1">
        <f ca="1">INDEX(INDIRECT("'"&amp;$A113&amp;"'!$A$1:$W$30"),MATCH('All Positional Stats'!$A$107,INDIRECT("'"&amp;$A113&amp;"'!$A$1:$A$30"),0),MATCH('All Positional Stats'!AB$106,INDIRECT("'"&amp;$A113&amp;"'!$A$1:$W$1"),0))</f>
        <v>-4</v>
      </c>
      <c r="AC113" s="1">
        <f t="shared" ca="1" si="315"/>
        <v>11</v>
      </c>
      <c r="AD113" s="1">
        <f ca="1">INDEX(INDIRECT("'"&amp;$A113&amp;"'!$A$1:$W$30"),MATCH('All Positional Stats'!$A$107,INDIRECT("'"&amp;$A113&amp;"'!$A$1:$A$30"),0),MATCH('All Positional Stats'!AD$106,INDIRECT("'"&amp;$A113&amp;"'!$A$1:$W$1"),0))</f>
        <v>2</v>
      </c>
      <c r="AE113" s="1">
        <f t="shared" ca="1" si="315"/>
        <v>9</v>
      </c>
      <c r="AF113" s="1">
        <f ca="1">INDEX(INDIRECT("'"&amp;$A113&amp;"'!$A$1:$W$30"),MATCH('All Positional Stats'!$A$107,INDIRECT("'"&amp;$A113&amp;"'!$A$1:$A$30"),0),MATCH('All Positional Stats'!AF$106,INDIRECT("'"&amp;$A113&amp;"'!$A$1:$W$1"),0))</f>
        <v>17</v>
      </c>
      <c r="AG113" s="1">
        <f t="shared" ca="1" si="315"/>
        <v>3</v>
      </c>
      <c r="AH113" s="1">
        <f ca="1">INDEX(INDIRECT("'"&amp;$A113&amp;"'!$A$1:$W$30"),MATCH('All Positional Stats'!$A$107,INDIRECT("'"&amp;$A113&amp;"'!$A$1:$A$30"),0),MATCH('All Positional Stats'!AH$106,INDIRECT("'"&amp;$A113&amp;"'!$A$1:$W$1"),0))</f>
        <v>-4</v>
      </c>
      <c r="AI113" s="1">
        <f ca="1">INDEX(INDIRECT("'"&amp;$A113&amp;"'!$A$1:$W$30"),MATCH('All Positional Stats'!$A$107,INDIRECT("'"&amp;$A113&amp;"'!$A$1:$A$30"),0),MATCH('All Positional Stats'!AI$106,INDIRECT("'"&amp;$A113&amp;"'!$A$1:$W$1"),0))</f>
        <v>21</v>
      </c>
      <c r="AJ113" s="7">
        <f ca="1">INDEX(INDIRECT("'"&amp;$A113&amp;"'!$A$1:$W$30"),MATCH('All Positional Stats'!$A$107,INDIRECT("'"&amp;$A113&amp;"'!$A$1:$A$30"),0),MATCH('All Positional Stats'!AJ$106,INDIRECT("'"&amp;$A113&amp;"'!$A$1:$W$1"),0))</f>
        <v>6.4375</v>
      </c>
      <c r="AK113" s="7">
        <f ca="1">INDEX(INDIRECT("'"&amp;$A113&amp;"'!$A$1:$W$30"),MATCH('All Positional Stats'!$A$107,INDIRECT("'"&amp;$A113&amp;"'!$A$1:$A$30"),0),MATCH('All Positional Stats'!AK$106,INDIRECT("'"&amp;$A113&amp;"'!$A$1:$W$1"),0))</f>
        <v>6.8371115063307251</v>
      </c>
      <c r="AL113" s="7">
        <f ca="1">INDEX(INDIRECT("'"&amp;$A113&amp;"'!$A$1:$W$30"),MATCH('All Positional Stats'!$A$107,INDIRECT("'"&amp;$A113&amp;"'!$A$1:$A$30"),0),MATCH('All Positional Stats'!AL$106,INDIRECT("'"&amp;$A113&amp;"'!$A$1:$W$1"),0))</f>
        <v>103</v>
      </c>
      <c r="AM113" s="6">
        <f ca="1">INDEX(INDIRECT("'"&amp;$A113&amp;"'!$A$1:$W$30"),MATCH('All Positional Stats'!$A$107,INDIRECT("'"&amp;$A113&amp;"'!$A$1:$A$30"),0),MATCH('All Positional Stats'!AM$106,INDIRECT("'"&amp;$A113&amp;"'!$A$1:$W$1"),0))</f>
        <v>6.5463327825092149E-2</v>
      </c>
      <c r="AN113" s="9">
        <f t="shared" ca="1" si="313"/>
        <v>88</v>
      </c>
      <c r="AO113" s="8">
        <f t="shared" ca="1" si="314"/>
        <v>10</v>
      </c>
    </row>
    <row r="114" spans="1:41" ht="16.25" thickTop="1" thickBot="1" x14ac:dyDescent="0.9">
      <c r="A114" s="1" t="s">
        <v>7</v>
      </c>
      <c r="B114" s="1">
        <f ca="1">INDEX(INDIRECT("'"&amp;$A114&amp;"'!$A$1:$W$30"),MATCH('All Positional Stats'!$A$107,INDIRECT("'"&amp;$A114&amp;"'!$A$1:$A$30"),0),MATCH('All Positional Stats'!B$106,INDIRECT("'"&amp;$A114&amp;"'!$A$1:$W$1"),0))</f>
        <v>2</v>
      </c>
      <c r="C114" s="1">
        <f t="shared" ca="1" si="312"/>
        <v>11</v>
      </c>
      <c r="D114" s="1">
        <f ca="1">INDEX(INDIRECT("'"&amp;$A114&amp;"'!$A$1:$W$30"),MATCH('All Positional Stats'!$A$107,INDIRECT("'"&amp;$A114&amp;"'!$A$1:$A$30"),0),MATCH('All Positional Stats'!D$106,INDIRECT("'"&amp;$A114&amp;"'!$A$1:$W$1"),0))</f>
        <v>10</v>
      </c>
      <c r="E114" s="1">
        <f t="shared" ca="1" si="315"/>
        <v>5</v>
      </c>
      <c r="F114" s="1">
        <f ca="1">INDEX(INDIRECT("'"&amp;$A114&amp;"'!$A$1:$W$30"),MATCH('All Positional Stats'!$A$107,INDIRECT("'"&amp;$A114&amp;"'!$A$1:$A$30"),0),MATCH('All Positional Stats'!F$106,INDIRECT("'"&amp;$A114&amp;"'!$A$1:$W$1"),0))</f>
        <v>6</v>
      </c>
      <c r="G114" s="1">
        <f t="shared" ca="1" si="315"/>
        <v>5</v>
      </c>
      <c r="H114" s="1">
        <f ca="1">INDEX(INDIRECT("'"&amp;$A114&amp;"'!$A$1:$W$30"),MATCH('All Positional Stats'!$A$107,INDIRECT("'"&amp;$A114&amp;"'!$A$1:$A$30"),0),MATCH('All Positional Stats'!H$106,INDIRECT("'"&amp;$A114&amp;"'!$A$1:$W$1"),0))</f>
        <v>10</v>
      </c>
      <c r="I114" s="1">
        <f t="shared" ca="1" si="315"/>
        <v>2</v>
      </c>
      <c r="J114" s="1">
        <f ca="1">INDEX(INDIRECT("'"&amp;$A114&amp;"'!$A$1:$W$30"),MATCH('All Positional Stats'!$A$107,INDIRECT("'"&amp;$A114&amp;"'!$A$1:$A$30"),0),MATCH('All Positional Stats'!J$106,INDIRECT("'"&amp;$A114&amp;"'!$A$1:$W$1"),0))</f>
        <v>6</v>
      </c>
      <c r="K114" s="1">
        <f t="shared" ca="1" si="315"/>
        <v>8</v>
      </c>
      <c r="L114" s="1">
        <f ca="1">INDEX(INDIRECT("'"&amp;$A114&amp;"'!$A$1:$W$30"),MATCH('All Positional Stats'!$A$107,INDIRECT("'"&amp;$A114&amp;"'!$A$1:$A$30"),0),MATCH('All Positional Stats'!L$106,INDIRECT("'"&amp;$A114&amp;"'!$A$1:$W$1"),0))</f>
        <v>8</v>
      </c>
      <c r="M114" s="1">
        <f t="shared" ca="1" si="315"/>
        <v>7</v>
      </c>
      <c r="N114" s="1">
        <f ca="1">INDEX(INDIRECT("'"&amp;$A114&amp;"'!$A$1:$W$30"),MATCH('All Positional Stats'!$A$107,INDIRECT("'"&amp;$A114&amp;"'!$A$1:$A$30"),0),MATCH('All Positional Stats'!N$106,INDIRECT("'"&amp;$A114&amp;"'!$A$1:$W$1"),0))</f>
        <v>5</v>
      </c>
      <c r="O114" s="1">
        <f t="shared" ca="1" si="315"/>
        <v>11</v>
      </c>
      <c r="P114" s="1">
        <f ca="1">INDEX(INDIRECT("'"&amp;$A114&amp;"'!$A$1:$W$30"),MATCH('All Positional Stats'!$A$107,INDIRECT("'"&amp;$A114&amp;"'!$A$1:$A$30"),0),MATCH('All Positional Stats'!P$106,INDIRECT("'"&amp;$A114&amp;"'!$A$1:$W$1"),0))</f>
        <v>7</v>
      </c>
      <c r="Q114" s="1">
        <f t="shared" ca="1" si="315"/>
        <v>7</v>
      </c>
      <c r="R114" s="1">
        <f ca="1">INDEX(INDIRECT("'"&amp;$A114&amp;"'!$A$1:$W$30"),MATCH('All Positional Stats'!$A$107,INDIRECT("'"&amp;$A114&amp;"'!$A$1:$A$30"),0),MATCH('All Positional Stats'!R$106,INDIRECT("'"&amp;$A114&amp;"'!$A$1:$W$1"),0))</f>
        <v>2</v>
      </c>
      <c r="S114" s="1">
        <f t="shared" ca="1" si="315"/>
        <v>9</v>
      </c>
      <c r="T114" s="1">
        <f ca="1">INDEX(INDIRECT("'"&amp;$A114&amp;"'!$A$1:$W$30"),MATCH('All Positional Stats'!$A$107,INDIRECT("'"&amp;$A114&amp;"'!$A$1:$A$30"),0),MATCH('All Positional Stats'!T$106,INDIRECT("'"&amp;$A114&amp;"'!$A$1:$W$1"),0))</f>
        <v>-3</v>
      </c>
      <c r="U114" s="1">
        <f t="shared" ca="1" si="315"/>
        <v>12</v>
      </c>
      <c r="V114" s="1">
        <f ca="1">INDEX(INDIRECT("'"&amp;$A114&amp;"'!$A$1:$W$30"),MATCH('All Positional Stats'!$A$107,INDIRECT("'"&amp;$A114&amp;"'!$A$1:$A$30"),0),MATCH('All Positional Stats'!V$106,INDIRECT("'"&amp;$A114&amp;"'!$A$1:$W$1"),0))</f>
        <v>7</v>
      </c>
      <c r="W114" s="1">
        <f t="shared" ca="1" si="315"/>
        <v>9</v>
      </c>
      <c r="X114" s="1">
        <f ca="1">INDEX(INDIRECT("'"&amp;$A114&amp;"'!$A$1:$W$30"),MATCH('All Positional Stats'!$A$107,INDIRECT("'"&amp;$A114&amp;"'!$A$1:$A$30"),0),MATCH('All Positional Stats'!X$106,INDIRECT("'"&amp;$A114&amp;"'!$A$1:$W$1"),0))</f>
        <v>0</v>
      </c>
      <c r="Y114" s="1">
        <f t="shared" ca="1" si="315"/>
        <v>12</v>
      </c>
      <c r="Z114" s="1">
        <f ca="1">INDEX(INDIRECT("'"&amp;$A114&amp;"'!$A$1:$W$30"),MATCH('All Positional Stats'!$A$107,INDIRECT("'"&amp;$A114&amp;"'!$A$1:$A$30"),0),MATCH('All Positional Stats'!Z$106,INDIRECT("'"&amp;$A114&amp;"'!$A$1:$W$1"),0))</f>
        <v>10</v>
      </c>
      <c r="AA114" s="1">
        <f t="shared" ca="1" si="315"/>
        <v>4</v>
      </c>
      <c r="AB114" s="1">
        <f ca="1">INDEX(INDIRECT("'"&amp;$A114&amp;"'!$A$1:$W$30"),MATCH('All Positional Stats'!$A$107,INDIRECT("'"&amp;$A114&amp;"'!$A$1:$A$30"),0),MATCH('All Positional Stats'!AB$106,INDIRECT("'"&amp;$A114&amp;"'!$A$1:$W$1"),0))</f>
        <v>6</v>
      </c>
      <c r="AC114" s="1">
        <f t="shared" ca="1" si="315"/>
        <v>4</v>
      </c>
      <c r="AD114" s="1">
        <f ca="1">INDEX(INDIRECT("'"&amp;$A114&amp;"'!$A$1:$W$30"),MATCH('All Positional Stats'!$A$107,INDIRECT("'"&amp;$A114&amp;"'!$A$1:$A$30"),0),MATCH('All Positional Stats'!AD$106,INDIRECT("'"&amp;$A114&amp;"'!$A$1:$W$1"),0))</f>
        <v>10</v>
      </c>
      <c r="AE114" s="1">
        <f t="shared" ca="1" si="315"/>
        <v>5</v>
      </c>
      <c r="AF114" s="1">
        <f ca="1">INDEX(INDIRECT("'"&amp;$A114&amp;"'!$A$1:$W$30"),MATCH('All Positional Stats'!$A$107,INDIRECT("'"&amp;$A114&amp;"'!$A$1:$A$30"),0),MATCH('All Positional Stats'!AF$106,INDIRECT("'"&amp;$A114&amp;"'!$A$1:$W$1"),0))</f>
        <v>13</v>
      </c>
      <c r="AG114" s="1">
        <f t="shared" ca="1" si="315"/>
        <v>6</v>
      </c>
      <c r="AH114" s="1">
        <f ca="1">INDEX(INDIRECT("'"&amp;$A114&amp;"'!$A$1:$W$30"),MATCH('All Positional Stats'!$A$107,INDIRECT("'"&amp;$A114&amp;"'!$A$1:$A$30"),0),MATCH('All Positional Stats'!AH$106,INDIRECT("'"&amp;$A114&amp;"'!$A$1:$W$1"),0))</f>
        <v>-3</v>
      </c>
      <c r="AI114" s="1">
        <f ca="1">INDEX(INDIRECT("'"&amp;$A114&amp;"'!$A$1:$W$30"),MATCH('All Positional Stats'!$A$107,INDIRECT("'"&amp;$A114&amp;"'!$A$1:$A$30"),0),MATCH('All Positional Stats'!AI$106,INDIRECT("'"&amp;$A114&amp;"'!$A$1:$W$1"),0))</f>
        <v>13</v>
      </c>
      <c r="AJ114" s="7">
        <f ca="1">INDEX(INDIRECT("'"&amp;$A114&amp;"'!$A$1:$W$30"),MATCH('All Positional Stats'!$A$107,INDIRECT("'"&amp;$A114&amp;"'!$A$1:$A$30"),0),MATCH('All Positional Stats'!AJ$106,INDIRECT("'"&amp;$A114&amp;"'!$A$1:$W$1"),0))</f>
        <v>6.1875</v>
      </c>
      <c r="AK114" s="7">
        <f ca="1">INDEX(INDIRECT("'"&amp;$A114&amp;"'!$A$1:$W$30"),MATCH('All Positional Stats'!$A$107,INDIRECT("'"&amp;$A114&amp;"'!$A$1:$A$30"),0),MATCH('All Positional Stats'!AK$106,INDIRECT("'"&amp;$A114&amp;"'!$A$1:$W$1"),0))</f>
        <v>4.0960155944527363</v>
      </c>
      <c r="AL114" s="7">
        <f ca="1">INDEX(INDIRECT("'"&amp;$A114&amp;"'!$A$1:$W$30"),MATCH('All Positional Stats'!$A$107,INDIRECT("'"&amp;$A114&amp;"'!$A$1:$A$30"),0),MATCH('All Positional Stats'!AL$106,INDIRECT("'"&amp;$A114&amp;"'!$A$1:$W$1"),0))</f>
        <v>99</v>
      </c>
      <c r="AM114" s="6">
        <f ca="1">INDEX(INDIRECT("'"&amp;$A114&amp;"'!$A$1:$W$30"),MATCH('All Positional Stats'!$A$107,INDIRECT("'"&amp;$A114&amp;"'!$A$1:$A$30"),0),MATCH('All Positional Stats'!AM$106,INDIRECT("'"&amp;$A114&amp;"'!$A$1:$W$1"),0))</f>
        <v>6.5890183028286184E-2</v>
      </c>
      <c r="AN114" s="9">
        <f t="shared" ca="1" si="313"/>
        <v>70</v>
      </c>
      <c r="AO114" s="8">
        <f t="shared" ca="1" si="314"/>
        <v>12</v>
      </c>
    </row>
    <row r="115" spans="1:41" ht="16.25" thickTop="1" thickBot="1" x14ac:dyDescent="0.9">
      <c r="A115" s="1" t="s">
        <v>8</v>
      </c>
      <c r="B115" s="1">
        <f ca="1">INDEX(INDIRECT("'"&amp;$A115&amp;"'!$A$1:$W$30"),MATCH('All Positional Stats'!$A$107,INDIRECT("'"&amp;$A115&amp;"'!$A$1:$A$30"),0),MATCH('All Positional Stats'!B$106,INDIRECT("'"&amp;$A115&amp;"'!$A$1:$W$1"),0))</f>
        <v>1</v>
      </c>
      <c r="C115" s="1">
        <f t="shared" ca="1" si="312"/>
        <v>12</v>
      </c>
      <c r="D115" s="1">
        <f ca="1">INDEX(INDIRECT("'"&amp;$A115&amp;"'!$A$1:$W$30"),MATCH('All Positional Stats'!$A$107,INDIRECT("'"&amp;$A115&amp;"'!$A$1:$A$30"),0),MATCH('All Positional Stats'!D$106,INDIRECT("'"&amp;$A115&amp;"'!$A$1:$W$1"),0))</f>
        <v>2</v>
      </c>
      <c r="E115" s="1">
        <f t="shared" ca="1" si="315"/>
        <v>10</v>
      </c>
      <c r="F115" s="1">
        <f ca="1">INDEX(INDIRECT("'"&amp;$A115&amp;"'!$A$1:$W$30"),MATCH('All Positional Stats'!$A$107,INDIRECT("'"&amp;$A115&amp;"'!$A$1:$A$30"),0),MATCH('All Positional Stats'!F$106,INDIRECT("'"&amp;$A115&amp;"'!$A$1:$W$1"),0))</f>
        <v>9</v>
      </c>
      <c r="G115" s="1">
        <f t="shared" ca="1" si="315"/>
        <v>3</v>
      </c>
      <c r="H115" s="1">
        <f ca="1">INDEX(INDIRECT("'"&amp;$A115&amp;"'!$A$1:$W$30"),MATCH('All Positional Stats'!$A$107,INDIRECT("'"&amp;$A115&amp;"'!$A$1:$A$30"),0),MATCH('All Positional Stats'!H$106,INDIRECT("'"&amp;$A115&amp;"'!$A$1:$W$1"),0))</f>
        <v>9</v>
      </c>
      <c r="I115" s="1">
        <f t="shared" ca="1" si="315"/>
        <v>5</v>
      </c>
      <c r="J115" s="1">
        <f ca="1">INDEX(INDIRECT("'"&amp;$A115&amp;"'!$A$1:$W$30"),MATCH('All Positional Stats'!$A$107,INDIRECT("'"&amp;$A115&amp;"'!$A$1:$A$30"),0),MATCH('All Positional Stats'!J$106,INDIRECT("'"&amp;$A115&amp;"'!$A$1:$W$1"),0))</f>
        <v>8</v>
      </c>
      <c r="K115" s="1">
        <f t="shared" ca="1" si="315"/>
        <v>6</v>
      </c>
      <c r="L115" s="1">
        <f ca="1">INDEX(INDIRECT("'"&amp;$A115&amp;"'!$A$1:$W$30"),MATCH('All Positional Stats'!$A$107,INDIRECT("'"&amp;$A115&amp;"'!$A$1:$A$30"),0),MATCH('All Positional Stats'!L$106,INDIRECT("'"&amp;$A115&amp;"'!$A$1:$W$1"),0))</f>
        <v>15</v>
      </c>
      <c r="M115" s="1">
        <f t="shared" ca="1" si="315"/>
        <v>4</v>
      </c>
      <c r="N115" s="1">
        <f ca="1">INDEX(INDIRECT("'"&amp;$A115&amp;"'!$A$1:$W$30"),MATCH('All Positional Stats'!$A$107,INDIRECT("'"&amp;$A115&amp;"'!$A$1:$A$30"),0),MATCH('All Positional Stats'!N$106,INDIRECT("'"&amp;$A115&amp;"'!$A$1:$W$1"),0))</f>
        <v>8</v>
      </c>
      <c r="O115" s="1">
        <f t="shared" ca="1" si="315"/>
        <v>7</v>
      </c>
      <c r="P115" s="1">
        <f ca="1">INDEX(INDIRECT("'"&amp;$A115&amp;"'!$A$1:$W$30"),MATCH('All Positional Stats'!$A$107,INDIRECT("'"&amp;$A115&amp;"'!$A$1:$A$30"),0),MATCH('All Positional Stats'!P$106,INDIRECT("'"&amp;$A115&amp;"'!$A$1:$W$1"),0))</f>
        <v>10</v>
      </c>
      <c r="Q115" s="1">
        <f t="shared" ca="1" si="315"/>
        <v>5</v>
      </c>
      <c r="R115" s="1">
        <f ca="1">INDEX(INDIRECT("'"&amp;$A115&amp;"'!$A$1:$W$30"),MATCH('All Positional Stats'!$A$107,INDIRECT("'"&amp;$A115&amp;"'!$A$1:$A$30"),0),MATCH('All Positional Stats'!R$106,INDIRECT("'"&amp;$A115&amp;"'!$A$1:$W$1"),0))</f>
        <v>0</v>
      </c>
      <c r="S115" s="1">
        <f t="shared" ca="1" si="315"/>
        <v>10</v>
      </c>
      <c r="T115" s="1">
        <f ca="1">INDEX(INDIRECT("'"&amp;$A115&amp;"'!$A$1:$W$30"),MATCH('All Positional Stats'!$A$107,INDIRECT("'"&amp;$A115&amp;"'!$A$1:$A$30"),0),MATCH('All Positional Stats'!T$106,INDIRECT("'"&amp;$A115&amp;"'!$A$1:$W$1"),0))</f>
        <v>1</v>
      </c>
      <c r="U115" s="1">
        <f t="shared" ca="1" si="315"/>
        <v>11</v>
      </c>
      <c r="V115" s="1">
        <f ca="1">INDEX(INDIRECT("'"&amp;$A115&amp;"'!$A$1:$W$30"),MATCH('All Positional Stats'!$A$107,INDIRECT("'"&amp;$A115&amp;"'!$A$1:$A$30"),0),MATCH('All Positional Stats'!V$106,INDIRECT("'"&amp;$A115&amp;"'!$A$1:$W$1"),0))</f>
        <v>9</v>
      </c>
      <c r="W115" s="1">
        <f t="shared" ca="1" si="315"/>
        <v>6</v>
      </c>
      <c r="X115" s="1">
        <f ca="1">INDEX(INDIRECT("'"&amp;$A115&amp;"'!$A$1:$W$30"),MATCH('All Positional Stats'!$A$107,INDIRECT("'"&amp;$A115&amp;"'!$A$1:$A$30"),0),MATCH('All Positional Stats'!X$106,INDIRECT("'"&amp;$A115&amp;"'!$A$1:$W$1"),0))</f>
        <v>9</v>
      </c>
      <c r="Y115" s="1">
        <f t="shared" ca="1" si="315"/>
        <v>6</v>
      </c>
      <c r="Z115" s="1">
        <f ca="1">INDEX(INDIRECT("'"&amp;$A115&amp;"'!$A$1:$W$30"),MATCH('All Positional Stats'!$A$107,INDIRECT("'"&amp;$A115&amp;"'!$A$1:$A$30"),0),MATCH('All Positional Stats'!Z$106,INDIRECT("'"&amp;$A115&amp;"'!$A$1:$W$1"),0))</f>
        <v>5</v>
      </c>
      <c r="AA115" s="1">
        <f t="shared" ca="1" si="315"/>
        <v>7</v>
      </c>
      <c r="AB115" s="1">
        <f ca="1">INDEX(INDIRECT("'"&amp;$A115&amp;"'!$A$1:$W$30"),MATCH('All Positional Stats'!$A$107,INDIRECT("'"&amp;$A115&amp;"'!$A$1:$A$30"),0),MATCH('All Positional Stats'!AB$106,INDIRECT("'"&amp;$A115&amp;"'!$A$1:$W$1"),0))</f>
        <v>3</v>
      </c>
      <c r="AC115" s="1">
        <f t="shared" ca="1" si="315"/>
        <v>6</v>
      </c>
      <c r="AD115" s="1">
        <f ca="1">INDEX(INDIRECT("'"&amp;$A115&amp;"'!$A$1:$W$30"),MATCH('All Positional Stats'!$A$107,INDIRECT("'"&amp;$A115&amp;"'!$A$1:$A$30"),0),MATCH('All Positional Stats'!AD$106,INDIRECT("'"&amp;$A115&amp;"'!$A$1:$W$1"),0))</f>
        <v>19</v>
      </c>
      <c r="AE115" s="1">
        <f t="shared" ca="1" si="315"/>
        <v>2</v>
      </c>
      <c r="AF115" s="1">
        <f ca="1">INDEX(INDIRECT("'"&amp;$A115&amp;"'!$A$1:$W$30"),MATCH('All Positional Stats'!$A$107,INDIRECT("'"&amp;$A115&amp;"'!$A$1:$A$30"),0),MATCH('All Positional Stats'!AF$106,INDIRECT("'"&amp;$A115&amp;"'!$A$1:$W$1"),0))</f>
        <v>12</v>
      </c>
      <c r="AG115" s="1">
        <f t="shared" ca="1" si="315"/>
        <v>8</v>
      </c>
      <c r="AH115" s="1">
        <f ca="1">INDEX(INDIRECT("'"&amp;$A115&amp;"'!$A$1:$W$30"),MATCH('All Positional Stats'!$A$107,INDIRECT("'"&amp;$A115&amp;"'!$A$1:$A$30"),0),MATCH('All Positional Stats'!AH$106,INDIRECT("'"&amp;$A115&amp;"'!$A$1:$W$1"),0))</f>
        <v>0</v>
      </c>
      <c r="AI115" s="1">
        <f ca="1">INDEX(INDIRECT("'"&amp;$A115&amp;"'!$A$1:$W$30"),MATCH('All Positional Stats'!$A$107,INDIRECT("'"&amp;$A115&amp;"'!$A$1:$A$30"),0),MATCH('All Positional Stats'!AI$106,INDIRECT("'"&amp;$A115&amp;"'!$A$1:$W$1"),0))</f>
        <v>19</v>
      </c>
      <c r="AJ115" s="7">
        <f ca="1">INDEX(INDIRECT("'"&amp;$A115&amp;"'!$A$1:$W$30"),MATCH('All Positional Stats'!$A$107,INDIRECT("'"&amp;$A115&amp;"'!$A$1:$A$30"),0),MATCH('All Positional Stats'!AJ$106,INDIRECT("'"&amp;$A115&amp;"'!$A$1:$W$1"),0))</f>
        <v>7.5</v>
      </c>
      <c r="AK115" s="7">
        <f ca="1">INDEX(INDIRECT("'"&amp;$A115&amp;"'!$A$1:$W$30"),MATCH('All Positional Stats'!$A$107,INDIRECT("'"&amp;$A115&amp;"'!$A$1:$A$30"),0),MATCH('All Positional Stats'!AK$106,INDIRECT("'"&amp;$A115&amp;"'!$A$1:$W$1"),0))</f>
        <v>5.1356596460435346</v>
      </c>
      <c r="AL115" s="7">
        <f ca="1">INDEX(INDIRECT("'"&amp;$A115&amp;"'!$A$1:$W$30"),MATCH('All Positional Stats'!$A$107,INDIRECT("'"&amp;$A115&amp;"'!$A$1:$A$30"),0),MATCH('All Positional Stats'!AL$106,INDIRECT("'"&amp;$A115&amp;"'!$A$1:$W$1"),0))</f>
        <v>120</v>
      </c>
      <c r="AM115" s="6">
        <f ca="1">INDEX(INDIRECT("'"&amp;$A115&amp;"'!$A$1:$W$30"),MATCH('All Positional Stats'!$A$107,INDIRECT("'"&amp;$A115&amp;"'!$A$1:$A$30"),0),MATCH('All Positional Stats'!AM$106,INDIRECT("'"&amp;$A115&amp;"'!$A$1:$W$1"),0))</f>
        <v>8.1782866489470446E-2</v>
      </c>
      <c r="AN115" s="9">
        <f t="shared" ca="1" si="313"/>
        <v>86</v>
      </c>
      <c r="AO115" s="8">
        <f t="shared" ca="1" si="314"/>
        <v>11</v>
      </c>
    </row>
    <row r="116" spans="1:41" ht="16.25" thickTop="1" thickBot="1" x14ac:dyDescent="0.9">
      <c r="A116" s="1" t="s">
        <v>9</v>
      </c>
      <c r="B116" s="1">
        <f ca="1">INDEX(INDIRECT("'"&amp;$A116&amp;"'!$A$1:$W$30"),MATCH('All Positional Stats'!$A$107,INDIRECT("'"&amp;$A116&amp;"'!$A$1:$A$30"),0),MATCH('All Positional Stats'!B$106,INDIRECT("'"&amp;$A116&amp;"'!$A$1:$W$1"),0))</f>
        <v>7</v>
      </c>
      <c r="C116" s="1">
        <f t="shared" ca="1" si="312"/>
        <v>8</v>
      </c>
      <c r="D116" s="1">
        <f ca="1">INDEX(INDIRECT("'"&amp;$A116&amp;"'!$A$1:$W$30"),MATCH('All Positional Stats'!$A$107,INDIRECT("'"&amp;$A116&amp;"'!$A$1:$A$30"),0),MATCH('All Positional Stats'!D$106,INDIRECT("'"&amp;$A116&amp;"'!$A$1:$W$1"),0))</f>
        <v>15</v>
      </c>
      <c r="E116" s="1">
        <f t="shared" ca="1" si="315"/>
        <v>2</v>
      </c>
      <c r="F116" s="1">
        <f ca="1">INDEX(INDIRECT("'"&amp;$A116&amp;"'!$A$1:$W$30"),MATCH('All Positional Stats'!$A$107,INDIRECT("'"&amp;$A116&amp;"'!$A$1:$A$30"),0),MATCH('All Positional Stats'!F$106,INDIRECT("'"&amp;$A116&amp;"'!$A$1:$W$1"),0))</f>
        <v>-1</v>
      </c>
      <c r="G116" s="1">
        <f t="shared" ca="1" si="315"/>
        <v>10</v>
      </c>
      <c r="H116" s="1">
        <f ca="1">INDEX(INDIRECT("'"&amp;$A116&amp;"'!$A$1:$W$30"),MATCH('All Positional Stats'!$A$107,INDIRECT("'"&amp;$A116&amp;"'!$A$1:$A$30"),0),MATCH('All Positional Stats'!H$106,INDIRECT("'"&amp;$A116&amp;"'!$A$1:$W$1"),0))</f>
        <v>10</v>
      </c>
      <c r="I116" s="1">
        <f t="shared" ca="1" si="315"/>
        <v>2</v>
      </c>
      <c r="J116" s="1">
        <f ca="1">INDEX(INDIRECT("'"&amp;$A116&amp;"'!$A$1:$W$30"),MATCH('All Positional Stats'!$A$107,INDIRECT("'"&amp;$A116&amp;"'!$A$1:$A$30"),0),MATCH('All Positional Stats'!J$106,INDIRECT("'"&amp;$A116&amp;"'!$A$1:$W$1"),0))</f>
        <v>7</v>
      </c>
      <c r="K116" s="1">
        <f t="shared" ca="1" si="315"/>
        <v>7</v>
      </c>
      <c r="L116" s="1">
        <f ca="1">INDEX(INDIRECT("'"&amp;$A116&amp;"'!$A$1:$W$30"),MATCH('All Positional Stats'!$A$107,INDIRECT("'"&amp;$A116&amp;"'!$A$1:$A$30"),0),MATCH('All Positional Stats'!L$106,INDIRECT("'"&amp;$A116&amp;"'!$A$1:$W$1"),0))</f>
        <v>5</v>
      </c>
      <c r="M116" s="1">
        <f t="shared" ca="1" si="315"/>
        <v>9</v>
      </c>
      <c r="N116" s="1">
        <f ca="1">INDEX(INDIRECT("'"&amp;$A116&amp;"'!$A$1:$W$30"),MATCH('All Positional Stats'!$A$107,INDIRECT("'"&amp;$A116&amp;"'!$A$1:$A$30"),0),MATCH('All Positional Stats'!N$106,INDIRECT("'"&amp;$A116&amp;"'!$A$1:$W$1"),0))</f>
        <v>6</v>
      </c>
      <c r="O116" s="1">
        <f t="shared" ca="1" si="315"/>
        <v>9</v>
      </c>
      <c r="P116" s="1">
        <f ca="1">INDEX(INDIRECT("'"&amp;$A116&amp;"'!$A$1:$W$30"),MATCH('All Positional Stats'!$A$107,INDIRECT("'"&amp;$A116&amp;"'!$A$1:$A$30"),0),MATCH('All Positional Stats'!P$106,INDIRECT("'"&amp;$A116&amp;"'!$A$1:$W$1"),0))</f>
        <v>21</v>
      </c>
      <c r="Q116" s="1">
        <f t="shared" ca="1" si="315"/>
        <v>2</v>
      </c>
      <c r="R116" s="1">
        <f ca="1">INDEX(INDIRECT("'"&amp;$A116&amp;"'!$A$1:$W$30"),MATCH('All Positional Stats'!$A$107,INDIRECT("'"&amp;$A116&amp;"'!$A$1:$A$30"),0),MATCH('All Positional Stats'!R$106,INDIRECT("'"&amp;$A116&amp;"'!$A$1:$W$1"),0))</f>
        <v>10</v>
      </c>
      <c r="S116" s="1">
        <f t="shared" ca="1" si="315"/>
        <v>5</v>
      </c>
      <c r="T116" s="1">
        <f ca="1">INDEX(INDIRECT("'"&amp;$A116&amp;"'!$A$1:$W$30"),MATCH('All Positional Stats'!$A$107,INDIRECT("'"&amp;$A116&amp;"'!$A$1:$A$30"),0),MATCH('All Positional Stats'!T$106,INDIRECT("'"&amp;$A116&amp;"'!$A$1:$W$1"),0))</f>
        <v>13</v>
      </c>
      <c r="U116" s="1">
        <f t="shared" ca="1" si="315"/>
        <v>2</v>
      </c>
      <c r="V116" s="1">
        <f ca="1">INDEX(INDIRECT("'"&amp;$A116&amp;"'!$A$1:$W$30"),MATCH('All Positional Stats'!$A$107,INDIRECT("'"&amp;$A116&amp;"'!$A$1:$A$30"),0),MATCH('All Positional Stats'!V$106,INDIRECT("'"&amp;$A116&amp;"'!$A$1:$W$1"),0))</f>
        <v>23</v>
      </c>
      <c r="W116" s="1">
        <f t="shared" ca="1" si="315"/>
        <v>3</v>
      </c>
      <c r="X116" s="1">
        <f ca="1">INDEX(INDIRECT("'"&amp;$A116&amp;"'!$A$1:$W$30"),MATCH('All Positional Stats'!$A$107,INDIRECT("'"&amp;$A116&amp;"'!$A$1:$A$30"),0),MATCH('All Positional Stats'!X$106,INDIRECT("'"&amp;$A116&amp;"'!$A$1:$W$1"),0))</f>
        <v>13</v>
      </c>
      <c r="Y116" s="1">
        <f t="shared" ca="1" si="315"/>
        <v>3</v>
      </c>
      <c r="Z116" s="1">
        <f ca="1">INDEX(INDIRECT("'"&amp;$A116&amp;"'!$A$1:$W$30"),MATCH('All Positional Stats'!$A$107,INDIRECT("'"&amp;$A116&amp;"'!$A$1:$A$30"),0),MATCH('All Positional Stats'!Z$106,INDIRECT("'"&amp;$A116&amp;"'!$A$1:$W$1"),0))</f>
        <v>10</v>
      </c>
      <c r="AA116" s="1">
        <f t="shared" ca="1" si="315"/>
        <v>4</v>
      </c>
      <c r="AB116" s="1">
        <f ca="1">INDEX(INDIRECT("'"&amp;$A116&amp;"'!$A$1:$W$30"),MATCH('All Positional Stats'!$A$107,INDIRECT("'"&amp;$A116&amp;"'!$A$1:$A$30"),0),MATCH('All Positional Stats'!AB$106,INDIRECT("'"&amp;$A116&amp;"'!$A$1:$W$1"),0))</f>
        <v>7</v>
      </c>
      <c r="AC116" s="1">
        <f t="shared" ca="1" si="315"/>
        <v>3</v>
      </c>
      <c r="AD116" s="1">
        <f ca="1">INDEX(INDIRECT("'"&amp;$A116&amp;"'!$A$1:$W$30"),MATCH('All Positional Stats'!$A$107,INDIRECT("'"&amp;$A116&amp;"'!$A$1:$A$30"),0),MATCH('All Positional Stats'!AD$106,INDIRECT("'"&amp;$A116&amp;"'!$A$1:$W$1"),0))</f>
        <v>12</v>
      </c>
      <c r="AE116" s="1">
        <f t="shared" ca="1" si="315"/>
        <v>3</v>
      </c>
      <c r="AF116" s="1">
        <f ca="1">INDEX(INDIRECT("'"&amp;$A116&amp;"'!$A$1:$W$30"),MATCH('All Positional Stats'!$A$107,INDIRECT("'"&amp;$A116&amp;"'!$A$1:$A$30"),0),MATCH('All Positional Stats'!AF$106,INDIRECT("'"&amp;$A116&amp;"'!$A$1:$W$1"),0))</f>
        <v>13</v>
      </c>
      <c r="AG116" s="1">
        <f t="shared" ca="1" si="315"/>
        <v>6</v>
      </c>
      <c r="AH116" s="1">
        <f ca="1">INDEX(INDIRECT("'"&amp;$A116&amp;"'!$A$1:$W$30"),MATCH('All Positional Stats'!$A$107,INDIRECT("'"&amp;$A116&amp;"'!$A$1:$A$30"),0),MATCH('All Positional Stats'!AH$106,INDIRECT("'"&amp;$A116&amp;"'!$A$1:$W$1"),0))</f>
        <v>-1</v>
      </c>
      <c r="AI116" s="1">
        <f ca="1">INDEX(INDIRECT("'"&amp;$A116&amp;"'!$A$1:$W$30"),MATCH('All Positional Stats'!$A$107,INDIRECT("'"&amp;$A116&amp;"'!$A$1:$A$30"),0),MATCH('All Positional Stats'!AI$106,INDIRECT("'"&amp;$A116&amp;"'!$A$1:$W$1"),0))</f>
        <v>23</v>
      </c>
      <c r="AJ116" s="7">
        <f ca="1">INDEX(INDIRECT("'"&amp;$A116&amp;"'!$A$1:$W$30"),MATCH('All Positional Stats'!$A$107,INDIRECT("'"&amp;$A116&amp;"'!$A$1:$A$30"),0),MATCH('All Positional Stats'!AJ$106,INDIRECT("'"&amp;$A116&amp;"'!$A$1:$W$1"),0))</f>
        <v>10.6875</v>
      </c>
      <c r="AK116" s="7">
        <f ca="1">INDEX(INDIRECT("'"&amp;$A116&amp;"'!$A$1:$W$30"),MATCH('All Positional Stats'!$A$107,INDIRECT("'"&amp;$A116&amp;"'!$A$1:$A$30"),0),MATCH('All Positional Stats'!AK$106,INDIRECT("'"&amp;$A116&amp;"'!$A$1:$W$1"),0))</f>
        <v>5.7415018723327087</v>
      </c>
      <c r="AL116" s="7">
        <f ca="1">INDEX(INDIRECT("'"&amp;$A116&amp;"'!$A$1:$W$30"),MATCH('All Positional Stats'!$A$107,INDIRECT("'"&amp;$A116&amp;"'!$A$1:$A$30"),0),MATCH('All Positional Stats'!AL$106,INDIRECT("'"&amp;$A116&amp;"'!$A$1:$W$1"),0))</f>
        <v>171</v>
      </c>
      <c r="AM116" s="6">
        <f ca="1">INDEX(INDIRECT("'"&amp;$A116&amp;"'!$A$1:$W$30"),MATCH('All Positional Stats'!$A$107,INDIRECT("'"&amp;$A116&amp;"'!$A$1:$A$30"),0),MATCH('All Positional Stats'!AM$106,INDIRECT("'"&amp;$A116&amp;"'!$A$1:$W$1"),0))</f>
        <v>0.12315448325531148</v>
      </c>
      <c r="AN116" s="9">
        <f t="shared" ca="1" si="313"/>
        <v>139</v>
      </c>
      <c r="AO116" s="8">
        <f t="shared" ca="1" si="314"/>
        <v>3</v>
      </c>
    </row>
    <row r="117" spans="1:41" ht="16.25" thickTop="1" thickBot="1" x14ac:dyDescent="0.9">
      <c r="A117" s="1" t="s">
        <v>10</v>
      </c>
      <c r="B117" s="1">
        <f ca="1">INDEX(INDIRECT("'"&amp;$A117&amp;"'!$A$1:$W$30"),MATCH('All Positional Stats'!$A$107,INDIRECT("'"&amp;$A117&amp;"'!$A$1:$A$30"),0),MATCH('All Positional Stats'!B$106,INDIRECT("'"&amp;$A117&amp;"'!$A$1:$W$1"),0))</f>
        <v>29</v>
      </c>
      <c r="C117" s="1">
        <f t="shared" ca="1" si="312"/>
        <v>1</v>
      </c>
      <c r="D117" s="1">
        <f ca="1">INDEX(INDIRECT("'"&amp;$A117&amp;"'!$A$1:$W$30"),MATCH('All Positional Stats'!$A$107,INDIRECT("'"&amp;$A117&amp;"'!$A$1:$A$30"),0),MATCH('All Positional Stats'!D$106,INDIRECT("'"&amp;$A117&amp;"'!$A$1:$W$1"),0))</f>
        <v>18</v>
      </c>
      <c r="E117" s="1">
        <f t="shared" ca="1" si="315"/>
        <v>1</v>
      </c>
      <c r="F117" s="1">
        <f ca="1">INDEX(INDIRECT("'"&amp;$A117&amp;"'!$A$1:$W$30"),MATCH('All Positional Stats'!$A$107,INDIRECT("'"&amp;$A117&amp;"'!$A$1:$A$30"),0),MATCH('All Positional Stats'!F$106,INDIRECT("'"&amp;$A117&amp;"'!$A$1:$W$1"),0))</f>
        <v>1</v>
      </c>
      <c r="G117" s="1">
        <f t="shared" ca="1" si="315"/>
        <v>9</v>
      </c>
      <c r="H117" s="1">
        <f ca="1">INDEX(INDIRECT("'"&amp;$A117&amp;"'!$A$1:$W$30"),MATCH('All Positional Stats'!$A$107,INDIRECT("'"&amp;$A117&amp;"'!$A$1:$A$30"),0),MATCH('All Positional Stats'!H$106,INDIRECT("'"&amp;$A117&amp;"'!$A$1:$W$1"),0))</f>
        <v>-4</v>
      </c>
      <c r="I117" s="1">
        <f t="shared" ca="1" si="315"/>
        <v>12</v>
      </c>
      <c r="J117" s="1">
        <f ca="1">INDEX(INDIRECT("'"&amp;$A117&amp;"'!$A$1:$W$30"),MATCH('All Positional Stats'!$A$107,INDIRECT("'"&amp;$A117&amp;"'!$A$1:$A$30"),0),MATCH('All Positional Stats'!J$106,INDIRECT("'"&amp;$A117&amp;"'!$A$1:$W$1"),0))</f>
        <v>2</v>
      </c>
      <c r="K117" s="1">
        <f t="shared" ca="1" si="315"/>
        <v>12</v>
      </c>
      <c r="L117" s="1">
        <f ca="1">INDEX(INDIRECT("'"&amp;$A117&amp;"'!$A$1:$W$30"),MATCH('All Positional Stats'!$A$107,INDIRECT("'"&amp;$A117&amp;"'!$A$1:$A$30"),0),MATCH('All Positional Stats'!L$106,INDIRECT("'"&amp;$A117&amp;"'!$A$1:$W$1"),0))</f>
        <v>4</v>
      </c>
      <c r="M117" s="1">
        <f t="shared" ca="1" si="315"/>
        <v>10</v>
      </c>
      <c r="N117" s="1">
        <f ca="1">INDEX(INDIRECT("'"&amp;$A117&amp;"'!$A$1:$W$30"),MATCH('All Positional Stats'!$A$107,INDIRECT("'"&amp;$A117&amp;"'!$A$1:$A$30"),0),MATCH('All Positional Stats'!N$106,INDIRECT("'"&amp;$A117&amp;"'!$A$1:$W$1"),0))</f>
        <v>13</v>
      </c>
      <c r="O117" s="1">
        <f t="shared" ca="1" si="315"/>
        <v>3</v>
      </c>
      <c r="P117" s="1">
        <f ca="1">INDEX(INDIRECT("'"&amp;$A117&amp;"'!$A$1:$W$30"),MATCH('All Positional Stats'!$A$107,INDIRECT("'"&amp;$A117&amp;"'!$A$1:$A$30"),0),MATCH('All Positional Stats'!P$106,INDIRECT("'"&amp;$A117&amp;"'!$A$1:$W$1"),0))</f>
        <v>3</v>
      </c>
      <c r="Q117" s="1">
        <f t="shared" ca="1" si="315"/>
        <v>9</v>
      </c>
      <c r="R117" s="1">
        <f ca="1">INDEX(INDIRECT("'"&amp;$A117&amp;"'!$A$1:$W$30"),MATCH('All Positional Stats'!$A$107,INDIRECT("'"&amp;$A117&amp;"'!$A$1:$A$30"),0),MATCH('All Positional Stats'!R$106,INDIRECT("'"&amp;$A117&amp;"'!$A$1:$W$1"),0))</f>
        <v>6</v>
      </c>
      <c r="S117" s="1">
        <f t="shared" ca="1" si="315"/>
        <v>8</v>
      </c>
      <c r="T117" s="1">
        <f ca="1">INDEX(INDIRECT("'"&amp;$A117&amp;"'!$A$1:$W$30"),MATCH('All Positional Stats'!$A$107,INDIRECT("'"&amp;$A117&amp;"'!$A$1:$A$30"),0),MATCH('All Positional Stats'!T$106,INDIRECT("'"&amp;$A117&amp;"'!$A$1:$W$1"),0))</f>
        <v>11</v>
      </c>
      <c r="U117" s="1">
        <f t="shared" ca="1" si="315"/>
        <v>3</v>
      </c>
      <c r="V117" s="1">
        <f ca="1">INDEX(INDIRECT("'"&amp;$A117&amp;"'!$A$1:$W$30"),MATCH('All Positional Stats'!$A$107,INDIRECT("'"&amp;$A117&amp;"'!$A$1:$A$30"),0),MATCH('All Positional Stats'!V$106,INDIRECT("'"&amp;$A117&amp;"'!$A$1:$W$1"),0))</f>
        <v>8</v>
      </c>
      <c r="W117" s="1">
        <f t="shared" ca="1" si="315"/>
        <v>7</v>
      </c>
      <c r="X117" s="1">
        <f ca="1">INDEX(INDIRECT("'"&amp;$A117&amp;"'!$A$1:$W$30"),MATCH('All Positional Stats'!$A$107,INDIRECT("'"&amp;$A117&amp;"'!$A$1:$A$30"),0),MATCH('All Positional Stats'!X$106,INDIRECT("'"&amp;$A117&amp;"'!$A$1:$W$1"),0))</f>
        <v>2</v>
      </c>
      <c r="Y117" s="1">
        <f t="shared" ca="1" si="315"/>
        <v>10</v>
      </c>
      <c r="Z117" s="1">
        <f ca="1">INDEX(INDIRECT("'"&amp;$A117&amp;"'!$A$1:$W$30"),MATCH('All Positional Stats'!$A$107,INDIRECT("'"&amp;$A117&amp;"'!$A$1:$A$30"),0),MATCH('All Positional Stats'!Z$106,INDIRECT("'"&amp;$A117&amp;"'!$A$1:$W$1"),0))</f>
        <v>-4</v>
      </c>
      <c r="AA117" s="1">
        <f t="shared" ca="1" si="315"/>
        <v>12</v>
      </c>
      <c r="AB117" s="1">
        <f ca="1">INDEX(INDIRECT("'"&amp;$A117&amp;"'!$A$1:$W$30"),MATCH('All Positional Stats'!$A$107,INDIRECT("'"&amp;$A117&amp;"'!$A$1:$A$30"),0),MATCH('All Positional Stats'!AB$106,INDIRECT("'"&amp;$A117&amp;"'!$A$1:$W$1"),0))</f>
        <v>10</v>
      </c>
      <c r="AC117" s="1">
        <f t="shared" ca="1" si="315"/>
        <v>2</v>
      </c>
      <c r="AD117" s="1">
        <f ca="1">INDEX(INDIRECT("'"&amp;$A117&amp;"'!$A$1:$W$30"),MATCH('All Positional Stats'!$A$107,INDIRECT("'"&amp;$A117&amp;"'!$A$1:$A$30"),0),MATCH('All Positional Stats'!AD$106,INDIRECT("'"&amp;$A117&amp;"'!$A$1:$W$1"),0))</f>
        <v>6</v>
      </c>
      <c r="AE117" s="1">
        <f t="shared" ca="1" si="315"/>
        <v>7</v>
      </c>
      <c r="AF117" s="1">
        <f ca="1">INDEX(INDIRECT("'"&amp;$A117&amp;"'!$A$1:$W$30"),MATCH('All Positional Stats'!$A$107,INDIRECT("'"&amp;$A117&amp;"'!$A$1:$A$30"),0),MATCH('All Positional Stats'!AF$106,INDIRECT("'"&amp;$A117&amp;"'!$A$1:$W$1"),0))</f>
        <v>14</v>
      </c>
      <c r="AG117" s="1">
        <f t="shared" ca="1" si="315"/>
        <v>5</v>
      </c>
      <c r="AH117" s="1">
        <f ca="1">INDEX(INDIRECT("'"&amp;$A117&amp;"'!$A$1:$W$30"),MATCH('All Positional Stats'!$A$107,INDIRECT("'"&amp;$A117&amp;"'!$A$1:$A$30"),0),MATCH('All Positional Stats'!AH$106,INDIRECT("'"&amp;$A117&amp;"'!$A$1:$W$1"),0))</f>
        <v>-4</v>
      </c>
      <c r="AI117" s="1">
        <f ca="1">INDEX(INDIRECT("'"&amp;$A117&amp;"'!$A$1:$W$30"),MATCH('All Positional Stats'!$A$107,INDIRECT("'"&amp;$A117&amp;"'!$A$1:$A$30"),0),MATCH('All Positional Stats'!AI$106,INDIRECT("'"&amp;$A117&amp;"'!$A$1:$W$1"),0))</f>
        <v>29</v>
      </c>
      <c r="AJ117" s="7">
        <f ca="1">INDEX(INDIRECT("'"&amp;$A117&amp;"'!$A$1:$W$30"),MATCH('All Positional Stats'!$A$107,INDIRECT("'"&amp;$A117&amp;"'!$A$1:$A$30"),0),MATCH('All Positional Stats'!AJ$106,INDIRECT("'"&amp;$A117&amp;"'!$A$1:$W$1"),0))</f>
        <v>7.4375</v>
      </c>
      <c r="AK117" s="7">
        <f ca="1">INDEX(INDIRECT("'"&amp;$A117&amp;"'!$A$1:$W$30"),MATCH('All Positional Stats'!$A$107,INDIRECT("'"&amp;$A117&amp;"'!$A$1:$A$30"),0),MATCH('All Positional Stats'!AK$106,INDIRECT("'"&amp;$A117&amp;"'!$A$1:$W$1"),0))</f>
        <v>8.1698282570688114</v>
      </c>
      <c r="AL117" s="7">
        <f ca="1">INDEX(INDIRECT("'"&amp;$A117&amp;"'!$A$1:$W$30"),MATCH('All Positional Stats'!$A$107,INDIRECT("'"&amp;$A117&amp;"'!$A$1:$A$30"),0),MATCH('All Positional Stats'!AL$106,INDIRECT("'"&amp;$A117&amp;"'!$A$1:$W$1"),0))</f>
        <v>119</v>
      </c>
      <c r="AM117" s="6">
        <f ca="1">INDEX(INDIRECT("'"&amp;$A117&amp;"'!$A$1:$W$30"),MATCH('All Positional Stats'!$A$107,INDIRECT("'"&amp;$A117&amp;"'!$A$1:$A$30"),0),MATCH('All Positional Stats'!AM$106,INDIRECT("'"&amp;$A117&amp;"'!$A$1:$W$1"),0))</f>
        <v>7.9641279614509439E-2</v>
      </c>
      <c r="AN117" s="9">
        <f t="shared" ca="1" si="313"/>
        <v>89</v>
      </c>
      <c r="AO117" s="8">
        <f t="shared" ca="1" si="314"/>
        <v>9</v>
      </c>
    </row>
    <row r="118" spans="1:41" ht="16.25" thickTop="1" thickBot="1" x14ac:dyDescent="0.9">
      <c r="A118" s="1" t="s">
        <v>11</v>
      </c>
      <c r="B118" s="1">
        <f ca="1">INDEX(INDIRECT("'"&amp;$A118&amp;"'!$A$1:$W$30"),MATCH('All Positional Stats'!$A$107,INDIRECT("'"&amp;$A118&amp;"'!$A$1:$A$30"),0),MATCH('All Positional Stats'!B$106,INDIRECT("'"&amp;$A118&amp;"'!$A$1:$W$1"),0))</f>
        <v>8</v>
      </c>
      <c r="C118" s="1">
        <f t="shared" ca="1" si="312"/>
        <v>7</v>
      </c>
      <c r="D118" s="1">
        <f ca="1">INDEX(INDIRECT("'"&amp;$A118&amp;"'!$A$1:$W$30"),MATCH('All Positional Stats'!$A$107,INDIRECT("'"&amp;$A118&amp;"'!$A$1:$A$30"),0),MATCH('All Positional Stats'!D$106,INDIRECT("'"&amp;$A118&amp;"'!$A$1:$W$1"),0))</f>
        <v>2</v>
      </c>
      <c r="E118" s="1">
        <f t="shared" ca="1" si="315"/>
        <v>10</v>
      </c>
      <c r="F118" s="1">
        <f ca="1">INDEX(INDIRECT("'"&amp;$A118&amp;"'!$A$1:$W$30"),MATCH('All Positional Stats'!$A$107,INDIRECT("'"&amp;$A118&amp;"'!$A$1:$A$30"),0),MATCH('All Positional Stats'!F$106,INDIRECT("'"&amp;$A118&amp;"'!$A$1:$W$1"),0))</f>
        <v>2</v>
      </c>
      <c r="G118" s="1">
        <f t="shared" ca="1" si="315"/>
        <v>8</v>
      </c>
      <c r="H118" s="1">
        <f ca="1">INDEX(INDIRECT("'"&amp;$A118&amp;"'!$A$1:$W$30"),MATCH('All Positional Stats'!$A$107,INDIRECT("'"&amp;$A118&amp;"'!$A$1:$A$30"),0),MATCH('All Positional Stats'!H$106,INDIRECT("'"&amp;$A118&amp;"'!$A$1:$W$1"),0))</f>
        <v>-2</v>
      </c>
      <c r="I118" s="1">
        <f t="shared" ca="1" si="315"/>
        <v>11</v>
      </c>
      <c r="J118" s="1">
        <f ca="1">INDEX(INDIRECT("'"&amp;$A118&amp;"'!$A$1:$W$30"),MATCH('All Positional Stats'!$A$107,INDIRECT("'"&amp;$A118&amp;"'!$A$1:$A$30"),0),MATCH('All Positional Stats'!J$106,INDIRECT("'"&amp;$A118&amp;"'!$A$1:$W$1"),0))</f>
        <v>3</v>
      </c>
      <c r="K118" s="1">
        <f t="shared" ca="1" si="315"/>
        <v>11</v>
      </c>
      <c r="L118" s="1">
        <f ca="1">INDEX(INDIRECT("'"&amp;$A118&amp;"'!$A$1:$W$30"),MATCH('All Positional Stats'!$A$107,INDIRECT("'"&amp;$A118&amp;"'!$A$1:$A$30"),0),MATCH('All Positional Stats'!L$106,INDIRECT("'"&amp;$A118&amp;"'!$A$1:$W$1"),0))</f>
        <v>4</v>
      </c>
      <c r="M118" s="1">
        <f t="shared" ca="1" si="315"/>
        <v>10</v>
      </c>
      <c r="N118" s="1">
        <f ca="1">INDEX(INDIRECT("'"&amp;$A118&amp;"'!$A$1:$W$30"),MATCH('All Positional Stats'!$A$107,INDIRECT("'"&amp;$A118&amp;"'!$A$1:$A$30"),0),MATCH('All Positional Stats'!N$106,INDIRECT("'"&amp;$A118&amp;"'!$A$1:$W$1"),0))</f>
        <v>6</v>
      </c>
      <c r="O118" s="1">
        <f t="shared" ca="1" si="315"/>
        <v>9</v>
      </c>
      <c r="P118" s="1">
        <f ca="1">INDEX(INDIRECT("'"&amp;$A118&amp;"'!$A$1:$W$30"),MATCH('All Positional Stats'!$A$107,INDIRECT("'"&amp;$A118&amp;"'!$A$1:$A$30"),0),MATCH('All Positional Stats'!P$106,INDIRECT("'"&amp;$A118&amp;"'!$A$1:$W$1"),0))</f>
        <v>7</v>
      </c>
      <c r="Q118" s="1">
        <f t="shared" ca="1" si="315"/>
        <v>7</v>
      </c>
      <c r="R118" s="1">
        <f ca="1">INDEX(INDIRECT("'"&amp;$A118&amp;"'!$A$1:$W$30"),MATCH('All Positional Stats'!$A$107,INDIRECT("'"&amp;$A118&amp;"'!$A$1:$A$30"),0),MATCH('All Positional Stats'!R$106,INDIRECT("'"&amp;$A118&amp;"'!$A$1:$W$1"),0))</f>
        <v>19</v>
      </c>
      <c r="S118" s="1">
        <f t="shared" ca="1" si="315"/>
        <v>1</v>
      </c>
      <c r="T118" s="1">
        <f ca="1">INDEX(INDIRECT("'"&amp;$A118&amp;"'!$A$1:$W$30"),MATCH('All Positional Stats'!$A$107,INDIRECT("'"&amp;$A118&amp;"'!$A$1:$A$30"),0),MATCH('All Positional Stats'!T$106,INDIRECT("'"&amp;$A118&amp;"'!$A$1:$W$1"),0))</f>
        <v>10</v>
      </c>
      <c r="U118" s="1">
        <f t="shared" ca="1" si="315"/>
        <v>5</v>
      </c>
      <c r="V118" s="1">
        <f ca="1">INDEX(INDIRECT("'"&amp;$A118&amp;"'!$A$1:$W$30"),MATCH('All Positional Stats'!$A$107,INDIRECT("'"&amp;$A118&amp;"'!$A$1:$A$30"),0),MATCH('All Positional Stats'!V$106,INDIRECT("'"&amp;$A118&amp;"'!$A$1:$W$1"),0))</f>
        <v>24</v>
      </c>
      <c r="W118" s="1">
        <f t="shared" ca="1" si="315"/>
        <v>2</v>
      </c>
      <c r="X118" s="1">
        <f ca="1">INDEX(INDIRECT("'"&amp;$A118&amp;"'!$A$1:$W$30"),MATCH('All Positional Stats'!$A$107,INDIRECT("'"&amp;$A118&amp;"'!$A$1:$A$30"),0),MATCH('All Positional Stats'!X$106,INDIRECT("'"&amp;$A118&amp;"'!$A$1:$W$1"),0))</f>
        <v>18</v>
      </c>
      <c r="Y118" s="1">
        <f t="shared" ca="1" si="315"/>
        <v>1</v>
      </c>
      <c r="Z118" s="1">
        <f ca="1">INDEX(INDIRECT("'"&amp;$A118&amp;"'!$A$1:$W$30"),MATCH('All Positional Stats'!$A$107,INDIRECT("'"&amp;$A118&amp;"'!$A$1:$A$30"),0),MATCH('All Positional Stats'!Z$106,INDIRECT("'"&amp;$A118&amp;"'!$A$1:$W$1"),0))</f>
        <v>12</v>
      </c>
      <c r="AA118" s="1">
        <f t="shared" ca="1" si="315"/>
        <v>3</v>
      </c>
      <c r="AB118" s="1">
        <f ca="1">INDEX(INDIRECT("'"&amp;$A118&amp;"'!$A$1:$W$30"),MATCH('All Positional Stats'!$A$107,INDIRECT("'"&amp;$A118&amp;"'!$A$1:$A$30"),0),MATCH('All Positional Stats'!AB$106,INDIRECT("'"&amp;$A118&amp;"'!$A$1:$W$1"),0))</f>
        <v>1</v>
      </c>
      <c r="AC118" s="1">
        <f t="shared" ca="1" si="315"/>
        <v>7</v>
      </c>
      <c r="AD118" s="1">
        <f ca="1">INDEX(INDIRECT("'"&amp;$A118&amp;"'!$A$1:$W$30"),MATCH('All Positional Stats'!$A$107,INDIRECT("'"&amp;$A118&amp;"'!$A$1:$A$30"),0),MATCH('All Positional Stats'!AD$106,INDIRECT("'"&amp;$A118&amp;"'!$A$1:$W$1"),0))</f>
        <v>7</v>
      </c>
      <c r="AE118" s="1">
        <f t="shared" ca="1" si="315"/>
        <v>6</v>
      </c>
      <c r="AF118" s="1">
        <f ca="1">INDEX(INDIRECT("'"&amp;$A118&amp;"'!$A$1:$W$30"),MATCH('All Positional Stats'!$A$107,INDIRECT("'"&amp;$A118&amp;"'!$A$1:$A$30"),0),MATCH('All Positional Stats'!AF$106,INDIRECT("'"&amp;$A118&amp;"'!$A$1:$W$1"),0))</f>
        <v>7</v>
      </c>
      <c r="AG118" s="1">
        <f t="shared" ca="1" si="315"/>
        <v>9</v>
      </c>
      <c r="AH118" s="1">
        <f ca="1">INDEX(INDIRECT("'"&amp;$A118&amp;"'!$A$1:$W$30"),MATCH('All Positional Stats'!$A$107,INDIRECT("'"&amp;$A118&amp;"'!$A$1:$A$30"),0),MATCH('All Positional Stats'!AH$106,INDIRECT("'"&amp;$A118&amp;"'!$A$1:$W$1"),0))</f>
        <v>-2</v>
      </c>
      <c r="AI118" s="1">
        <f ca="1">INDEX(INDIRECT("'"&amp;$A118&amp;"'!$A$1:$W$30"),MATCH('All Positional Stats'!$A$107,INDIRECT("'"&amp;$A118&amp;"'!$A$1:$A$30"),0),MATCH('All Positional Stats'!AI$106,INDIRECT("'"&amp;$A118&amp;"'!$A$1:$W$1"),0))</f>
        <v>24</v>
      </c>
      <c r="AJ118" s="7">
        <f ca="1">INDEX(INDIRECT("'"&amp;$A118&amp;"'!$A$1:$W$30"),MATCH('All Positional Stats'!$A$107,INDIRECT("'"&amp;$A118&amp;"'!$A$1:$A$30"),0),MATCH('All Positional Stats'!AJ$106,INDIRECT("'"&amp;$A118&amp;"'!$A$1:$W$1"),0))</f>
        <v>8</v>
      </c>
      <c r="AK118" s="7">
        <f ca="1">INDEX(INDIRECT("'"&amp;$A118&amp;"'!$A$1:$W$30"),MATCH('All Positional Stats'!$A$107,INDIRECT("'"&amp;$A118&amp;"'!$A$1:$A$30"),0),MATCH('All Positional Stats'!AK$106,INDIRECT("'"&amp;$A118&amp;"'!$A$1:$W$1"),0))</f>
        <v>6.9191762515490236</v>
      </c>
      <c r="AL118" s="7">
        <f ca="1">INDEX(INDIRECT("'"&amp;$A118&amp;"'!$A$1:$W$30"),MATCH('All Positional Stats'!$A$107,INDIRECT("'"&amp;$A118&amp;"'!$A$1:$A$30"),0),MATCH('All Positional Stats'!AL$106,INDIRECT("'"&amp;$A118&amp;"'!$A$1:$W$1"),0))</f>
        <v>128</v>
      </c>
      <c r="AM118" s="6">
        <f ca="1">INDEX(INDIRECT("'"&amp;$A118&amp;"'!$A$1:$W$30"),MATCH('All Positional Stats'!$A$107,INDIRECT("'"&amp;$A118&amp;"'!$A$1:$A$30"),0),MATCH('All Positional Stats'!AM$106,INDIRECT("'"&amp;$A118&amp;"'!$A$1:$W$1"),0))</f>
        <v>7.5739644970414202E-2</v>
      </c>
      <c r="AN118" s="9">
        <f t="shared" ca="1" si="313"/>
        <v>113</v>
      </c>
      <c r="AO118" s="8">
        <f t="shared" ca="1" si="314"/>
        <v>5</v>
      </c>
    </row>
    <row r="119" spans="1:41" ht="16.25" thickTop="1" thickBot="1" x14ac:dyDescent="0.9">
      <c r="A119" s="1" t="s">
        <v>12</v>
      </c>
      <c r="B119" s="1">
        <f ca="1">INDEX(INDIRECT("'"&amp;$A119&amp;"'!$A$1:$W$30"),MATCH('All Positional Stats'!$A$107,INDIRECT("'"&amp;$A119&amp;"'!$A$1:$A$30"),0),MATCH('All Positional Stats'!B$106,INDIRECT("'"&amp;$A119&amp;"'!$A$1:$W$1"),0))</f>
        <v>6</v>
      </c>
      <c r="C119" s="1">
        <f t="shared" ca="1" si="312"/>
        <v>9</v>
      </c>
      <c r="D119" s="1">
        <f ca="1">INDEX(INDIRECT("'"&amp;$A119&amp;"'!$A$1:$W$30"),MATCH('All Positional Stats'!$A$107,INDIRECT("'"&amp;$A119&amp;"'!$A$1:$A$30"),0),MATCH('All Positional Stats'!D$106,INDIRECT("'"&amp;$A119&amp;"'!$A$1:$W$1"),0))</f>
        <v>9</v>
      </c>
      <c r="E119" s="1">
        <f t="shared" ca="1" si="315"/>
        <v>7</v>
      </c>
      <c r="F119" s="1">
        <f ca="1">INDEX(INDIRECT("'"&amp;$A119&amp;"'!$A$1:$W$30"),MATCH('All Positional Stats'!$A$107,INDIRECT("'"&amp;$A119&amp;"'!$A$1:$A$30"),0),MATCH('All Positional Stats'!F$106,INDIRECT("'"&amp;$A119&amp;"'!$A$1:$W$1"),0))</f>
        <v>-4</v>
      </c>
      <c r="G119" s="1">
        <f t="shared" ca="1" si="315"/>
        <v>11</v>
      </c>
      <c r="H119" s="1">
        <f ca="1">INDEX(INDIRECT("'"&amp;$A119&amp;"'!$A$1:$W$30"),MATCH('All Positional Stats'!$A$107,INDIRECT("'"&amp;$A119&amp;"'!$A$1:$A$30"),0),MATCH('All Positional Stats'!H$106,INDIRECT("'"&amp;$A119&amp;"'!$A$1:$W$1"),0))</f>
        <v>22</v>
      </c>
      <c r="I119" s="1">
        <f t="shared" ca="1" si="315"/>
        <v>1</v>
      </c>
      <c r="J119" s="1">
        <f ca="1">INDEX(INDIRECT("'"&amp;$A119&amp;"'!$A$1:$W$30"),MATCH('All Positional Stats'!$A$107,INDIRECT("'"&amp;$A119&amp;"'!$A$1:$A$30"),0),MATCH('All Positional Stats'!J$106,INDIRECT("'"&amp;$A119&amp;"'!$A$1:$W$1"),0))</f>
        <v>12</v>
      </c>
      <c r="K119" s="1">
        <f t="shared" ca="1" si="315"/>
        <v>3</v>
      </c>
      <c r="L119" s="1">
        <f ca="1">INDEX(INDIRECT("'"&amp;$A119&amp;"'!$A$1:$W$30"),MATCH('All Positional Stats'!$A$107,INDIRECT("'"&amp;$A119&amp;"'!$A$1:$A$30"),0),MATCH('All Positional Stats'!L$106,INDIRECT("'"&amp;$A119&amp;"'!$A$1:$W$1"),0))</f>
        <v>9</v>
      </c>
      <c r="M119" s="1">
        <f t="shared" ca="1" si="315"/>
        <v>6</v>
      </c>
      <c r="N119" s="1">
        <f ca="1">INDEX(INDIRECT("'"&amp;$A119&amp;"'!$A$1:$W$30"),MATCH('All Positional Stats'!$A$107,INDIRECT("'"&amp;$A119&amp;"'!$A$1:$A$30"),0),MATCH('All Positional Stats'!N$106,INDIRECT("'"&amp;$A119&amp;"'!$A$1:$W$1"),0))</f>
        <v>9</v>
      </c>
      <c r="O119" s="1">
        <f t="shared" ca="1" si="315"/>
        <v>6</v>
      </c>
      <c r="P119" s="1">
        <f ca="1">INDEX(INDIRECT("'"&amp;$A119&amp;"'!$A$1:$W$30"),MATCH('All Positional Stats'!$A$107,INDIRECT("'"&amp;$A119&amp;"'!$A$1:$A$30"),0),MATCH('All Positional Stats'!P$106,INDIRECT("'"&amp;$A119&amp;"'!$A$1:$W$1"),0))</f>
        <v>8</v>
      </c>
      <c r="Q119" s="1">
        <f t="shared" ca="1" si="315"/>
        <v>6</v>
      </c>
      <c r="R119" s="1">
        <f ca="1">INDEX(INDIRECT("'"&amp;$A119&amp;"'!$A$1:$W$30"),MATCH('All Positional Stats'!$A$107,INDIRECT("'"&amp;$A119&amp;"'!$A$1:$A$30"),0),MATCH('All Positional Stats'!R$106,INDIRECT("'"&amp;$A119&amp;"'!$A$1:$W$1"),0))</f>
        <v>13</v>
      </c>
      <c r="S119" s="1">
        <f t="shared" ca="1" si="315"/>
        <v>3</v>
      </c>
      <c r="T119" s="1">
        <f ca="1">INDEX(INDIRECT("'"&amp;$A119&amp;"'!$A$1:$W$30"),MATCH('All Positional Stats'!$A$107,INDIRECT("'"&amp;$A119&amp;"'!$A$1:$A$30"),0),MATCH('All Positional Stats'!T$106,INDIRECT("'"&amp;$A119&amp;"'!$A$1:$W$1"),0))</f>
        <v>11</v>
      </c>
      <c r="U119" s="1">
        <f t="shared" ca="1" si="315"/>
        <v>3</v>
      </c>
      <c r="V119" s="1">
        <f ca="1">INDEX(INDIRECT("'"&amp;$A119&amp;"'!$A$1:$W$30"),MATCH('All Positional Stats'!$A$107,INDIRECT("'"&amp;$A119&amp;"'!$A$1:$A$30"),0),MATCH('All Positional Stats'!V$106,INDIRECT("'"&amp;$A119&amp;"'!$A$1:$W$1"),0))</f>
        <v>4</v>
      </c>
      <c r="W119" s="1">
        <f t="shared" ca="1" si="315"/>
        <v>11</v>
      </c>
      <c r="X119" s="1">
        <f ca="1">INDEX(INDIRECT("'"&amp;$A119&amp;"'!$A$1:$W$30"),MATCH('All Positional Stats'!$A$107,INDIRECT("'"&amp;$A119&amp;"'!$A$1:$A$30"),0),MATCH('All Positional Stats'!X$106,INDIRECT("'"&amp;$A119&amp;"'!$A$1:$W$1"),0))</f>
        <v>10</v>
      </c>
      <c r="Y119" s="1">
        <f t="shared" ca="1" si="315"/>
        <v>5</v>
      </c>
      <c r="Z119" s="1">
        <f ca="1">INDEX(INDIRECT("'"&amp;$A119&amp;"'!$A$1:$W$30"),MATCH('All Positional Stats'!$A$107,INDIRECT("'"&amp;$A119&amp;"'!$A$1:$A$30"),0),MATCH('All Positional Stats'!Z$106,INDIRECT("'"&amp;$A119&amp;"'!$A$1:$W$1"),0))</f>
        <v>5</v>
      </c>
      <c r="AA119" s="1">
        <f t="shared" ca="1" si="315"/>
        <v>7</v>
      </c>
      <c r="AB119" s="1">
        <f ca="1">INDEX(INDIRECT("'"&amp;$A119&amp;"'!$A$1:$W$30"),MATCH('All Positional Stats'!$A$107,INDIRECT("'"&amp;$A119&amp;"'!$A$1:$A$30"),0),MATCH('All Positional Stats'!AB$106,INDIRECT("'"&amp;$A119&amp;"'!$A$1:$W$1"),0))</f>
        <v>-2</v>
      </c>
      <c r="AC119" s="1">
        <f t="shared" ca="1" si="315"/>
        <v>9</v>
      </c>
      <c r="AD119" s="1">
        <f ca="1">INDEX(INDIRECT("'"&amp;$A119&amp;"'!$A$1:$W$30"),MATCH('All Positional Stats'!$A$107,INDIRECT("'"&amp;$A119&amp;"'!$A$1:$A$30"),0),MATCH('All Positional Stats'!AD$106,INDIRECT("'"&amp;$A119&amp;"'!$A$1:$W$1"),0))</f>
        <v>0</v>
      </c>
      <c r="AE119" s="1">
        <f t="shared" ca="1" si="315"/>
        <v>10</v>
      </c>
      <c r="AF119" s="1">
        <f ca="1">INDEX(INDIRECT("'"&amp;$A119&amp;"'!$A$1:$W$30"),MATCH('All Positional Stats'!$A$107,INDIRECT("'"&amp;$A119&amp;"'!$A$1:$A$30"),0),MATCH('All Positional Stats'!AF$106,INDIRECT("'"&amp;$A119&amp;"'!$A$1:$W$1"),0))</f>
        <v>21</v>
      </c>
      <c r="AG119" s="1">
        <f t="shared" ca="1" si="315"/>
        <v>2</v>
      </c>
      <c r="AH119" s="1">
        <f ca="1">INDEX(INDIRECT("'"&amp;$A119&amp;"'!$A$1:$W$30"),MATCH('All Positional Stats'!$A$107,INDIRECT("'"&amp;$A119&amp;"'!$A$1:$A$30"),0),MATCH('All Positional Stats'!AH$106,INDIRECT("'"&amp;$A119&amp;"'!$A$1:$W$1"),0))</f>
        <v>-4</v>
      </c>
      <c r="AI119" s="1">
        <f ca="1">INDEX(INDIRECT("'"&amp;$A119&amp;"'!$A$1:$W$30"),MATCH('All Positional Stats'!$A$107,INDIRECT("'"&amp;$A119&amp;"'!$A$1:$A$30"),0),MATCH('All Positional Stats'!AI$106,INDIRECT("'"&amp;$A119&amp;"'!$A$1:$W$1"),0))</f>
        <v>22</v>
      </c>
      <c r="AJ119" s="7">
        <f ca="1">INDEX(INDIRECT("'"&amp;$A119&amp;"'!$A$1:$W$30"),MATCH('All Positional Stats'!$A$107,INDIRECT("'"&amp;$A119&amp;"'!$A$1:$A$30"),0),MATCH('All Positional Stats'!AJ$106,INDIRECT("'"&amp;$A119&amp;"'!$A$1:$W$1"),0))</f>
        <v>8.3125</v>
      </c>
      <c r="AK119" s="7">
        <f ca="1">INDEX(INDIRECT("'"&amp;$A119&amp;"'!$A$1:$W$30"),MATCH('All Positional Stats'!$A$107,INDIRECT("'"&amp;$A119&amp;"'!$A$1:$A$30"),0),MATCH('All Positional Stats'!AK$106,INDIRECT("'"&amp;$A119&amp;"'!$A$1:$W$1"),0))</f>
        <v>6.8803956099922043</v>
      </c>
      <c r="AL119" s="7">
        <f ca="1">INDEX(INDIRECT("'"&amp;$A119&amp;"'!$A$1:$W$30"),MATCH('All Positional Stats'!$A$107,INDIRECT("'"&amp;$A119&amp;"'!$A$1:$A$30"),0),MATCH('All Positional Stats'!AL$106,INDIRECT("'"&amp;$A119&amp;"'!$A$1:$W$1"),0))</f>
        <v>133</v>
      </c>
      <c r="AM119" s="6">
        <f ca="1">INDEX(INDIRECT("'"&amp;$A119&amp;"'!$A$1:$W$30"),MATCH('All Positional Stats'!$A$107,INDIRECT("'"&amp;$A119&amp;"'!$A$1:$A$30"),0),MATCH('All Positional Stats'!AM$106,INDIRECT("'"&amp;$A119&amp;"'!$A$1:$W$1"),0))</f>
        <v>9.5149520675346988E-2</v>
      </c>
      <c r="AN119" s="9">
        <f t="shared" ca="1" si="313"/>
        <v>114</v>
      </c>
      <c r="AO119" s="8">
        <f t="shared" ca="1" si="314"/>
        <v>4</v>
      </c>
    </row>
    <row r="120" spans="1:41" ht="15.5" thickTop="1" x14ac:dyDescent="0.75"/>
  </sheetData>
  <mergeCells count="192">
    <mergeCell ref="AH106:AH107"/>
    <mergeCell ref="AI106:AI107"/>
    <mergeCell ref="AJ106:AJ107"/>
    <mergeCell ref="AK106:AK107"/>
    <mergeCell ref="AL106:AL107"/>
    <mergeCell ref="AM106:AM107"/>
    <mergeCell ref="AN106:AN107"/>
    <mergeCell ref="AO106:AO107"/>
    <mergeCell ref="AH76:AH77"/>
    <mergeCell ref="AI76:AI77"/>
    <mergeCell ref="AJ76:AJ77"/>
    <mergeCell ref="AK76:AK77"/>
    <mergeCell ref="AL76:AL77"/>
    <mergeCell ref="AM76:AM77"/>
    <mergeCell ref="AN76:AN77"/>
    <mergeCell ref="AO76:AO77"/>
    <mergeCell ref="AH91:AH92"/>
    <mergeCell ref="AI91:AI92"/>
    <mergeCell ref="AJ91:AJ92"/>
    <mergeCell ref="AK91:AK92"/>
    <mergeCell ref="AL91:AL92"/>
    <mergeCell ref="AM91:AM92"/>
    <mergeCell ref="AN91:AN92"/>
    <mergeCell ref="AO91:AO92"/>
    <mergeCell ref="AH46:AH47"/>
    <mergeCell ref="AI46:AI47"/>
    <mergeCell ref="AJ46:AJ47"/>
    <mergeCell ref="AK46:AK47"/>
    <mergeCell ref="AL46:AL47"/>
    <mergeCell ref="AM46:AM47"/>
    <mergeCell ref="AN46:AN47"/>
    <mergeCell ref="AO46:AO47"/>
    <mergeCell ref="AH61:AH62"/>
    <mergeCell ref="AI61:AI62"/>
    <mergeCell ref="AJ61:AJ62"/>
    <mergeCell ref="AK61:AK62"/>
    <mergeCell ref="AL61:AL62"/>
    <mergeCell ref="AM61:AM62"/>
    <mergeCell ref="AN61:AN62"/>
    <mergeCell ref="AO61:AO62"/>
    <mergeCell ref="AH16:AH17"/>
    <mergeCell ref="AI16:AI17"/>
    <mergeCell ref="AJ16:AJ17"/>
    <mergeCell ref="AK16:AK17"/>
    <mergeCell ref="AL16:AL17"/>
    <mergeCell ref="AM16:AM17"/>
    <mergeCell ref="AN16:AN17"/>
    <mergeCell ref="AO16:AO17"/>
    <mergeCell ref="AH31:AH32"/>
    <mergeCell ref="AI31:AI32"/>
    <mergeCell ref="AJ31:AJ32"/>
    <mergeCell ref="AK31:AK32"/>
    <mergeCell ref="AL31:AL32"/>
    <mergeCell ref="AM31:AM32"/>
    <mergeCell ref="AN31:AN32"/>
    <mergeCell ref="AO31:AO32"/>
    <mergeCell ref="AD1:AE1"/>
    <mergeCell ref="AF1:AG1"/>
    <mergeCell ref="AO1:AO2"/>
    <mergeCell ref="AN1:AN2"/>
    <mergeCell ref="AM1:AM2"/>
    <mergeCell ref="AL1:AL2"/>
    <mergeCell ref="AK1:AK2"/>
    <mergeCell ref="AJ1:AJ2"/>
    <mergeCell ref="AI1:AI2"/>
    <mergeCell ref="AH1:AH2"/>
    <mergeCell ref="L1:M1"/>
    <mergeCell ref="N1:O1"/>
    <mergeCell ref="P1:Q1"/>
    <mergeCell ref="R1:S1"/>
    <mergeCell ref="T1:U1"/>
    <mergeCell ref="V1:W1"/>
    <mergeCell ref="X1:Y1"/>
    <mergeCell ref="Z1:AA1"/>
    <mergeCell ref="AB1:AC1"/>
    <mergeCell ref="B1:C1"/>
    <mergeCell ref="D1:E1"/>
    <mergeCell ref="F1:G1"/>
    <mergeCell ref="H1:I1"/>
    <mergeCell ref="J1:K1"/>
    <mergeCell ref="R16:S16"/>
    <mergeCell ref="AF16:AG16"/>
    <mergeCell ref="B31:C31"/>
    <mergeCell ref="D31:E31"/>
    <mergeCell ref="F31:G31"/>
    <mergeCell ref="H31:I31"/>
    <mergeCell ref="J31:K31"/>
    <mergeCell ref="L31:M31"/>
    <mergeCell ref="N31:O31"/>
    <mergeCell ref="P31:Q31"/>
    <mergeCell ref="R31:S31"/>
    <mergeCell ref="T16:U16"/>
    <mergeCell ref="V16:W16"/>
    <mergeCell ref="X16:Y16"/>
    <mergeCell ref="Z16:AA16"/>
    <mergeCell ref="AB16:AC16"/>
    <mergeCell ref="AD16:AE16"/>
    <mergeCell ref="B16:C16"/>
    <mergeCell ref="D16:E16"/>
    <mergeCell ref="F16:G16"/>
    <mergeCell ref="H16:I16"/>
    <mergeCell ref="J16:K16"/>
    <mergeCell ref="L16:M16"/>
    <mergeCell ref="N16:O16"/>
    <mergeCell ref="P16:Q16"/>
    <mergeCell ref="AF31:AG31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31:U31"/>
    <mergeCell ref="V31:W31"/>
    <mergeCell ref="X31:Y31"/>
    <mergeCell ref="Z31:AA31"/>
    <mergeCell ref="AB31:AC31"/>
    <mergeCell ref="AD31:AE31"/>
    <mergeCell ref="AF46:AG46"/>
    <mergeCell ref="T46:U46"/>
    <mergeCell ref="B61:C61"/>
    <mergeCell ref="D61:E61"/>
    <mergeCell ref="F61:G61"/>
    <mergeCell ref="H61:I61"/>
    <mergeCell ref="J61:K61"/>
    <mergeCell ref="L61:M61"/>
    <mergeCell ref="N61:O61"/>
    <mergeCell ref="P61:Q61"/>
    <mergeCell ref="R61:S61"/>
    <mergeCell ref="V46:W46"/>
    <mergeCell ref="X46:Y46"/>
    <mergeCell ref="Z46:AA46"/>
    <mergeCell ref="AB46:AC46"/>
    <mergeCell ref="AD46:AE46"/>
    <mergeCell ref="AF61:AG61"/>
    <mergeCell ref="B76:C76"/>
    <mergeCell ref="D76:E76"/>
    <mergeCell ref="F76:G76"/>
    <mergeCell ref="H76:I76"/>
    <mergeCell ref="J76:K76"/>
    <mergeCell ref="L76:M76"/>
    <mergeCell ref="N76:O76"/>
    <mergeCell ref="P76:Q76"/>
    <mergeCell ref="R76:S76"/>
    <mergeCell ref="T61:U61"/>
    <mergeCell ref="V61:W61"/>
    <mergeCell ref="X61:Y61"/>
    <mergeCell ref="Z61:AA61"/>
    <mergeCell ref="AB61:AC61"/>
    <mergeCell ref="AD61:AE61"/>
    <mergeCell ref="AF76:AG76"/>
    <mergeCell ref="T76:U76"/>
    <mergeCell ref="V76:W76"/>
    <mergeCell ref="B91:C91"/>
    <mergeCell ref="D91:E91"/>
    <mergeCell ref="F91:G91"/>
    <mergeCell ref="H91:I91"/>
    <mergeCell ref="J91:K91"/>
    <mergeCell ref="L91:M91"/>
    <mergeCell ref="N91:O91"/>
    <mergeCell ref="P91:Q91"/>
    <mergeCell ref="R91:S91"/>
    <mergeCell ref="X76:Y76"/>
    <mergeCell ref="Z76:AA76"/>
    <mergeCell ref="AB76:AC76"/>
    <mergeCell ref="AD76:AE76"/>
    <mergeCell ref="AF106:AG106"/>
    <mergeCell ref="T106:U106"/>
    <mergeCell ref="V106:W106"/>
    <mergeCell ref="X106:Y106"/>
    <mergeCell ref="Z106:AA106"/>
    <mergeCell ref="AB106:AC106"/>
    <mergeCell ref="AD106:AE106"/>
    <mergeCell ref="AF91:AG91"/>
    <mergeCell ref="T91:U91"/>
    <mergeCell ref="V91:W91"/>
    <mergeCell ref="X91:Y91"/>
    <mergeCell ref="Z91:AA91"/>
    <mergeCell ref="AB91:AC91"/>
    <mergeCell ref="AD91:AE91"/>
    <mergeCell ref="B106:C106"/>
    <mergeCell ref="D106:E106"/>
    <mergeCell ref="F106:G106"/>
    <mergeCell ref="H106:I106"/>
    <mergeCell ref="J106:K106"/>
    <mergeCell ref="L106:M106"/>
    <mergeCell ref="N106:O106"/>
    <mergeCell ref="P106:Q106"/>
    <mergeCell ref="R106:S106"/>
  </mergeCells>
  <conditionalFormatting sqref="D18:D29 F18:F29 H18:H29 J18:J29 L18:L29 N18:N29 P18:P29 R18:R29 T18:T29 V18:V29 X18:X29 Z18:Z29 AB18:AB29 AD18:AD29 AF18:AF29">
    <cfRule type="colorScale" priority="2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:E29 G18:G29 I18:I29 K18:K29 M18:M29 O18:O29 Q18:Q29 S18:S29 U18:U29 W18:W29 Y18:Y29 AA18:AA29 AC18:AC29 AE18:AE29 AG18:AG29">
    <cfRule type="colorScale" priority="23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18:B29">
    <cfRule type="colorScale" priority="2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8:C29">
    <cfRule type="colorScale" priority="20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3:B44 D33:D44 F33:F44 H33:H44 J33:J44 L33:L44 N33:N44 P33:P44 R33:R44 T33:T44 V33:V44 X33:X44 Z33:Z44 AB33:AB44 AD33:AD44 AF33:AF44">
    <cfRule type="colorScale" priority="1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3:C44 E33:E44 G33:G44 I33:I44 K33:K44 M33:M44 O33:O44 Q33:Q44 S33:S44 U33:U44 W33:W44 Y33:Y44 AA33:AA44 AC33:AC44 AE33:AE44 AG33:AG44">
    <cfRule type="colorScale" priority="18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48:B59 D48:D59 F48:F59 H48:H59 J48:J59 L48:L59 N48:N59 P48:P59 R48:R59 T48:T59 V48:V59 X48:X59 Z48:Z59 AB48:AB59 AD48:AD59 AF48:AF59">
    <cfRule type="colorScale" priority="1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8:C59 E48:E59 G48:G59 I48:I59 K48:K59 M48:M59 O48:O59 Q48:Q59 S48:S59 U48:U59 W48:W59 Y48:Y59 AA48:AA59 AC48:AC59 AE48:AE59 AG48:AG59">
    <cfRule type="colorScale" priority="17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63:B74 D63:D74 F63:F74 H63:H74 J63:J74 L63:L74 N63:N74 P63:P74 R63:R74 T63:T74 V63:V74 X63:X74 Z63:Z74 AB63:AB74 AD63:AD74 AF63:AF74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63:C74 E63:E74 G63:G74 I63:I74 K63:K74 M63:M74 O63:O74 Q63:Q74 S63:S74 U63:U74 W63:W74 Y63:Y74 AA63:AA74 AC63:AC74 AE63:AE74 AG63:AG74">
    <cfRule type="colorScale" priority="17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78:B89 D78:D89 F78:F89 H78:H89 J78:J89 L78:L89 N78:N89 P78:P89 R78:R89 T78:T89 V78:V89 X78:X89 Z78:Z89 AB78:AB89 AD78:AD89 AF78:AF89">
    <cfRule type="colorScale" priority="1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78:C89 E78:E89 G78:G89 I78:I89 K78:K89 M78:M89 O78:O89 Q78:Q89 S78:S89 U78:U89 W78:W89 Y78:Y89 AA78:AA89 AC78:AC89 AE78:AE89 AG78:AG89">
    <cfRule type="colorScale" priority="16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93:B104 D93:D104 F93:F104 H93:H104 J93:J104 L93:L104 N93:N104 P93:P104 R93:R104 T93:T104 V93:V104 X93:X104 Z93:Z104 AB93:AB104 AD93:AD104 AF93:AF104">
    <cfRule type="colorScale" priority="1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3:C104 E93:E104 G93:G104 I93:I104 K93:K104 M93:M104 O93:O104 Q93:Q104 S93:S104 U93:U104 W93:W104 Y93:Y104 AA93:AA104 AC93:AC104 AE93:AE104 AG93:AG104">
    <cfRule type="colorScale" priority="1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108:B119 D108:D119 F108:F119 H108:H119 J108:J119 L108:L119 N108:N119 P108:P119 R108:R119 T108:T119 V108:V119 X108:X119 Z108:Z119 AB108:AB119 AD108:AD119 AF108:AF119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8:C119 E108:E119 G108:G119 I108:I119 K108:K119 M108:M119 O108:O119 Q108:Q119 S108:S119 U108:U119 W108:W119 Y108:Y119 AA108:AA119 AC108:AC119 AE108:AE119 AG108:AG119">
    <cfRule type="colorScale" priority="14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18:AO29">
    <cfRule type="colorScale" priority="1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18:AN29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3:AO44">
    <cfRule type="colorScale" priority="1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33:AN44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8:AO59">
    <cfRule type="colorScale" priority="1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48:AN5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3:AO74">
    <cfRule type="colorScale" priority="10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63:AN74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8:AO89">
    <cfRule type="colorScale" priority="10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78:AN89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3:AO104">
    <cfRule type="colorScale" priority="9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93:AN104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109:AN119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18:AN29">
    <cfRule type="colorScale" priority="2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33:AN44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8:AN59">
    <cfRule type="colorScale" priority="2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63:AN74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78:AN89">
    <cfRule type="colorScale" priority="2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93:AN104">
    <cfRule type="colorScale" priority="2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109:AN119">
    <cfRule type="colorScale" priority="2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8:AO119">
    <cfRule type="colorScale" priority="8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108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108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:B14 D3:D14 F3:F14 H3:H14 J3:J14 L3:L14 N3:N14 P3:P14 R3:R14 T3:T14 V3:V14 X3:X14 Z3:Z14 AB3:AB14 AD3:AD14 AF3:AF14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:C14 E3:E14 G3:G14 I3:I14 K3:K14 M3:M14 O3:O14 Q3:Q14 S3:S14 U3:U14 W3:W14 Y3:Y14 AA3:AA14 AC3:AC14 AE3:AE14 AG3:AG14">
    <cfRule type="colorScale" priority="6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3:AO14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3:AN14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3:AN14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3:AH14">
    <cfRule type="colorScale" priority="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14">
    <cfRule type="colorScale" priority="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3:AJ14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K3:AK14">
    <cfRule type="colorScale" priority="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L3:AL14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M3:AM14">
    <cfRule type="colorScale" priority="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8:AH29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8:AI29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8:AJ29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K18:AK29">
    <cfRule type="colorScale" priority="4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L18:AL29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M18:AM29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33:AH44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3:AI44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33:AJ44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K33:AK44">
    <cfRule type="colorScale" priority="3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L33:AL44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M33:AM44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48:AH59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48:AI59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48:AJ59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K48:AK59">
    <cfRule type="colorScale" priority="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L48:AL59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M48:AM59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63:AH74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63:AI74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63:AJ74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K63:AK74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L63:AL74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M63:AM74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78:AH8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78:AI8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78:AJ89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K78:AK89">
    <cfRule type="colorScale" priority="2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L78:AL89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M78:AM8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93:AH104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93:AI104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93:AJ10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K93:AK104">
    <cfRule type="colorScale" priority="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L93:AL104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M93:AM104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08:AH11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08:AI11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08:AJ11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K108:AK119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L108:AL11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M108:AM11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DD1FA-C5B6-4EA9-9B4E-FECDBDB0EBE8}">
  <sheetPr codeName="Sheet3"/>
  <dimension ref="A1:Y31"/>
  <sheetViews>
    <sheetView zoomScale="51" workbookViewId="0">
      <selection activeCell="G16" sqref="G16"/>
    </sheetView>
  </sheetViews>
  <sheetFormatPr defaultRowHeight="14.75" x14ac:dyDescent="0.75"/>
  <cols>
    <col min="1" max="1" width="28.04296875" bestFit="1" customWidth="1"/>
    <col min="2" max="10" width="11.6796875" bestFit="1" customWidth="1"/>
    <col min="11" max="17" width="12.36328125" bestFit="1" customWidth="1"/>
    <col min="18" max="19" width="11.6796875" bestFit="1" customWidth="1"/>
    <col min="20" max="20" width="11.81640625" bestFit="1" customWidth="1"/>
    <col min="21" max="22" width="11.6796875" bestFit="1" customWidth="1"/>
    <col min="23" max="23" width="14.40625" bestFit="1" customWidth="1"/>
  </cols>
  <sheetData>
    <row r="1" spans="1:25" x14ac:dyDescent="0.75">
      <c r="A1" s="2" t="s">
        <v>29</v>
      </c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26</v>
      </c>
      <c r="P1" s="2" t="s">
        <v>27</v>
      </c>
      <c r="Q1" s="2" t="s">
        <v>28</v>
      </c>
      <c r="R1" s="2" t="s">
        <v>30</v>
      </c>
      <c r="S1" s="2" t="s">
        <v>31</v>
      </c>
      <c r="T1" s="2" t="s">
        <v>32</v>
      </c>
      <c r="U1" s="2" t="s">
        <v>33</v>
      </c>
      <c r="V1" s="2" t="s">
        <v>34</v>
      </c>
      <c r="W1" s="2" t="s">
        <v>35</v>
      </c>
    </row>
    <row r="2" spans="1:25" x14ac:dyDescent="0.75">
      <c r="A2" s="3" t="s">
        <v>36</v>
      </c>
      <c r="B2" s="3">
        <v>63.9</v>
      </c>
      <c r="C2" s="3">
        <v>83.3</v>
      </c>
      <c r="D2" s="3">
        <v>58.599999999999994</v>
      </c>
      <c r="E2" s="3">
        <v>75.699999999999989</v>
      </c>
      <c r="F2" s="3">
        <v>63.70000000000001</v>
      </c>
      <c r="G2" s="3">
        <v>129.9</v>
      </c>
      <c r="H2" s="3">
        <v>87.9</v>
      </c>
      <c r="I2" s="3">
        <v>89.3</v>
      </c>
      <c r="J2" s="3">
        <v>85.5</v>
      </c>
      <c r="K2" s="3">
        <v>123.40000000000002</v>
      </c>
      <c r="L2" s="3">
        <v>117.4</v>
      </c>
      <c r="M2" s="3">
        <v>86.1</v>
      </c>
      <c r="N2" s="3">
        <v>109</v>
      </c>
      <c r="O2" s="3">
        <v>112.7</v>
      </c>
      <c r="P2" s="3">
        <v>82.9</v>
      </c>
      <c r="Q2" s="3">
        <v>77.099999999999994</v>
      </c>
      <c r="R2" s="3">
        <v>58.599999999999994</v>
      </c>
      <c r="S2" s="3">
        <v>129.9</v>
      </c>
      <c r="T2" s="3">
        <v>90.399999999999977</v>
      </c>
      <c r="U2" s="3">
        <v>21.209490800111219</v>
      </c>
      <c r="V2" s="3">
        <v>1446.4</v>
      </c>
      <c r="W2" s="3">
        <v>0.69341770938204139</v>
      </c>
      <c r="X2" s="4"/>
      <c r="Y2" s="4"/>
    </row>
    <row r="3" spans="1:25" x14ac:dyDescent="0.75">
      <c r="A3" s="3" t="s">
        <v>37</v>
      </c>
      <c r="B3" s="3">
        <v>36.700000000000003</v>
      </c>
      <c r="C3" s="3">
        <v>38.700000000000003</v>
      </c>
      <c r="D3" s="3">
        <v>52.900000000000006</v>
      </c>
      <c r="E3" s="3">
        <v>70.099999999999994</v>
      </c>
      <c r="F3" s="3">
        <v>2.2000000000000002</v>
      </c>
      <c r="G3" s="3">
        <v>23.9</v>
      </c>
      <c r="H3" s="3">
        <v>38.6</v>
      </c>
      <c r="I3" s="3">
        <v>35</v>
      </c>
      <c r="J3" s="3">
        <v>3.7</v>
      </c>
      <c r="K3" s="3">
        <v>42.3</v>
      </c>
      <c r="L3" s="3">
        <v>29.7</v>
      </c>
      <c r="M3" s="3">
        <v>63</v>
      </c>
      <c r="N3" s="3">
        <v>40.4</v>
      </c>
      <c r="O3" s="3">
        <v>58.899999999999991</v>
      </c>
      <c r="P3" s="3">
        <v>69.900000000000006</v>
      </c>
      <c r="Q3" s="3">
        <v>33.5</v>
      </c>
      <c r="R3" s="3">
        <v>2.2000000000000002</v>
      </c>
      <c r="S3" s="3">
        <v>70.099999999999994</v>
      </c>
      <c r="T3" s="3">
        <v>39.96875</v>
      </c>
      <c r="U3" s="3">
        <v>19.448159255762484</v>
      </c>
      <c r="V3" s="3">
        <v>639.5</v>
      </c>
      <c r="W3" s="3">
        <v>0.30658229061795872</v>
      </c>
      <c r="X3" s="4"/>
      <c r="Y3" s="4"/>
    </row>
    <row r="4" spans="1:25" x14ac:dyDescent="0.75">
      <c r="A4" s="3" t="s">
        <v>38</v>
      </c>
      <c r="B4" s="3">
        <v>100.6</v>
      </c>
      <c r="C4" s="3">
        <v>122</v>
      </c>
      <c r="D4" s="3">
        <v>111.5</v>
      </c>
      <c r="E4" s="3">
        <v>145.79999999999998</v>
      </c>
      <c r="F4" s="3">
        <v>65.900000000000006</v>
      </c>
      <c r="G4" s="3">
        <v>153.80000000000001</v>
      </c>
      <c r="H4" s="3">
        <v>126.5</v>
      </c>
      <c r="I4" s="3">
        <v>124.3</v>
      </c>
      <c r="J4" s="3">
        <v>89.2</v>
      </c>
      <c r="K4" s="3">
        <v>165.70000000000002</v>
      </c>
      <c r="L4" s="3">
        <v>147.1</v>
      </c>
      <c r="M4" s="3">
        <v>149.1</v>
      </c>
      <c r="N4" s="3">
        <v>149.4</v>
      </c>
      <c r="O4" s="3">
        <v>171.6</v>
      </c>
      <c r="P4" s="3">
        <v>152.80000000000001</v>
      </c>
      <c r="Q4" s="3">
        <v>110.6</v>
      </c>
      <c r="R4" s="3">
        <v>65.900000000000006</v>
      </c>
      <c r="S4" s="3">
        <v>171.6</v>
      </c>
      <c r="T4" s="3">
        <v>130.36874999999998</v>
      </c>
      <c r="U4" s="3">
        <v>28.325710907892613</v>
      </c>
      <c r="V4" s="3">
        <v>2085.8999999999996</v>
      </c>
      <c r="W4" s="3" t="s">
        <v>39</v>
      </c>
      <c r="X4" s="4"/>
      <c r="Y4" s="4"/>
    </row>
    <row r="5" spans="1:25" x14ac:dyDescent="0.75">
      <c r="A5" s="3" t="s">
        <v>40</v>
      </c>
      <c r="B5" s="3" t="s">
        <v>39</v>
      </c>
      <c r="C5" s="3">
        <v>1</v>
      </c>
      <c r="D5" s="3">
        <v>2</v>
      </c>
      <c r="E5" s="3">
        <v>4</v>
      </c>
      <c r="F5" s="3">
        <v>3</v>
      </c>
      <c r="G5" s="3">
        <v>3</v>
      </c>
      <c r="H5" s="3">
        <v>3</v>
      </c>
      <c r="I5" s="3">
        <v>2</v>
      </c>
      <c r="J5" s="3">
        <v>3</v>
      </c>
      <c r="K5" s="3">
        <v>4</v>
      </c>
      <c r="L5" s="3">
        <v>3</v>
      </c>
      <c r="M5" s="3">
        <v>2</v>
      </c>
      <c r="N5" s="3">
        <v>0</v>
      </c>
      <c r="O5" s="3">
        <v>0</v>
      </c>
      <c r="P5" s="3">
        <v>3</v>
      </c>
      <c r="Q5" s="3">
        <v>0</v>
      </c>
      <c r="R5" s="3">
        <v>0</v>
      </c>
      <c r="S5" s="3">
        <v>4</v>
      </c>
      <c r="T5" s="3">
        <v>2.2000000000000002</v>
      </c>
      <c r="U5" s="3">
        <v>1.3266499161421601</v>
      </c>
      <c r="V5" s="3">
        <v>33</v>
      </c>
      <c r="W5" s="3" t="s">
        <v>39</v>
      </c>
      <c r="X5" s="4"/>
      <c r="Y5" s="4"/>
    </row>
    <row r="6" spans="1:25" x14ac:dyDescent="0.75">
      <c r="A6" s="3" t="s">
        <v>41</v>
      </c>
      <c r="B6" s="3" t="s">
        <v>39</v>
      </c>
      <c r="C6" s="3">
        <v>0</v>
      </c>
      <c r="D6" s="3">
        <v>4</v>
      </c>
      <c r="E6" s="3">
        <v>2</v>
      </c>
      <c r="F6" s="3">
        <v>0</v>
      </c>
      <c r="G6" s="3">
        <v>2</v>
      </c>
      <c r="H6" s="3">
        <v>3</v>
      </c>
      <c r="I6" s="3">
        <v>1</v>
      </c>
      <c r="J6" s="3">
        <v>3</v>
      </c>
      <c r="K6" s="3">
        <v>2</v>
      </c>
      <c r="L6" s="3">
        <v>1</v>
      </c>
      <c r="M6" s="3">
        <v>1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4</v>
      </c>
      <c r="T6" s="3">
        <v>1.2666666666666666</v>
      </c>
      <c r="U6" s="3">
        <v>1.2892719737209144</v>
      </c>
      <c r="V6" s="3">
        <v>19</v>
      </c>
      <c r="W6" s="3" t="s">
        <v>39</v>
      </c>
      <c r="X6" s="4"/>
      <c r="Y6" s="4"/>
    </row>
    <row r="7" spans="1:25" x14ac:dyDescent="0.75">
      <c r="A7" s="3" t="s">
        <v>42</v>
      </c>
      <c r="B7" s="3">
        <v>5</v>
      </c>
      <c r="C7" s="3">
        <v>3</v>
      </c>
      <c r="D7" s="3">
        <v>5</v>
      </c>
      <c r="E7" s="3">
        <v>6</v>
      </c>
      <c r="F7" s="3">
        <v>0</v>
      </c>
      <c r="G7" s="3">
        <v>1</v>
      </c>
      <c r="H7" s="3">
        <v>3</v>
      </c>
      <c r="I7" s="3">
        <v>2</v>
      </c>
      <c r="J7" s="3">
        <v>0</v>
      </c>
      <c r="K7" s="3">
        <v>3</v>
      </c>
      <c r="L7" s="3">
        <v>3</v>
      </c>
      <c r="M7" s="3">
        <v>3</v>
      </c>
      <c r="N7" s="3">
        <v>3</v>
      </c>
      <c r="O7" s="3">
        <v>2</v>
      </c>
      <c r="P7" s="3">
        <v>4</v>
      </c>
      <c r="Q7" s="3">
        <v>2</v>
      </c>
      <c r="R7" s="3">
        <v>0</v>
      </c>
      <c r="S7" s="3">
        <v>6</v>
      </c>
      <c r="T7" s="3">
        <v>2.8125</v>
      </c>
      <c r="U7" s="3">
        <v>1.6286017775994228</v>
      </c>
      <c r="V7" s="3">
        <v>45</v>
      </c>
      <c r="W7" s="3" t="s">
        <v>39</v>
      </c>
      <c r="X7" s="4"/>
      <c r="Y7" s="4"/>
    </row>
    <row r="8" spans="1:25" x14ac:dyDescent="0.75">
      <c r="A8" s="3" t="s">
        <v>43</v>
      </c>
      <c r="B8" s="3">
        <v>78.900000000000006</v>
      </c>
      <c r="C8" s="3">
        <v>89.8</v>
      </c>
      <c r="D8" s="3">
        <v>79.099999999999994</v>
      </c>
      <c r="E8" s="3">
        <v>123.1</v>
      </c>
      <c r="F8" s="3">
        <v>63.7</v>
      </c>
      <c r="G8" s="3">
        <v>119.6</v>
      </c>
      <c r="H8" s="3">
        <v>112.8</v>
      </c>
      <c r="I8" s="3">
        <v>97.8</v>
      </c>
      <c r="J8" s="3">
        <v>85.5</v>
      </c>
      <c r="K8" s="3">
        <v>130.6</v>
      </c>
      <c r="L8" s="3">
        <v>125.6</v>
      </c>
      <c r="M8" s="3">
        <v>119.2</v>
      </c>
      <c r="N8" s="3">
        <v>114.2</v>
      </c>
      <c r="O8" s="3">
        <v>133.19999999999999</v>
      </c>
      <c r="P8" s="3">
        <v>119.9</v>
      </c>
      <c r="Q8" s="3">
        <v>81.3</v>
      </c>
      <c r="R8" s="3">
        <v>63.7</v>
      </c>
      <c r="S8" s="3">
        <v>133.19999999999999</v>
      </c>
      <c r="T8" s="3">
        <v>104.64375</v>
      </c>
      <c r="U8" s="3">
        <v>21.309269366580867</v>
      </c>
      <c r="V8" s="3">
        <v>1674.3</v>
      </c>
      <c r="W8" s="3" t="s">
        <v>39</v>
      </c>
      <c r="X8" s="4"/>
      <c r="Y8" s="4"/>
    </row>
    <row r="9" spans="1:25" x14ac:dyDescent="0.75">
      <c r="A9" s="3" t="s">
        <v>44</v>
      </c>
      <c r="B9" s="4">
        <v>0.8098859315589354</v>
      </c>
      <c r="C9" s="4">
        <v>0.9276169265033406</v>
      </c>
      <c r="D9" s="4">
        <v>0.74083438685208591</v>
      </c>
      <c r="E9" s="4">
        <v>0.61494719740048731</v>
      </c>
      <c r="F9" s="4">
        <v>1.0000000000000002</v>
      </c>
      <c r="G9" s="4">
        <v>1.0861204013377928</v>
      </c>
      <c r="H9" s="4">
        <v>0.7792553191489362</v>
      </c>
      <c r="I9" s="4">
        <v>0.91308793456032722</v>
      </c>
      <c r="J9" s="4">
        <v>1</v>
      </c>
      <c r="K9" s="4">
        <v>0.94486983154670767</v>
      </c>
      <c r="L9" s="4">
        <v>0.93471337579617841</v>
      </c>
      <c r="M9" s="4">
        <v>0.72231543624161076</v>
      </c>
      <c r="N9" s="4">
        <v>0.95446584938704027</v>
      </c>
      <c r="O9" s="4">
        <v>0.84609609609609615</v>
      </c>
      <c r="P9" s="4">
        <v>0.69140950792326938</v>
      </c>
      <c r="Q9" s="4">
        <v>0.94833948339483387</v>
      </c>
      <c r="R9" s="4">
        <v>0.61494719740048731</v>
      </c>
      <c r="S9" s="4">
        <v>1.0861204013377928</v>
      </c>
      <c r="T9" s="4">
        <v>0.86962235485922756</v>
      </c>
      <c r="U9" s="4" t="s">
        <v>39</v>
      </c>
      <c r="V9" s="4">
        <v>0.86388341396404467</v>
      </c>
      <c r="W9" s="4">
        <v>2</v>
      </c>
      <c r="X9" s="4"/>
      <c r="Y9" s="4"/>
    </row>
    <row r="10" spans="1:25" x14ac:dyDescent="0.7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</row>
    <row r="11" spans="1:25" x14ac:dyDescent="0.75">
      <c r="A11" s="3" t="s">
        <v>45</v>
      </c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  <c r="I11" s="4" t="s">
        <v>20</v>
      </c>
      <c r="J11" s="4" t="s">
        <v>21</v>
      </c>
      <c r="K11" s="4" t="s">
        <v>22</v>
      </c>
      <c r="L11" s="4" t="s">
        <v>23</v>
      </c>
      <c r="M11" s="4" t="s">
        <v>24</v>
      </c>
      <c r="N11" s="4" t="s">
        <v>25</v>
      </c>
      <c r="O11" s="4" t="s">
        <v>26</v>
      </c>
      <c r="P11" s="4" t="s">
        <v>27</v>
      </c>
      <c r="Q11" s="4" t="s">
        <v>28</v>
      </c>
      <c r="R11" s="4" t="s">
        <v>30</v>
      </c>
      <c r="S11" s="4" t="s">
        <v>31</v>
      </c>
      <c r="T11" s="4" t="s">
        <v>32</v>
      </c>
      <c r="U11" s="4" t="s">
        <v>33</v>
      </c>
      <c r="V11" s="4" t="s">
        <v>34</v>
      </c>
      <c r="W11" s="4" t="s">
        <v>35</v>
      </c>
      <c r="X11" s="4"/>
      <c r="Y11" s="4"/>
    </row>
    <row r="12" spans="1:25" x14ac:dyDescent="0.75">
      <c r="A12" s="3" t="s">
        <v>46</v>
      </c>
      <c r="B12" s="4">
        <v>2</v>
      </c>
      <c r="C12" s="4">
        <v>2</v>
      </c>
      <c r="D12" s="4">
        <v>2</v>
      </c>
      <c r="E12" s="4">
        <v>3</v>
      </c>
      <c r="F12" s="4">
        <v>1</v>
      </c>
      <c r="G12" s="4">
        <v>6</v>
      </c>
      <c r="H12" s="4">
        <v>1</v>
      </c>
      <c r="I12" s="4">
        <v>7</v>
      </c>
      <c r="J12" s="4">
        <v>3</v>
      </c>
      <c r="K12" s="4">
        <v>8</v>
      </c>
      <c r="L12" s="4">
        <v>7</v>
      </c>
      <c r="M12" s="4">
        <v>3</v>
      </c>
      <c r="N12" s="4">
        <v>4</v>
      </c>
      <c r="O12" s="4">
        <v>6</v>
      </c>
      <c r="P12" s="4">
        <v>5</v>
      </c>
      <c r="Q12" s="4">
        <v>4</v>
      </c>
      <c r="R12" s="4">
        <v>1</v>
      </c>
      <c r="S12" s="4">
        <v>8</v>
      </c>
      <c r="T12" s="4">
        <v>4</v>
      </c>
      <c r="U12" s="4">
        <v>2.179449471770337</v>
      </c>
      <c r="V12" s="4">
        <v>64</v>
      </c>
      <c r="W12" s="4">
        <v>0.68085106382978722</v>
      </c>
      <c r="X12" s="4"/>
      <c r="Y12" s="4"/>
    </row>
    <row r="13" spans="1:25" x14ac:dyDescent="0.75">
      <c r="A13" s="3" t="s">
        <v>47</v>
      </c>
      <c r="B13" s="4">
        <v>0</v>
      </c>
      <c r="C13" s="4">
        <v>0</v>
      </c>
      <c r="D13" s="4">
        <v>2</v>
      </c>
      <c r="E13" s="4">
        <v>4</v>
      </c>
      <c r="F13" s="4">
        <v>0</v>
      </c>
      <c r="G13" s="4">
        <v>1</v>
      </c>
      <c r="H13" s="4">
        <v>2</v>
      </c>
      <c r="I13" s="4">
        <v>1</v>
      </c>
      <c r="J13" s="4">
        <v>0</v>
      </c>
      <c r="K13" s="4">
        <v>2</v>
      </c>
      <c r="L13" s="4">
        <v>2</v>
      </c>
      <c r="M13" s="4">
        <v>5</v>
      </c>
      <c r="N13" s="4">
        <v>2</v>
      </c>
      <c r="O13" s="4">
        <v>3</v>
      </c>
      <c r="P13" s="4">
        <v>5</v>
      </c>
      <c r="Q13" s="4">
        <v>1</v>
      </c>
      <c r="R13" s="4">
        <v>0</v>
      </c>
      <c r="S13" s="4">
        <v>5</v>
      </c>
      <c r="T13" s="4">
        <v>1.875</v>
      </c>
      <c r="U13" s="4">
        <v>1.6153559979150107</v>
      </c>
      <c r="V13" s="4">
        <v>30</v>
      </c>
      <c r="W13" s="4">
        <v>0.31914893617021278</v>
      </c>
      <c r="X13" s="4"/>
      <c r="Y13" s="4"/>
    </row>
    <row r="14" spans="1:25" x14ac:dyDescent="0.75">
      <c r="A14" s="3" t="s">
        <v>48</v>
      </c>
      <c r="B14" s="4">
        <v>2</v>
      </c>
      <c r="C14" s="4">
        <v>2</v>
      </c>
      <c r="D14" s="4">
        <v>4</v>
      </c>
      <c r="E14" s="4">
        <v>7</v>
      </c>
      <c r="F14" s="4">
        <v>1</v>
      </c>
      <c r="G14" s="4">
        <v>7</v>
      </c>
      <c r="H14" s="4">
        <v>3</v>
      </c>
      <c r="I14" s="4">
        <v>8</v>
      </c>
      <c r="J14" s="4">
        <v>3</v>
      </c>
      <c r="K14" s="4">
        <v>10</v>
      </c>
      <c r="L14" s="4">
        <v>9</v>
      </c>
      <c r="M14" s="4">
        <v>8</v>
      </c>
      <c r="N14" s="4">
        <v>6</v>
      </c>
      <c r="O14" s="4">
        <v>9</v>
      </c>
      <c r="P14" s="4">
        <v>10</v>
      </c>
      <c r="Q14" s="4">
        <v>5</v>
      </c>
      <c r="R14" s="4">
        <v>1</v>
      </c>
      <c r="S14" s="4">
        <v>10</v>
      </c>
      <c r="T14" s="4">
        <v>5.875</v>
      </c>
      <c r="U14" s="4">
        <v>2.9553976043842223</v>
      </c>
      <c r="V14" s="4">
        <v>94</v>
      </c>
      <c r="W14" s="4"/>
      <c r="X14" s="4"/>
      <c r="Y14" s="4"/>
    </row>
    <row r="15" spans="1:25" x14ac:dyDescent="0.75">
      <c r="A15" s="3" t="s">
        <v>49</v>
      </c>
      <c r="B15" s="4">
        <v>0.18779342723004697</v>
      </c>
      <c r="C15" s="4">
        <v>0.14405762304921968</v>
      </c>
      <c r="D15" s="4">
        <v>0.20477815699658705</v>
      </c>
      <c r="E15" s="4">
        <v>0.23778071334214007</v>
      </c>
      <c r="F15" s="4">
        <v>9.4191522762951313E-2</v>
      </c>
      <c r="G15" s="4">
        <v>0.27713625866050806</v>
      </c>
      <c r="H15" s="4">
        <v>6.8259385665529013E-2</v>
      </c>
      <c r="I15" s="4">
        <v>0.47032474804031354</v>
      </c>
      <c r="J15" s="4">
        <v>0.21052631578947367</v>
      </c>
      <c r="K15" s="4">
        <v>0.38897893030794162</v>
      </c>
      <c r="L15" s="4">
        <v>0.35775127768313458</v>
      </c>
      <c r="M15" s="4">
        <v>0.20905923344947736</v>
      </c>
      <c r="N15" s="4">
        <v>0.22018348623853212</v>
      </c>
      <c r="O15" s="4">
        <v>0.31943212067435667</v>
      </c>
      <c r="P15" s="4">
        <v>0.36188178528347398</v>
      </c>
      <c r="Q15" s="4">
        <v>0.31128404669260701</v>
      </c>
      <c r="R15" s="4">
        <v>6.8259385665529013E-2</v>
      </c>
      <c r="S15" s="4">
        <v>0.47032474804031354</v>
      </c>
      <c r="T15" s="4">
        <v>0.26548672566371684</v>
      </c>
      <c r="U15" s="4"/>
      <c r="V15" s="4"/>
      <c r="W15" s="4"/>
      <c r="X15" s="4"/>
      <c r="Y15" s="4"/>
    </row>
    <row r="16" spans="1:25" x14ac:dyDescent="0.75">
      <c r="A16" s="3" t="s">
        <v>50</v>
      </c>
      <c r="B16" s="4">
        <v>0.81220657276995301</v>
      </c>
      <c r="C16" s="4">
        <v>0.85594237695078035</v>
      </c>
      <c r="D16" s="4">
        <v>0.79522184300341292</v>
      </c>
      <c r="E16" s="4">
        <v>0.76221928665785987</v>
      </c>
      <c r="F16" s="4">
        <v>0.9058084772370486</v>
      </c>
      <c r="G16" s="4">
        <v>0.72286374133949205</v>
      </c>
      <c r="H16" s="4">
        <v>0.93174061433447108</v>
      </c>
      <c r="I16" s="4">
        <v>0.52967525195968646</v>
      </c>
      <c r="J16" s="4">
        <v>0.78947368421052644</v>
      </c>
      <c r="K16" s="4">
        <v>0.61102106969205838</v>
      </c>
      <c r="L16" s="4">
        <v>0.64224872231686536</v>
      </c>
      <c r="M16" s="4">
        <v>0.79094076655052259</v>
      </c>
      <c r="N16" s="4">
        <v>0.77981651376146788</v>
      </c>
      <c r="O16" s="4">
        <v>0.68056787932564333</v>
      </c>
      <c r="P16" s="4">
        <v>0.63811821471652597</v>
      </c>
      <c r="Q16" s="4">
        <v>0.68871595330739299</v>
      </c>
      <c r="R16" s="4">
        <v>0.52967525195968646</v>
      </c>
      <c r="S16" s="4">
        <v>0.93174061433447108</v>
      </c>
      <c r="T16" s="4">
        <v>0.73451327433628322</v>
      </c>
      <c r="U16" s="4"/>
      <c r="V16" s="4"/>
      <c r="W16" s="4"/>
      <c r="X16" s="4"/>
      <c r="Y16" s="4"/>
    </row>
    <row r="17" spans="1:25" x14ac:dyDescent="0.75">
      <c r="A17" s="3" t="s">
        <v>51</v>
      </c>
      <c r="B17" s="4">
        <v>0</v>
      </c>
      <c r="C17" s="4">
        <v>0</v>
      </c>
      <c r="D17" s="4">
        <v>0.22684310018903589</v>
      </c>
      <c r="E17" s="4">
        <v>0.34236804564907281</v>
      </c>
      <c r="F17" s="4">
        <v>0</v>
      </c>
      <c r="G17" s="4">
        <v>0.2510460251046025</v>
      </c>
      <c r="H17" s="4">
        <v>0.31088082901554404</v>
      </c>
      <c r="I17" s="4">
        <v>0.17142857142857143</v>
      </c>
      <c r="J17" s="4">
        <v>0</v>
      </c>
      <c r="K17" s="4">
        <v>0.28368794326241137</v>
      </c>
      <c r="L17" s="4">
        <v>0.40404040404040398</v>
      </c>
      <c r="M17" s="4">
        <v>0.47619047619047616</v>
      </c>
      <c r="N17" s="4">
        <v>0.29702970297029702</v>
      </c>
      <c r="O17" s="4">
        <v>0.30560271646859088</v>
      </c>
      <c r="P17" s="4">
        <v>0.42918454935622313</v>
      </c>
      <c r="Q17" s="4">
        <v>0.17910447761194029</v>
      </c>
      <c r="R17" s="4">
        <v>0</v>
      </c>
      <c r="S17" s="4">
        <v>0.47619047619047616</v>
      </c>
      <c r="T17" s="4">
        <v>0.28146989835809227</v>
      </c>
      <c r="U17" s="4"/>
      <c r="V17" s="4"/>
      <c r="W17" s="4"/>
      <c r="X17" s="4"/>
      <c r="Y17" s="4"/>
    </row>
    <row r="18" spans="1:25" x14ac:dyDescent="0.75">
      <c r="A18" s="3" t="s">
        <v>52</v>
      </c>
      <c r="B18" s="4">
        <v>1</v>
      </c>
      <c r="C18" s="4">
        <v>1</v>
      </c>
      <c r="D18" s="4">
        <v>0.77315689981096414</v>
      </c>
      <c r="E18" s="4">
        <v>0.65763195435092725</v>
      </c>
      <c r="F18" s="4">
        <v>1</v>
      </c>
      <c r="G18" s="4">
        <v>0.7489539748953975</v>
      </c>
      <c r="H18" s="4">
        <v>0.68911917098445596</v>
      </c>
      <c r="I18" s="4">
        <v>0.82857142857142851</v>
      </c>
      <c r="J18" s="4">
        <v>1</v>
      </c>
      <c r="K18" s="4">
        <v>0.71631205673758869</v>
      </c>
      <c r="L18" s="4">
        <v>0.59595959595959602</v>
      </c>
      <c r="M18" s="4">
        <v>0.52380952380952384</v>
      </c>
      <c r="N18" s="4">
        <v>0.70297029702970293</v>
      </c>
      <c r="O18" s="4">
        <v>0.69439728353140917</v>
      </c>
      <c r="P18" s="4">
        <v>0.57081545064377681</v>
      </c>
      <c r="Q18" s="4">
        <v>0.82089552238805963</v>
      </c>
      <c r="R18" s="4">
        <v>0.52380952380952384</v>
      </c>
      <c r="S18" s="4">
        <v>1</v>
      </c>
      <c r="T18" s="4">
        <v>0.71853010164190767</v>
      </c>
      <c r="U18" s="4"/>
      <c r="V18" s="4"/>
      <c r="W18" s="4"/>
      <c r="X18" s="4"/>
      <c r="Y18" s="4"/>
    </row>
    <row r="19" spans="1:25" x14ac:dyDescent="0.75">
      <c r="A19" s="3" t="s">
        <v>53</v>
      </c>
      <c r="B19" s="4">
        <v>0.11928429423459246</v>
      </c>
      <c r="C19" s="4">
        <v>9.8360655737704916E-2</v>
      </c>
      <c r="D19" s="4">
        <v>0.21524663677130049</v>
      </c>
      <c r="E19" s="4">
        <v>0.2880658436213992</v>
      </c>
      <c r="F19" s="4">
        <v>9.1047040971168433E-2</v>
      </c>
      <c r="G19" s="4">
        <v>0.27308192457737318</v>
      </c>
      <c r="H19" s="4">
        <v>0.14229249011857709</v>
      </c>
      <c r="I19" s="4">
        <v>0.38616251005631536</v>
      </c>
      <c r="J19" s="4">
        <v>0.20179372197309417</v>
      </c>
      <c r="K19" s="4">
        <v>0.36210018105009045</v>
      </c>
      <c r="L19" s="4">
        <v>0.36709721278042151</v>
      </c>
      <c r="M19" s="4">
        <v>0.32193158953722334</v>
      </c>
      <c r="N19" s="4">
        <v>0.24096385542168677</v>
      </c>
      <c r="O19" s="4">
        <v>0.31468531468531469</v>
      </c>
      <c r="P19" s="4">
        <v>0.3926701570680628</v>
      </c>
      <c r="Q19" s="4">
        <v>0.27124773960216997</v>
      </c>
      <c r="R19" s="4">
        <v>9.1047040971168433E-2</v>
      </c>
      <c r="S19" s="4">
        <v>0.3926701570680628</v>
      </c>
      <c r="T19" s="4">
        <v>0.2703868833597009</v>
      </c>
      <c r="U19" s="4"/>
      <c r="V19" s="4"/>
      <c r="W19" s="4"/>
      <c r="X19" s="4"/>
      <c r="Y19" s="4"/>
    </row>
    <row r="20" spans="1:25" x14ac:dyDescent="0.75">
      <c r="A20" s="3" t="s">
        <v>54</v>
      </c>
      <c r="B20" s="4">
        <v>0.88071570576540747</v>
      </c>
      <c r="C20" s="4">
        <v>0.90163934426229508</v>
      </c>
      <c r="D20" s="4">
        <v>0.7847533632286996</v>
      </c>
      <c r="E20" s="4">
        <v>0.7119341563786008</v>
      </c>
      <c r="F20" s="4">
        <v>0.90895295902883155</v>
      </c>
      <c r="G20" s="4">
        <v>0.72691807542262676</v>
      </c>
      <c r="H20" s="4">
        <v>0.85770750988142286</v>
      </c>
      <c r="I20" s="4">
        <v>0.6138374899436847</v>
      </c>
      <c r="J20" s="4">
        <v>0.7982062780269058</v>
      </c>
      <c r="K20" s="4">
        <v>0.63789981894990944</v>
      </c>
      <c r="L20" s="4">
        <v>0.63290278721957849</v>
      </c>
      <c r="M20" s="4">
        <v>0.67806841046277666</v>
      </c>
      <c r="N20" s="4">
        <v>0.75903614457831325</v>
      </c>
      <c r="O20" s="4">
        <v>0.68531468531468531</v>
      </c>
      <c r="P20" s="4">
        <v>0.60732984293193715</v>
      </c>
      <c r="Q20" s="4">
        <v>0.72875226039783003</v>
      </c>
      <c r="R20" s="4">
        <v>0.60732984293193715</v>
      </c>
      <c r="S20" s="4">
        <v>0.90895295902883155</v>
      </c>
      <c r="T20" s="4">
        <v>0.72961311664029904</v>
      </c>
      <c r="U20" s="4"/>
      <c r="V20" s="4"/>
      <c r="W20" s="4"/>
      <c r="X20" s="4"/>
      <c r="Y20" s="4"/>
    </row>
    <row r="21" spans="1:25" x14ac:dyDescent="0.7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</row>
    <row r="22" spans="1:25" x14ac:dyDescent="0.75">
      <c r="A22" s="3" t="s">
        <v>29</v>
      </c>
      <c r="B22" s="4" t="s">
        <v>13</v>
      </c>
      <c r="C22" s="4" t="s">
        <v>14</v>
      </c>
      <c r="D22" s="4" t="s">
        <v>15</v>
      </c>
      <c r="E22" s="4" t="s">
        <v>16</v>
      </c>
      <c r="F22" s="4" t="s">
        <v>17</v>
      </c>
      <c r="G22" s="4" t="s">
        <v>18</v>
      </c>
      <c r="H22" s="4" t="s">
        <v>19</v>
      </c>
      <c r="I22" s="4" t="s">
        <v>20</v>
      </c>
      <c r="J22" s="4" t="s">
        <v>21</v>
      </c>
      <c r="K22" s="4" t="s">
        <v>22</v>
      </c>
      <c r="L22" s="4" t="s">
        <v>23</v>
      </c>
      <c r="M22" s="4" t="s">
        <v>24</v>
      </c>
      <c r="N22" s="4" t="s">
        <v>25</v>
      </c>
      <c r="O22" s="4" t="s">
        <v>26</v>
      </c>
      <c r="P22" s="4" t="s">
        <v>27</v>
      </c>
      <c r="Q22" s="4" t="s">
        <v>28</v>
      </c>
      <c r="R22" s="4" t="s">
        <v>30</v>
      </c>
      <c r="S22" s="4" t="s">
        <v>31</v>
      </c>
      <c r="T22" s="4" t="s">
        <v>32</v>
      </c>
      <c r="U22" s="4" t="s">
        <v>33</v>
      </c>
      <c r="V22" s="4" t="s">
        <v>34</v>
      </c>
      <c r="W22" s="4" t="s">
        <v>35</v>
      </c>
      <c r="X22" s="4"/>
      <c r="Y22" s="4"/>
    </row>
    <row r="23" spans="1:25" x14ac:dyDescent="0.75">
      <c r="A23" s="3" t="s">
        <v>0</v>
      </c>
      <c r="B23" s="4">
        <v>19.7</v>
      </c>
      <c r="C23" s="4">
        <v>21.5</v>
      </c>
      <c r="D23" s="4">
        <v>14</v>
      </c>
      <c r="E23" s="4">
        <v>12.5</v>
      </c>
      <c r="F23" s="4">
        <v>2.6</v>
      </c>
      <c r="G23" s="4">
        <v>22.7</v>
      </c>
      <c r="H23" s="4">
        <v>7.4</v>
      </c>
      <c r="I23" s="4">
        <v>14.6</v>
      </c>
      <c r="J23" s="4">
        <v>20.100000000000001</v>
      </c>
      <c r="K23" s="4">
        <v>43.7</v>
      </c>
      <c r="L23" s="4">
        <v>37</v>
      </c>
      <c r="M23" s="4">
        <v>17.5</v>
      </c>
      <c r="N23" s="4">
        <v>24.4</v>
      </c>
      <c r="O23" s="4">
        <v>16.5</v>
      </c>
      <c r="P23" s="4">
        <v>22.2</v>
      </c>
      <c r="Q23" s="4">
        <v>20.9</v>
      </c>
      <c r="R23" s="4">
        <v>2.6</v>
      </c>
      <c r="S23" s="4">
        <v>43.7</v>
      </c>
      <c r="T23" s="4">
        <v>19.831249999999997</v>
      </c>
      <c r="U23" s="4">
        <v>9.6381869891333896</v>
      </c>
      <c r="V23" s="4">
        <v>317.29999999999995</v>
      </c>
      <c r="W23" s="4">
        <v>0.21937223451327431</v>
      </c>
      <c r="X23" s="4"/>
      <c r="Y23" s="4"/>
    </row>
    <row r="24" spans="1:25" x14ac:dyDescent="0.75">
      <c r="A24" s="3" t="s">
        <v>55</v>
      </c>
      <c r="B24" s="4">
        <v>6.2</v>
      </c>
      <c r="C24" s="4">
        <v>11.1</v>
      </c>
      <c r="D24" s="4">
        <v>18.8</v>
      </c>
      <c r="E24" s="4">
        <v>32.6</v>
      </c>
      <c r="F24" s="4">
        <v>14.3</v>
      </c>
      <c r="G24" s="4">
        <v>26.6</v>
      </c>
      <c r="H24" s="4">
        <v>20.7</v>
      </c>
      <c r="I24" s="4">
        <v>13.1</v>
      </c>
      <c r="J24" s="4">
        <v>10.6</v>
      </c>
      <c r="K24" s="4">
        <v>7.9</v>
      </c>
      <c r="L24" s="4">
        <v>16.3</v>
      </c>
      <c r="M24" s="4">
        <v>12.3</v>
      </c>
      <c r="N24" s="4">
        <v>11.4</v>
      </c>
      <c r="O24" s="4">
        <v>7</v>
      </c>
      <c r="P24" s="4">
        <v>4.3</v>
      </c>
      <c r="Q24" s="4">
        <v>7</v>
      </c>
      <c r="R24" s="4">
        <v>4.3</v>
      </c>
      <c r="S24" s="4">
        <v>32.6</v>
      </c>
      <c r="T24" s="4">
        <v>13.762499999999999</v>
      </c>
      <c r="U24" s="4">
        <v>7.4904001061358514</v>
      </c>
      <c r="V24" s="4">
        <v>220.2</v>
      </c>
      <c r="W24" s="4">
        <v>0.15224004424778764</v>
      </c>
      <c r="X24" s="4"/>
      <c r="Y24" s="4"/>
    </row>
    <row r="25" spans="1:25" x14ac:dyDescent="0.75">
      <c r="A25" s="3" t="s">
        <v>56</v>
      </c>
      <c r="B25" s="4">
        <v>10.6</v>
      </c>
      <c r="C25" s="4">
        <v>10.199999999999999</v>
      </c>
      <c r="D25" s="4">
        <v>6.8</v>
      </c>
      <c r="E25" s="4">
        <v>8.1999999999999993</v>
      </c>
      <c r="F25" s="4">
        <v>9.9</v>
      </c>
      <c r="G25" s="4">
        <v>9.6</v>
      </c>
      <c r="H25" s="4">
        <v>19</v>
      </c>
      <c r="I25" s="4">
        <v>14.9</v>
      </c>
      <c r="J25" s="4">
        <v>8.4</v>
      </c>
      <c r="K25" s="4">
        <v>31.1</v>
      </c>
      <c r="L25" s="4">
        <v>23</v>
      </c>
      <c r="M25" s="4">
        <v>4.5999999999999996</v>
      </c>
      <c r="N25" s="4">
        <v>21.2</v>
      </c>
      <c r="O25" s="4">
        <v>11.2</v>
      </c>
      <c r="P25" s="4">
        <v>29.6</v>
      </c>
      <c r="Q25" s="4">
        <v>14.1</v>
      </c>
      <c r="R25" s="4">
        <v>4.5999999999999996</v>
      </c>
      <c r="S25" s="4">
        <v>31.1</v>
      </c>
      <c r="T25" s="4">
        <v>14.525</v>
      </c>
      <c r="U25" s="4">
        <v>7.7670377236112387</v>
      </c>
      <c r="V25" s="4">
        <v>232.4</v>
      </c>
      <c r="W25" s="4">
        <v>0.16067477876106195</v>
      </c>
      <c r="X25" s="4"/>
      <c r="Y25" s="4"/>
    </row>
    <row r="26" spans="1:25" x14ac:dyDescent="0.75">
      <c r="A26" s="3" t="s">
        <v>57</v>
      </c>
      <c r="B26" s="4">
        <v>8</v>
      </c>
      <c r="C26" s="4">
        <v>7.4</v>
      </c>
      <c r="D26" s="4">
        <v>1.8</v>
      </c>
      <c r="E26" s="4">
        <v>1.2</v>
      </c>
      <c r="F26" s="4">
        <v>13.8</v>
      </c>
      <c r="G26" s="4">
        <v>14.4</v>
      </c>
      <c r="H26" s="4">
        <v>8</v>
      </c>
      <c r="I26" s="4">
        <v>11.4</v>
      </c>
      <c r="J26" s="4">
        <v>9.8000000000000007</v>
      </c>
      <c r="K26" s="4">
        <v>5.7</v>
      </c>
      <c r="L26" s="4">
        <v>2.5</v>
      </c>
      <c r="M26" s="4">
        <v>18.399999999999999</v>
      </c>
      <c r="N26" s="4">
        <v>5.8</v>
      </c>
      <c r="O26" s="4">
        <v>17.3</v>
      </c>
      <c r="P26" s="4">
        <v>3</v>
      </c>
      <c r="Q26" s="4">
        <v>9.5</v>
      </c>
      <c r="R26" s="4">
        <v>1.2</v>
      </c>
      <c r="S26" s="4">
        <v>18.399999999999999</v>
      </c>
      <c r="T26" s="4">
        <v>8.625</v>
      </c>
      <c r="U26" s="4">
        <v>5.18694274115302</v>
      </c>
      <c r="V26" s="4">
        <v>138</v>
      </c>
      <c r="W26" s="4">
        <v>9.5409292035398247E-2</v>
      </c>
      <c r="X26" s="4"/>
      <c r="Y26" s="4"/>
    </row>
    <row r="27" spans="1:25" x14ac:dyDescent="0.75">
      <c r="A27" s="3" t="s">
        <v>58</v>
      </c>
      <c r="B27" s="4">
        <v>3</v>
      </c>
      <c r="C27" s="4">
        <v>10.7</v>
      </c>
      <c r="D27" s="4">
        <v>4</v>
      </c>
      <c r="E27" s="4">
        <v>6.3</v>
      </c>
      <c r="F27" s="4">
        <v>5.9</v>
      </c>
      <c r="G27" s="4">
        <v>3.7</v>
      </c>
      <c r="H27" s="4">
        <v>1</v>
      </c>
      <c r="I27" s="4">
        <v>16.399999999999999</v>
      </c>
      <c r="J27" s="4">
        <v>5.4</v>
      </c>
      <c r="K27" s="4">
        <v>4.4000000000000004</v>
      </c>
      <c r="L27" s="4">
        <v>11.2</v>
      </c>
      <c r="M27" s="4">
        <v>7.3</v>
      </c>
      <c r="N27" s="4">
        <v>14.1</v>
      </c>
      <c r="O27" s="4">
        <v>8.6999999999999993</v>
      </c>
      <c r="P27" s="4">
        <v>3.6</v>
      </c>
      <c r="Q27" s="4">
        <v>5.0999999999999996</v>
      </c>
      <c r="R27" s="4">
        <v>1</v>
      </c>
      <c r="S27" s="4">
        <v>16.399999999999999</v>
      </c>
      <c r="T27" s="4">
        <v>6.9249999999999989</v>
      </c>
      <c r="U27" s="4">
        <v>4.1160508986162947</v>
      </c>
      <c r="V27" s="4">
        <v>110.79999999999998</v>
      </c>
      <c r="W27" s="4">
        <v>7.6603982300884957E-2</v>
      </c>
      <c r="X27" s="4"/>
      <c r="Y27" s="4"/>
    </row>
    <row r="28" spans="1:25" x14ac:dyDescent="0.75">
      <c r="A28" s="3" t="s">
        <v>59</v>
      </c>
      <c r="B28" s="4">
        <v>0.9</v>
      </c>
      <c r="C28" s="4">
        <v>5.7</v>
      </c>
      <c r="D28" s="4">
        <v>0</v>
      </c>
      <c r="E28" s="4">
        <v>6.1</v>
      </c>
      <c r="F28" s="4">
        <v>2</v>
      </c>
      <c r="G28" s="4">
        <v>2.4</v>
      </c>
      <c r="H28" s="4">
        <v>9.3000000000000007</v>
      </c>
      <c r="I28" s="4">
        <v>2.1</v>
      </c>
      <c r="J28" s="4">
        <v>16.600000000000001</v>
      </c>
      <c r="K28" s="4">
        <v>13.9</v>
      </c>
      <c r="L28" s="4">
        <v>4.5999999999999996</v>
      </c>
      <c r="M28" s="4">
        <v>0.7</v>
      </c>
      <c r="N28" s="4">
        <v>1.4</v>
      </c>
      <c r="O28" s="4">
        <v>16</v>
      </c>
      <c r="P28" s="4">
        <v>2.2000000000000002</v>
      </c>
      <c r="Q28" s="4">
        <v>3.3</v>
      </c>
      <c r="R28" s="4">
        <v>0</v>
      </c>
      <c r="S28" s="4">
        <v>16.600000000000001</v>
      </c>
      <c r="T28" s="4">
        <v>5.45</v>
      </c>
      <c r="U28" s="4">
        <v>5.3621357685161239</v>
      </c>
      <c r="V28" s="4">
        <v>87.2</v>
      </c>
      <c r="W28" s="4">
        <v>6.0287610619469037E-2</v>
      </c>
      <c r="X28" s="4"/>
      <c r="Y28" s="4"/>
    </row>
    <row r="29" spans="1:25" x14ac:dyDescent="0.75">
      <c r="A29" s="3" t="s">
        <v>60</v>
      </c>
      <c r="B29" s="4">
        <v>1.5</v>
      </c>
      <c r="C29" s="4">
        <v>6.7</v>
      </c>
      <c r="D29" s="4">
        <v>6.2</v>
      </c>
      <c r="E29" s="4">
        <v>-0.2</v>
      </c>
      <c r="F29" s="4">
        <v>4.2</v>
      </c>
      <c r="G29" s="4">
        <v>27.5</v>
      </c>
      <c r="H29" s="4">
        <v>9.5</v>
      </c>
      <c r="I29" s="4">
        <v>20.8</v>
      </c>
      <c r="J29" s="4">
        <v>4.5999999999999996</v>
      </c>
      <c r="K29" s="4">
        <v>13.7</v>
      </c>
      <c r="L29" s="4">
        <v>14.8</v>
      </c>
      <c r="M29" s="4">
        <v>22.3</v>
      </c>
      <c r="N29" s="4">
        <v>26.7</v>
      </c>
      <c r="O29" s="4">
        <v>35</v>
      </c>
      <c r="P29" s="4">
        <v>25</v>
      </c>
      <c r="Q29" s="4">
        <v>18.2</v>
      </c>
      <c r="R29" s="4">
        <v>-0.2</v>
      </c>
      <c r="S29" s="4">
        <v>35</v>
      </c>
      <c r="T29" s="4">
        <v>14.781249999999998</v>
      </c>
      <c r="U29" s="4">
        <v>10.325769871418792</v>
      </c>
      <c r="V29" s="4">
        <v>236.49999999999997</v>
      </c>
      <c r="W29" s="4">
        <v>0.16350940265486724</v>
      </c>
      <c r="X29" s="4"/>
      <c r="Y29" s="4"/>
    </row>
    <row r="30" spans="1:25" x14ac:dyDescent="0.75">
      <c r="A30" s="3" t="s">
        <v>61</v>
      </c>
      <c r="B30" s="4">
        <v>14</v>
      </c>
      <c r="C30" s="4">
        <v>10</v>
      </c>
      <c r="D30" s="4">
        <v>7</v>
      </c>
      <c r="E30" s="4">
        <v>9</v>
      </c>
      <c r="F30" s="4">
        <v>11</v>
      </c>
      <c r="G30" s="4">
        <v>23</v>
      </c>
      <c r="H30" s="4">
        <v>13</v>
      </c>
      <c r="I30" s="4">
        <v>-4</v>
      </c>
      <c r="J30" s="4">
        <v>10</v>
      </c>
      <c r="K30" s="4">
        <v>3</v>
      </c>
      <c r="L30" s="4">
        <v>8</v>
      </c>
      <c r="M30" s="4">
        <v>3</v>
      </c>
      <c r="N30" s="4">
        <v>4</v>
      </c>
      <c r="O30" s="4">
        <v>1</v>
      </c>
      <c r="P30" s="4">
        <v>-7</v>
      </c>
      <c r="Q30" s="4">
        <v>-1</v>
      </c>
      <c r="R30" s="4">
        <v>-7</v>
      </c>
      <c r="S30" s="4">
        <v>23</v>
      </c>
      <c r="T30" s="4">
        <v>6.5</v>
      </c>
      <c r="U30" s="4">
        <v>7.2197645390968255</v>
      </c>
      <c r="V30" s="4">
        <v>104</v>
      </c>
      <c r="W30" s="4">
        <v>7.1902654867256638E-2</v>
      </c>
      <c r="X30" s="4"/>
      <c r="Y30" s="4"/>
    </row>
    <row r="31" spans="1:25" x14ac:dyDescent="0.7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6E64D-8C2A-4E2E-AF42-E728FBF0F8AA}">
  <sheetPr codeName="Sheet5"/>
  <dimension ref="A1:W31"/>
  <sheetViews>
    <sheetView zoomScale="57" workbookViewId="0">
      <selection activeCell="O9" sqref="O9"/>
    </sheetView>
  </sheetViews>
  <sheetFormatPr defaultRowHeight="14.75" x14ac:dyDescent="0.75"/>
  <cols>
    <col min="1" max="1" width="28.1796875" bestFit="1" customWidth="1"/>
    <col min="2" max="10" width="15.1796875" bestFit="1" customWidth="1"/>
    <col min="11" max="17" width="16.2265625" bestFit="1" customWidth="1"/>
    <col min="18" max="18" width="12.2265625" bestFit="1" customWidth="1"/>
    <col min="19" max="19" width="12.40625" bestFit="1" customWidth="1"/>
    <col min="20" max="20" width="15.6796875" bestFit="1" customWidth="1"/>
    <col min="21" max="21" width="15.26953125" bestFit="1" customWidth="1"/>
    <col min="22" max="22" width="12.953125" bestFit="1" customWidth="1"/>
    <col min="23" max="23" width="18" bestFit="1" customWidth="1"/>
  </cols>
  <sheetData>
    <row r="1" spans="1:23" x14ac:dyDescent="0.75">
      <c r="A1" s="3" t="s">
        <v>29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27</v>
      </c>
      <c r="Q1" s="3" t="s">
        <v>28</v>
      </c>
      <c r="R1" s="3" t="s">
        <v>30</v>
      </c>
      <c r="S1" s="3" t="s">
        <v>31</v>
      </c>
      <c r="T1" s="3" t="s">
        <v>32</v>
      </c>
      <c r="U1" s="3" t="s">
        <v>33</v>
      </c>
      <c r="V1" s="3" t="s">
        <v>34</v>
      </c>
      <c r="W1" s="3" t="s">
        <v>35</v>
      </c>
    </row>
    <row r="2" spans="1:23" x14ac:dyDescent="0.75">
      <c r="A2" s="3" t="s">
        <v>36</v>
      </c>
      <c r="B2" s="3">
        <v>88.4</v>
      </c>
      <c r="C2" s="3">
        <v>97.000000000000014</v>
      </c>
      <c r="D2" s="3">
        <v>81.400000000000006</v>
      </c>
      <c r="E2" s="3">
        <v>95.300000000000011</v>
      </c>
      <c r="F2" s="3">
        <v>100.6</v>
      </c>
      <c r="G2" s="3">
        <v>57</v>
      </c>
      <c r="H2" s="3">
        <v>108.9</v>
      </c>
      <c r="I2" s="3">
        <v>59.7</v>
      </c>
      <c r="J2" s="3">
        <v>108.09999999999998</v>
      </c>
      <c r="K2" s="3">
        <v>73.899999999999977</v>
      </c>
      <c r="L2" s="3">
        <v>81.8</v>
      </c>
      <c r="M2" s="3">
        <v>62.4</v>
      </c>
      <c r="N2" s="3">
        <v>72.7</v>
      </c>
      <c r="O2" s="3">
        <v>118.8</v>
      </c>
      <c r="P2" s="3">
        <v>94.499999999999986</v>
      </c>
      <c r="Q2" s="3">
        <v>62.20000000000001</v>
      </c>
      <c r="R2" s="3">
        <v>57</v>
      </c>
      <c r="S2" s="3">
        <v>118.8</v>
      </c>
      <c r="T2" s="3">
        <v>85.168750000000003</v>
      </c>
      <c r="U2" s="3">
        <v>18.699021322986376</v>
      </c>
      <c r="V2" s="3">
        <v>1362.7</v>
      </c>
      <c r="W2" s="3">
        <v>0.72743287247104049</v>
      </c>
    </row>
    <row r="3" spans="1:23" x14ac:dyDescent="0.75">
      <c r="A3" s="3" t="s">
        <v>37</v>
      </c>
      <c r="B3" s="3">
        <v>49.8</v>
      </c>
      <c r="C3" s="3">
        <v>66.899999999999991</v>
      </c>
      <c r="D3" s="3">
        <v>45.2</v>
      </c>
      <c r="E3" s="3">
        <v>57.6</v>
      </c>
      <c r="F3" s="3">
        <v>58.9</v>
      </c>
      <c r="G3" s="3">
        <v>16.7</v>
      </c>
      <c r="H3" s="3">
        <v>6.7</v>
      </c>
      <c r="I3" s="3">
        <v>1.9</v>
      </c>
      <c r="J3" s="3">
        <v>33.9</v>
      </c>
      <c r="K3" s="3">
        <v>33.200000000000003</v>
      </c>
      <c r="L3" s="3">
        <v>28.299999999999997</v>
      </c>
      <c r="M3" s="3">
        <v>13.1</v>
      </c>
      <c r="N3" s="3">
        <v>30.9</v>
      </c>
      <c r="O3" s="3">
        <v>33.200000000000003</v>
      </c>
      <c r="P3" s="3">
        <v>13.3</v>
      </c>
      <c r="Q3" s="3">
        <v>21</v>
      </c>
      <c r="R3" s="3">
        <v>1.9</v>
      </c>
      <c r="S3" s="3">
        <v>66.899999999999991</v>
      </c>
      <c r="T3" s="3">
        <v>31.912499999999991</v>
      </c>
      <c r="U3" s="3">
        <v>18.903401644942122</v>
      </c>
      <c r="V3" s="3">
        <v>510.59999999999991</v>
      </c>
      <c r="W3" s="3">
        <v>0.27256712752895956</v>
      </c>
    </row>
    <row r="4" spans="1:23" x14ac:dyDescent="0.75">
      <c r="A4" s="3" t="s">
        <v>38</v>
      </c>
      <c r="B4" s="3">
        <v>138.19999999999999</v>
      </c>
      <c r="C4" s="3">
        <v>163.9</v>
      </c>
      <c r="D4" s="3">
        <v>126.6</v>
      </c>
      <c r="E4" s="3">
        <v>152.9</v>
      </c>
      <c r="F4" s="3">
        <v>159.5</v>
      </c>
      <c r="G4" s="3">
        <v>73.7</v>
      </c>
      <c r="H4" s="3">
        <v>115.6</v>
      </c>
      <c r="I4" s="3">
        <v>61.599999999999994</v>
      </c>
      <c r="J4" s="3">
        <v>141.99999999999997</v>
      </c>
      <c r="K4" s="3">
        <v>107.1</v>
      </c>
      <c r="L4" s="3">
        <v>110.1</v>
      </c>
      <c r="M4" s="3">
        <v>75.5</v>
      </c>
      <c r="N4" s="3">
        <v>103.6</v>
      </c>
      <c r="O4" s="3">
        <v>152</v>
      </c>
      <c r="P4" s="3">
        <v>107.79999999999998</v>
      </c>
      <c r="Q4" s="3">
        <v>83.200000000000017</v>
      </c>
      <c r="R4" s="3">
        <v>61.599999999999994</v>
      </c>
      <c r="S4" s="3">
        <v>163.9</v>
      </c>
      <c r="T4" s="3">
        <v>117.08124999999998</v>
      </c>
      <c r="U4" s="3">
        <v>31.530426153756668</v>
      </c>
      <c r="V4" s="3">
        <v>1873.2999999999995</v>
      </c>
      <c r="W4" s="3" t="s">
        <v>39</v>
      </c>
    </row>
    <row r="5" spans="1:23" x14ac:dyDescent="0.75">
      <c r="A5" s="3" t="s">
        <v>40</v>
      </c>
      <c r="B5" s="3" t="s">
        <v>39</v>
      </c>
      <c r="C5" s="3">
        <v>4</v>
      </c>
      <c r="D5" s="3">
        <v>1</v>
      </c>
      <c r="E5" s="3">
        <v>3</v>
      </c>
      <c r="F5" s="3">
        <v>2</v>
      </c>
      <c r="G5" s="3">
        <v>1</v>
      </c>
      <c r="H5" s="3">
        <v>2</v>
      </c>
      <c r="I5" s="3">
        <v>2</v>
      </c>
      <c r="J5" s="3">
        <v>3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4</v>
      </c>
      <c r="T5" s="3">
        <v>1.6666666666666667</v>
      </c>
      <c r="U5" s="3">
        <v>0.94280904158206336</v>
      </c>
      <c r="V5" s="3">
        <v>25</v>
      </c>
      <c r="W5" s="3" t="s">
        <v>39</v>
      </c>
    </row>
    <row r="6" spans="1:23" x14ac:dyDescent="0.75">
      <c r="A6" s="3" t="s">
        <v>41</v>
      </c>
      <c r="B6" s="3" t="s">
        <v>39</v>
      </c>
      <c r="C6" s="3">
        <v>0</v>
      </c>
      <c r="D6" s="3">
        <v>0</v>
      </c>
      <c r="E6" s="3">
        <v>3</v>
      </c>
      <c r="F6" s="3">
        <v>0</v>
      </c>
      <c r="G6" s="3">
        <v>1</v>
      </c>
      <c r="H6" s="3">
        <v>0</v>
      </c>
      <c r="I6" s="3">
        <v>0</v>
      </c>
      <c r="J6" s="3">
        <v>2</v>
      </c>
      <c r="K6" s="3">
        <v>0</v>
      </c>
      <c r="L6" s="3">
        <v>1</v>
      </c>
      <c r="M6" s="3">
        <v>0</v>
      </c>
      <c r="N6" s="3">
        <v>3</v>
      </c>
      <c r="O6" s="3">
        <v>0</v>
      </c>
      <c r="P6" s="3">
        <v>0</v>
      </c>
      <c r="Q6" s="3">
        <v>0</v>
      </c>
      <c r="R6" s="3">
        <v>0</v>
      </c>
      <c r="S6" s="3">
        <v>3</v>
      </c>
      <c r="T6" s="3">
        <v>0.66666666666666663</v>
      </c>
      <c r="U6" s="3">
        <v>1.0749676997731401</v>
      </c>
      <c r="V6" s="3">
        <v>10</v>
      </c>
      <c r="W6" s="3" t="s">
        <v>39</v>
      </c>
    </row>
    <row r="7" spans="1:23" x14ac:dyDescent="0.75">
      <c r="A7" s="3" t="s">
        <v>42</v>
      </c>
      <c r="B7" s="3">
        <v>3</v>
      </c>
      <c r="C7" s="3">
        <v>4</v>
      </c>
      <c r="D7" s="3">
        <v>3</v>
      </c>
      <c r="E7" s="3">
        <v>5</v>
      </c>
      <c r="F7" s="3">
        <v>2</v>
      </c>
      <c r="G7" s="3">
        <v>1</v>
      </c>
      <c r="H7" s="3">
        <v>1</v>
      </c>
      <c r="I7" s="3">
        <v>0</v>
      </c>
      <c r="J7" s="3">
        <v>2</v>
      </c>
      <c r="K7" s="3">
        <v>3</v>
      </c>
      <c r="L7" s="3">
        <v>1</v>
      </c>
      <c r="M7" s="3">
        <v>1</v>
      </c>
      <c r="N7" s="3">
        <v>3</v>
      </c>
      <c r="O7" s="3">
        <v>3</v>
      </c>
      <c r="P7" s="3">
        <v>2</v>
      </c>
      <c r="Q7" s="3">
        <v>1</v>
      </c>
      <c r="R7" s="3">
        <v>0</v>
      </c>
      <c r="S7" s="3">
        <v>5</v>
      </c>
      <c r="T7" s="3">
        <v>2.1875</v>
      </c>
      <c r="U7" s="3">
        <v>1.2854352375751958</v>
      </c>
      <c r="V7" s="3">
        <v>35</v>
      </c>
      <c r="W7" s="3" t="s">
        <v>39</v>
      </c>
    </row>
    <row r="8" spans="1:23" x14ac:dyDescent="0.75">
      <c r="A8" s="3" t="s">
        <v>43</v>
      </c>
      <c r="B8" s="3">
        <v>93.6</v>
      </c>
      <c r="C8" s="3">
        <v>102.7</v>
      </c>
      <c r="D8" s="3">
        <v>82.4</v>
      </c>
      <c r="E8" s="3">
        <v>106.2</v>
      </c>
      <c r="F8" s="3">
        <v>109.7</v>
      </c>
      <c r="G8" s="3">
        <v>60.6</v>
      </c>
      <c r="H8" s="3">
        <v>109.4</v>
      </c>
      <c r="I8" s="3">
        <v>59.7</v>
      </c>
      <c r="J8" s="3">
        <v>125.5</v>
      </c>
      <c r="K8" s="3">
        <v>85.5</v>
      </c>
      <c r="L8" s="3">
        <v>94.8</v>
      </c>
      <c r="M8" s="3">
        <v>70.400000000000006</v>
      </c>
      <c r="N8" s="3">
        <v>92</v>
      </c>
      <c r="O8" s="3">
        <v>136.19999999999999</v>
      </c>
      <c r="P8" s="3">
        <v>98.4</v>
      </c>
      <c r="Q8" s="3">
        <v>66.2</v>
      </c>
      <c r="R8" s="3">
        <v>59.7</v>
      </c>
      <c r="S8" s="3">
        <v>136.19999999999999</v>
      </c>
      <c r="T8" s="3">
        <v>93.331250000000026</v>
      </c>
      <c r="U8" s="3">
        <v>21.399378459139772</v>
      </c>
      <c r="V8" s="3">
        <v>1493.3000000000004</v>
      </c>
      <c r="W8" s="3" t="s">
        <v>39</v>
      </c>
    </row>
    <row r="9" spans="1:23" x14ac:dyDescent="0.75">
      <c r="A9" s="3" t="s">
        <v>44</v>
      </c>
      <c r="B9" s="4">
        <v>0.94444444444444453</v>
      </c>
      <c r="C9" s="4">
        <v>0.94449853943524853</v>
      </c>
      <c r="D9" s="4">
        <v>0.98786407766990292</v>
      </c>
      <c r="E9" s="4">
        <v>0.89736346516007537</v>
      </c>
      <c r="F9" s="4">
        <v>0.91704649042844111</v>
      </c>
      <c r="G9" s="4">
        <v>0.94059405940594043</v>
      </c>
      <c r="H9" s="4">
        <v>0.99542961608775138</v>
      </c>
      <c r="I9" s="4">
        <v>1</v>
      </c>
      <c r="J9" s="4">
        <v>0.86135458167330659</v>
      </c>
      <c r="K9" s="4">
        <v>0.86432748538011683</v>
      </c>
      <c r="L9" s="4">
        <v>0.8628691983122363</v>
      </c>
      <c r="M9" s="4">
        <v>0.88636363636363613</v>
      </c>
      <c r="N9" s="4">
        <v>0.79021739130434787</v>
      </c>
      <c r="O9" s="4">
        <v>0.87224669603524241</v>
      </c>
      <c r="P9" s="4">
        <v>0.96036585365853644</v>
      </c>
      <c r="Q9" s="4">
        <v>0.93957703927492453</v>
      </c>
      <c r="R9" s="4">
        <v>0.79021739130434787</v>
      </c>
      <c r="S9" s="4">
        <v>1</v>
      </c>
      <c r="T9" s="4">
        <v>0.91653516091463461</v>
      </c>
      <c r="U9" s="4" t="s">
        <v>39</v>
      </c>
      <c r="V9" s="4">
        <v>0.91254269068505967</v>
      </c>
      <c r="W9" s="4">
        <v>1</v>
      </c>
    </row>
    <row r="10" spans="1:23" x14ac:dyDescent="0.7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75">
      <c r="A11" s="3" t="s">
        <v>45</v>
      </c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  <c r="I11" s="4" t="s">
        <v>20</v>
      </c>
      <c r="J11" s="4" t="s">
        <v>21</v>
      </c>
      <c r="K11" s="4" t="s">
        <v>22</v>
      </c>
      <c r="L11" s="4" t="s">
        <v>23</v>
      </c>
      <c r="M11" s="4" t="s">
        <v>24</v>
      </c>
      <c r="N11" s="4" t="s">
        <v>25</v>
      </c>
      <c r="O11" s="4" t="s">
        <v>26</v>
      </c>
      <c r="P11" s="4" t="s">
        <v>27</v>
      </c>
      <c r="Q11" s="4" t="s">
        <v>28</v>
      </c>
      <c r="R11" s="4" t="s">
        <v>30</v>
      </c>
      <c r="S11" s="4" t="s">
        <v>31</v>
      </c>
      <c r="T11" s="4" t="s">
        <v>32</v>
      </c>
      <c r="U11" s="4" t="s">
        <v>33</v>
      </c>
      <c r="V11" s="4" t="s">
        <v>34</v>
      </c>
      <c r="W11" s="4" t="s">
        <v>35</v>
      </c>
    </row>
    <row r="12" spans="1:23" x14ac:dyDescent="0.75">
      <c r="A12" s="3" t="s">
        <v>46</v>
      </c>
      <c r="B12" s="4">
        <v>6</v>
      </c>
      <c r="C12" s="4">
        <v>3</v>
      </c>
      <c r="D12" s="4">
        <v>4</v>
      </c>
      <c r="E12" s="4">
        <v>5</v>
      </c>
      <c r="F12" s="4">
        <v>7</v>
      </c>
      <c r="G12" s="4">
        <v>3</v>
      </c>
      <c r="H12" s="4">
        <v>6</v>
      </c>
      <c r="I12" s="4">
        <v>1</v>
      </c>
      <c r="J12" s="4">
        <v>7</v>
      </c>
      <c r="K12" s="4">
        <v>3</v>
      </c>
      <c r="L12" s="4">
        <v>5</v>
      </c>
      <c r="M12" s="4">
        <v>1</v>
      </c>
      <c r="N12" s="4">
        <v>3</v>
      </c>
      <c r="O12" s="4">
        <v>9</v>
      </c>
      <c r="P12" s="4">
        <v>4</v>
      </c>
      <c r="Q12" s="4">
        <v>1</v>
      </c>
      <c r="R12" s="4">
        <v>1</v>
      </c>
      <c r="S12" s="4">
        <v>9</v>
      </c>
      <c r="T12" s="4">
        <v>4.25</v>
      </c>
      <c r="U12" s="4">
        <v>2.2776083947860748</v>
      </c>
      <c r="V12" s="4">
        <v>68</v>
      </c>
      <c r="W12" s="4">
        <v>0.72340425531914898</v>
      </c>
    </row>
    <row r="13" spans="1:23" x14ac:dyDescent="0.75">
      <c r="A13" s="3" t="s">
        <v>47</v>
      </c>
      <c r="B13" s="4">
        <v>5</v>
      </c>
      <c r="C13" s="4">
        <v>3</v>
      </c>
      <c r="D13" s="4">
        <v>3</v>
      </c>
      <c r="E13" s="4">
        <v>3</v>
      </c>
      <c r="F13" s="4">
        <v>6</v>
      </c>
      <c r="G13" s="4">
        <v>0</v>
      </c>
      <c r="H13" s="4">
        <v>0</v>
      </c>
      <c r="I13" s="4">
        <v>0</v>
      </c>
      <c r="J13" s="4">
        <v>3</v>
      </c>
      <c r="K13" s="4">
        <v>1</v>
      </c>
      <c r="L13" s="4">
        <v>0</v>
      </c>
      <c r="M13" s="4">
        <v>0</v>
      </c>
      <c r="N13" s="4">
        <v>1</v>
      </c>
      <c r="O13" s="4">
        <v>0</v>
      </c>
      <c r="P13" s="4">
        <v>0</v>
      </c>
      <c r="Q13" s="4">
        <v>1</v>
      </c>
      <c r="R13" s="4">
        <v>0</v>
      </c>
      <c r="S13" s="4">
        <v>6</v>
      </c>
      <c r="T13" s="4">
        <v>1.625</v>
      </c>
      <c r="U13" s="4">
        <v>1.899835519196333</v>
      </c>
      <c r="V13" s="4">
        <v>26</v>
      </c>
      <c r="W13" s="4">
        <v>0.27659574468085107</v>
      </c>
    </row>
    <row r="14" spans="1:23" x14ac:dyDescent="0.75">
      <c r="A14" s="3" t="s">
        <v>48</v>
      </c>
      <c r="B14" s="4">
        <v>11</v>
      </c>
      <c r="C14" s="4">
        <v>6</v>
      </c>
      <c r="D14" s="4">
        <v>7</v>
      </c>
      <c r="E14" s="4">
        <v>8</v>
      </c>
      <c r="F14" s="4">
        <v>13</v>
      </c>
      <c r="G14" s="4">
        <v>3</v>
      </c>
      <c r="H14" s="4">
        <v>6</v>
      </c>
      <c r="I14" s="4">
        <v>1</v>
      </c>
      <c r="J14" s="4">
        <v>10</v>
      </c>
      <c r="K14" s="4">
        <v>4</v>
      </c>
      <c r="L14" s="4">
        <v>5</v>
      </c>
      <c r="M14" s="4">
        <v>1</v>
      </c>
      <c r="N14" s="4">
        <v>4</v>
      </c>
      <c r="O14" s="4">
        <v>9</v>
      </c>
      <c r="P14" s="4">
        <v>4</v>
      </c>
      <c r="Q14" s="4">
        <v>2</v>
      </c>
      <c r="R14" s="4">
        <v>1</v>
      </c>
      <c r="S14" s="4">
        <v>13</v>
      </c>
      <c r="T14" s="4">
        <v>5.875</v>
      </c>
      <c r="U14" s="4">
        <v>3.4618456060315572</v>
      </c>
      <c r="V14" s="4">
        <v>94</v>
      </c>
      <c r="W14" s="4"/>
    </row>
    <row r="15" spans="1:23" x14ac:dyDescent="0.75">
      <c r="A15" s="3" t="s">
        <v>49</v>
      </c>
      <c r="B15" s="4">
        <v>0.40723981900452488</v>
      </c>
      <c r="C15" s="4">
        <v>0.18556701030927833</v>
      </c>
      <c r="D15" s="4">
        <v>0.29484029484029484</v>
      </c>
      <c r="E15" s="4">
        <v>0.31479538300104926</v>
      </c>
      <c r="F15" s="4">
        <v>0.41749502982107362</v>
      </c>
      <c r="G15" s="4">
        <v>0.31578947368421051</v>
      </c>
      <c r="H15" s="4">
        <v>0.33057851239669422</v>
      </c>
      <c r="I15" s="4">
        <v>0.10050251256281408</v>
      </c>
      <c r="J15" s="4">
        <v>0.38852913968547648</v>
      </c>
      <c r="K15" s="4">
        <v>0.24357239512855217</v>
      </c>
      <c r="L15" s="4">
        <v>0.36674816625916873</v>
      </c>
      <c r="M15" s="4">
        <v>9.6153846153846159E-2</v>
      </c>
      <c r="N15" s="4">
        <v>0.24759284731774417</v>
      </c>
      <c r="O15" s="4">
        <v>0.45454545454545447</v>
      </c>
      <c r="P15" s="4">
        <v>0.25396825396825401</v>
      </c>
      <c r="Q15" s="4">
        <v>9.6463022508038565E-2</v>
      </c>
      <c r="R15" s="4">
        <v>9.6153846153846159E-2</v>
      </c>
      <c r="S15" s="4">
        <v>0.45454545454545447</v>
      </c>
      <c r="T15" s="4">
        <v>0.29940559183972992</v>
      </c>
      <c r="U15" s="4"/>
      <c r="V15" s="4"/>
      <c r="W15" s="4"/>
    </row>
    <row r="16" spans="1:23" x14ac:dyDescent="0.75">
      <c r="A16" s="3" t="s">
        <v>50</v>
      </c>
      <c r="B16" s="4">
        <v>0.59276018099547512</v>
      </c>
      <c r="C16" s="4">
        <v>0.81443298969072164</v>
      </c>
      <c r="D16" s="4">
        <v>0.70515970515970516</v>
      </c>
      <c r="E16" s="4">
        <v>0.68520461699895074</v>
      </c>
      <c r="F16" s="4">
        <v>0.58250497017892644</v>
      </c>
      <c r="G16" s="4">
        <v>0.68421052631578949</v>
      </c>
      <c r="H16" s="4">
        <v>0.66942148760330578</v>
      </c>
      <c r="I16" s="4">
        <v>0.89949748743718594</v>
      </c>
      <c r="J16" s="4">
        <v>0.61147086031452358</v>
      </c>
      <c r="K16" s="4">
        <v>0.75642760487144789</v>
      </c>
      <c r="L16" s="4">
        <v>0.63325183374083127</v>
      </c>
      <c r="M16" s="4">
        <v>0.90384615384615397</v>
      </c>
      <c r="N16" s="4">
        <v>0.75240715268225589</v>
      </c>
      <c r="O16" s="4">
        <v>0.54545454545454553</v>
      </c>
      <c r="P16" s="4">
        <v>0.74603174603174605</v>
      </c>
      <c r="Q16" s="4">
        <v>0.90353697749196149</v>
      </c>
      <c r="R16" s="4">
        <v>0.54545454545454553</v>
      </c>
      <c r="S16" s="4">
        <v>0.90384615384615397</v>
      </c>
      <c r="T16" s="4">
        <v>0.70059440816027008</v>
      </c>
      <c r="U16" s="4"/>
      <c r="V16" s="4"/>
      <c r="W16" s="4"/>
    </row>
    <row r="17" spans="1:23" x14ac:dyDescent="0.75">
      <c r="A17" s="3" t="s">
        <v>51</v>
      </c>
      <c r="B17" s="4">
        <v>0.60240963855421692</v>
      </c>
      <c r="C17" s="4">
        <v>0.26905829596412562</v>
      </c>
      <c r="D17" s="4">
        <v>0.39823008849557529</v>
      </c>
      <c r="E17" s="4">
        <v>0.3125</v>
      </c>
      <c r="F17" s="4">
        <v>0.61120543293718166</v>
      </c>
      <c r="G17" s="4">
        <v>0</v>
      </c>
      <c r="H17" s="4">
        <v>0</v>
      </c>
      <c r="I17" s="4">
        <v>0</v>
      </c>
      <c r="J17" s="4">
        <v>0.53097345132743368</v>
      </c>
      <c r="K17" s="4">
        <v>0.18072289156626503</v>
      </c>
      <c r="L17" s="4">
        <v>0</v>
      </c>
      <c r="M17" s="4">
        <v>0</v>
      </c>
      <c r="N17" s="4">
        <v>0.1941747572815534</v>
      </c>
      <c r="O17" s="4">
        <v>0</v>
      </c>
      <c r="P17" s="4">
        <v>0</v>
      </c>
      <c r="Q17" s="4">
        <v>0.2857142857142857</v>
      </c>
      <c r="R17" s="4">
        <v>0</v>
      </c>
      <c r="S17" s="4">
        <v>0.61120543293718166</v>
      </c>
      <c r="T17" s="4">
        <v>0.30552291421856642</v>
      </c>
      <c r="U17" s="4"/>
      <c r="V17" s="4"/>
      <c r="W17" s="4"/>
    </row>
    <row r="18" spans="1:23" x14ac:dyDescent="0.75">
      <c r="A18" s="3" t="s">
        <v>52</v>
      </c>
      <c r="B18" s="4">
        <v>0.39759036144578302</v>
      </c>
      <c r="C18" s="4">
        <v>0.73094170403587444</v>
      </c>
      <c r="D18" s="4">
        <v>0.60176991150442471</v>
      </c>
      <c r="E18" s="4">
        <v>0.6875</v>
      </c>
      <c r="F18" s="4">
        <v>0.38879456706281834</v>
      </c>
      <c r="G18" s="4">
        <v>1</v>
      </c>
      <c r="H18" s="4">
        <v>1</v>
      </c>
      <c r="I18" s="4">
        <v>1</v>
      </c>
      <c r="J18" s="4">
        <v>0.46902654867256632</v>
      </c>
      <c r="K18" s="4">
        <v>0.81927710843373491</v>
      </c>
      <c r="L18" s="4">
        <v>1</v>
      </c>
      <c r="M18" s="4">
        <v>1</v>
      </c>
      <c r="N18" s="4">
        <v>0.80582524271844658</v>
      </c>
      <c r="O18" s="4">
        <v>1</v>
      </c>
      <c r="P18" s="4">
        <v>1</v>
      </c>
      <c r="Q18" s="4">
        <v>0.7142857142857143</v>
      </c>
      <c r="R18" s="4">
        <v>0.38879456706281834</v>
      </c>
      <c r="S18" s="4">
        <v>1</v>
      </c>
      <c r="T18" s="4">
        <v>0.69447708578143352</v>
      </c>
      <c r="U18" s="4"/>
      <c r="V18" s="4"/>
      <c r="W18" s="4"/>
    </row>
    <row r="19" spans="1:23" x14ac:dyDescent="0.75">
      <c r="A19" s="3" t="s">
        <v>53</v>
      </c>
      <c r="B19" s="4">
        <v>0.47756874095513752</v>
      </c>
      <c r="C19" s="4">
        <v>0.21964612568639413</v>
      </c>
      <c r="D19" s="4">
        <v>0.33175355450236971</v>
      </c>
      <c r="E19" s="4">
        <v>0.31393067364290383</v>
      </c>
      <c r="F19" s="4">
        <v>0.4890282131661442</v>
      </c>
      <c r="G19" s="4">
        <v>0.24423337856173677</v>
      </c>
      <c r="H19" s="4">
        <v>0.31141868512110726</v>
      </c>
      <c r="I19" s="4">
        <v>9.7402597402597407E-2</v>
      </c>
      <c r="J19" s="4">
        <v>0.42253521126760574</v>
      </c>
      <c r="K19" s="4">
        <v>0.22408963585434177</v>
      </c>
      <c r="L19" s="4">
        <v>0.27247956403269757</v>
      </c>
      <c r="M19" s="4">
        <v>7.9470198675496692E-2</v>
      </c>
      <c r="N19" s="4">
        <v>0.23166023166023167</v>
      </c>
      <c r="O19" s="4">
        <v>0.35526315789473684</v>
      </c>
      <c r="P19" s="4">
        <v>0.22263450834879409</v>
      </c>
      <c r="Q19" s="4">
        <v>0.14423076923076919</v>
      </c>
      <c r="R19" s="4">
        <v>7.9470198675496692E-2</v>
      </c>
      <c r="S19" s="4">
        <v>0.4890282131661442</v>
      </c>
      <c r="T19" s="4">
        <v>0.30107297282869805</v>
      </c>
      <c r="U19" s="4"/>
      <c r="V19" s="4"/>
      <c r="W19" s="4"/>
    </row>
    <row r="20" spans="1:23" x14ac:dyDescent="0.75">
      <c r="A20" s="3" t="s">
        <v>54</v>
      </c>
      <c r="B20" s="4">
        <v>0.52243125904486254</v>
      </c>
      <c r="C20" s="4">
        <v>0.78035387431360581</v>
      </c>
      <c r="D20" s="4">
        <v>0.66824644549763024</v>
      </c>
      <c r="E20" s="4">
        <v>0.68606932635709617</v>
      </c>
      <c r="F20" s="4">
        <v>0.5109717868338558</v>
      </c>
      <c r="G20" s="4">
        <v>0.75576662143826323</v>
      </c>
      <c r="H20" s="4">
        <v>0.68858131487889274</v>
      </c>
      <c r="I20" s="4">
        <v>0.90259740259740251</v>
      </c>
      <c r="J20" s="4">
        <v>0.57746478873239426</v>
      </c>
      <c r="K20" s="4">
        <v>0.77591036414565828</v>
      </c>
      <c r="L20" s="4">
        <v>0.72752043596730243</v>
      </c>
      <c r="M20" s="4">
        <v>0.92052980132450335</v>
      </c>
      <c r="N20" s="4">
        <v>0.76833976833976836</v>
      </c>
      <c r="O20" s="4">
        <v>0.64473684210526316</v>
      </c>
      <c r="P20" s="4">
        <v>0.77736549165120594</v>
      </c>
      <c r="Q20" s="4">
        <v>0.85576923076923084</v>
      </c>
      <c r="R20" s="4">
        <v>0.5109717868338558</v>
      </c>
      <c r="S20" s="4">
        <v>0.92052980132450335</v>
      </c>
      <c r="T20" s="4">
        <v>0.69892702717130195</v>
      </c>
      <c r="U20" s="4"/>
      <c r="V20" s="4"/>
      <c r="W20" s="4"/>
    </row>
    <row r="21" spans="1:23" x14ac:dyDescent="0.7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75">
      <c r="A22" s="3" t="s">
        <v>29</v>
      </c>
      <c r="B22" s="4" t="s">
        <v>13</v>
      </c>
      <c r="C22" s="4" t="s">
        <v>14</v>
      </c>
      <c r="D22" s="4" t="s">
        <v>15</v>
      </c>
      <c r="E22" s="4" t="s">
        <v>16</v>
      </c>
      <c r="F22" s="4" t="s">
        <v>17</v>
      </c>
      <c r="G22" s="4" t="s">
        <v>18</v>
      </c>
      <c r="H22" s="4" t="s">
        <v>19</v>
      </c>
      <c r="I22" s="4" t="s">
        <v>20</v>
      </c>
      <c r="J22" s="4" t="s">
        <v>21</v>
      </c>
      <c r="K22" s="4" t="s">
        <v>22</v>
      </c>
      <c r="L22" s="4" t="s">
        <v>23</v>
      </c>
      <c r="M22" s="4" t="s">
        <v>24</v>
      </c>
      <c r="N22" s="4" t="s">
        <v>25</v>
      </c>
      <c r="O22" s="4" t="s">
        <v>26</v>
      </c>
      <c r="P22" s="4" t="s">
        <v>27</v>
      </c>
      <c r="Q22" s="4" t="s">
        <v>28</v>
      </c>
      <c r="R22" s="4" t="s">
        <v>30</v>
      </c>
      <c r="S22" s="4" t="s">
        <v>31</v>
      </c>
      <c r="T22" s="4" t="s">
        <v>32</v>
      </c>
      <c r="U22" s="4" t="s">
        <v>33</v>
      </c>
      <c r="V22" s="4" t="s">
        <v>34</v>
      </c>
      <c r="W22" s="4" t="s">
        <v>35</v>
      </c>
    </row>
    <row r="23" spans="1:23" x14ac:dyDescent="0.75">
      <c r="A23" s="3" t="s">
        <v>0</v>
      </c>
      <c r="B23" s="4">
        <v>18.5</v>
      </c>
      <c r="C23" s="4">
        <v>22.5</v>
      </c>
      <c r="D23" s="4">
        <v>30.8</v>
      </c>
      <c r="E23" s="4">
        <v>31.1</v>
      </c>
      <c r="F23" s="4">
        <v>30</v>
      </c>
      <c r="G23" s="4">
        <v>0.7</v>
      </c>
      <c r="H23" s="4">
        <v>36</v>
      </c>
      <c r="I23" s="4">
        <v>7.3</v>
      </c>
      <c r="J23" s="4">
        <v>30.7</v>
      </c>
      <c r="K23" s="4">
        <v>13.2</v>
      </c>
      <c r="L23" s="4">
        <v>-1.2</v>
      </c>
      <c r="M23" s="4">
        <v>3.2</v>
      </c>
      <c r="N23" s="4">
        <v>18.899999999999999</v>
      </c>
      <c r="O23" s="4">
        <v>32.6</v>
      </c>
      <c r="P23" s="4">
        <v>13.7</v>
      </c>
      <c r="Q23" s="4">
        <v>5.3</v>
      </c>
      <c r="R23" s="4">
        <v>-1.2</v>
      </c>
      <c r="S23" s="4">
        <v>36</v>
      </c>
      <c r="T23" s="4">
        <v>18.331250000000001</v>
      </c>
      <c r="U23" s="4">
        <v>12.251873262383183</v>
      </c>
      <c r="V23" s="4">
        <v>293.3</v>
      </c>
      <c r="W23" s="4">
        <v>0.215234460996551</v>
      </c>
    </row>
    <row r="24" spans="1:23" x14ac:dyDescent="0.75">
      <c r="A24" s="3" t="s">
        <v>55</v>
      </c>
      <c r="B24" s="4">
        <v>22.5</v>
      </c>
      <c r="C24" s="4">
        <v>13.6</v>
      </c>
      <c r="D24" s="4">
        <v>3.5</v>
      </c>
      <c r="E24" s="4">
        <v>11.8</v>
      </c>
      <c r="F24" s="4">
        <v>5.2</v>
      </c>
      <c r="G24" s="4">
        <v>2.4</v>
      </c>
      <c r="H24" s="4">
        <v>3.1</v>
      </c>
      <c r="I24" s="4">
        <v>3.4</v>
      </c>
      <c r="J24" s="4">
        <v>13.8</v>
      </c>
      <c r="K24" s="4">
        <v>12.8</v>
      </c>
      <c r="L24" s="4">
        <v>22.1</v>
      </c>
      <c r="M24" s="4">
        <v>14.4</v>
      </c>
      <c r="N24" s="4">
        <v>11.2</v>
      </c>
      <c r="O24" s="4">
        <v>3</v>
      </c>
      <c r="P24" s="4">
        <v>16.899999999999999</v>
      </c>
      <c r="Q24" s="4">
        <v>8</v>
      </c>
      <c r="R24" s="4">
        <v>2.4</v>
      </c>
      <c r="S24" s="4">
        <v>22.5</v>
      </c>
      <c r="T24" s="4">
        <v>10.481249999999999</v>
      </c>
      <c r="U24" s="4">
        <v>6.4858710623554625</v>
      </c>
      <c r="V24" s="4">
        <v>167.70000000000002</v>
      </c>
      <c r="W24" s="4">
        <v>0.12306450429294784</v>
      </c>
    </row>
    <row r="25" spans="1:23" x14ac:dyDescent="0.75">
      <c r="A25" s="3" t="s">
        <v>56</v>
      </c>
      <c r="B25" s="4">
        <v>2.9</v>
      </c>
      <c r="C25" s="4">
        <v>12.9</v>
      </c>
      <c r="D25" s="4">
        <v>3.1</v>
      </c>
      <c r="E25" s="4">
        <v>7.8</v>
      </c>
      <c r="F25" s="4">
        <v>3.4</v>
      </c>
      <c r="G25" s="4">
        <v>4.3</v>
      </c>
      <c r="H25" s="4">
        <v>17.3</v>
      </c>
      <c r="I25" s="4">
        <v>5.2</v>
      </c>
      <c r="J25" s="4">
        <v>11.9</v>
      </c>
      <c r="K25" s="4">
        <v>2.4</v>
      </c>
      <c r="L25" s="4">
        <v>4.4000000000000004</v>
      </c>
      <c r="M25" s="4">
        <v>3.5</v>
      </c>
      <c r="N25" s="4">
        <v>14.7</v>
      </c>
      <c r="O25" s="4">
        <v>24.3</v>
      </c>
      <c r="P25" s="4">
        <v>5.6</v>
      </c>
      <c r="Q25" s="4">
        <v>5.4</v>
      </c>
      <c r="R25" s="4">
        <v>2.4</v>
      </c>
      <c r="S25" s="4">
        <v>24.3</v>
      </c>
      <c r="T25" s="4">
        <v>8.0687500000000014</v>
      </c>
      <c r="U25" s="4">
        <v>6.1545429105255236</v>
      </c>
      <c r="V25" s="4">
        <v>129.10000000000002</v>
      </c>
      <c r="W25" s="4">
        <v>9.4738387025757723E-2</v>
      </c>
    </row>
    <row r="26" spans="1:23" x14ac:dyDescent="0.75">
      <c r="A26" s="3" t="s">
        <v>57</v>
      </c>
      <c r="B26" s="4">
        <v>15</v>
      </c>
      <c r="C26" s="4">
        <v>13.6</v>
      </c>
      <c r="D26" s="4">
        <v>7.8</v>
      </c>
      <c r="E26" s="4">
        <v>7</v>
      </c>
      <c r="F26" s="4">
        <v>12.9</v>
      </c>
      <c r="G26" s="4">
        <v>16.2</v>
      </c>
      <c r="H26" s="4">
        <v>18.8</v>
      </c>
      <c r="I26" s="4">
        <v>5.8</v>
      </c>
      <c r="J26" s="4">
        <v>12.2</v>
      </c>
      <c r="K26" s="4">
        <v>12.7</v>
      </c>
      <c r="L26" s="4">
        <v>16.5</v>
      </c>
      <c r="M26" s="4">
        <v>11</v>
      </c>
      <c r="N26" s="4">
        <v>8.6999999999999993</v>
      </c>
      <c r="O26" s="4">
        <v>20.6</v>
      </c>
      <c r="P26" s="4">
        <v>14.9</v>
      </c>
      <c r="Q26" s="4">
        <v>5.6</v>
      </c>
      <c r="R26" s="4">
        <v>5.6</v>
      </c>
      <c r="S26" s="4">
        <v>20.6</v>
      </c>
      <c r="T26" s="4">
        <v>12.456250000000001</v>
      </c>
      <c r="U26" s="4">
        <v>4.4016997782106912</v>
      </c>
      <c r="V26" s="4">
        <v>199.3</v>
      </c>
      <c r="W26" s="4">
        <v>0.14625376091582887</v>
      </c>
    </row>
    <row r="27" spans="1:23" x14ac:dyDescent="0.75">
      <c r="A27" s="3" t="s">
        <v>58</v>
      </c>
      <c r="B27" s="4">
        <v>4.7</v>
      </c>
      <c r="C27" s="4">
        <v>10.8</v>
      </c>
      <c r="D27" s="4">
        <v>11.1</v>
      </c>
      <c r="E27" s="4">
        <v>21.7</v>
      </c>
      <c r="F27" s="4">
        <v>25.2</v>
      </c>
      <c r="G27" s="4">
        <v>8.9</v>
      </c>
      <c r="H27" s="4">
        <v>9.1999999999999993</v>
      </c>
      <c r="I27" s="4">
        <v>32.4</v>
      </c>
      <c r="J27" s="4">
        <v>17.600000000000001</v>
      </c>
      <c r="K27" s="4">
        <v>14.6</v>
      </c>
      <c r="L27" s="4">
        <v>15.6</v>
      </c>
      <c r="M27" s="4">
        <v>16</v>
      </c>
      <c r="N27" s="4">
        <v>12</v>
      </c>
      <c r="O27" s="4">
        <v>30.4</v>
      </c>
      <c r="P27" s="4">
        <v>16</v>
      </c>
      <c r="Q27" s="4">
        <v>14.5</v>
      </c>
      <c r="R27" s="4">
        <v>4.7</v>
      </c>
      <c r="S27" s="4">
        <v>32.4</v>
      </c>
      <c r="T27" s="4">
        <v>16.293749999999999</v>
      </c>
      <c r="U27" s="4">
        <v>7.4598482516402465</v>
      </c>
      <c r="V27" s="4">
        <v>260.7</v>
      </c>
      <c r="W27" s="4">
        <v>0.19131136713876865</v>
      </c>
    </row>
    <row r="28" spans="1:23" x14ac:dyDescent="0.75">
      <c r="A28" s="3" t="s">
        <v>59</v>
      </c>
      <c r="B28" s="4">
        <v>5.8</v>
      </c>
      <c r="C28" s="4">
        <v>7.2</v>
      </c>
      <c r="D28" s="4">
        <v>2.7</v>
      </c>
      <c r="E28" s="4">
        <v>6.9</v>
      </c>
      <c r="F28" s="4">
        <v>6.8</v>
      </c>
      <c r="G28" s="4">
        <v>3.2</v>
      </c>
      <c r="H28" s="4">
        <v>2.7</v>
      </c>
      <c r="I28" s="4">
        <v>0.4</v>
      </c>
      <c r="J28" s="4">
        <v>5.6</v>
      </c>
      <c r="K28" s="4">
        <v>0</v>
      </c>
      <c r="L28" s="4">
        <v>11.6</v>
      </c>
      <c r="M28" s="4">
        <v>1.3</v>
      </c>
      <c r="N28" s="4">
        <v>2.8</v>
      </c>
      <c r="O28" s="4">
        <v>2.5</v>
      </c>
      <c r="P28" s="4">
        <v>22.1</v>
      </c>
      <c r="Q28" s="4">
        <v>4.2</v>
      </c>
      <c r="R28" s="4">
        <v>0</v>
      </c>
      <c r="S28" s="4">
        <v>22.1</v>
      </c>
      <c r="T28" s="4">
        <v>5.3624999999999998</v>
      </c>
      <c r="U28" s="4">
        <v>5.1958968186444974</v>
      </c>
      <c r="V28" s="4">
        <v>85.8</v>
      </c>
      <c r="W28" s="4">
        <v>6.2963234754531458E-2</v>
      </c>
    </row>
    <row r="29" spans="1:23" x14ac:dyDescent="0.75">
      <c r="A29" s="3" t="s">
        <v>60</v>
      </c>
      <c r="B29" s="4">
        <v>0</v>
      </c>
      <c r="C29" s="4">
        <v>5.4</v>
      </c>
      <c r="D29" s="4">
        <v>16.399999999999999</v>
      </c>
      <c r="E29" s="4">
        <v>3</v>
      </c>
      <c r="F29" s="4">
        <v>13.1</v>
      </c>
      <c r="G29" s="4">
        <v>11.3</v>
      </c>
      <c r="H29" s="4">
        <v>9.8000000000000007</v>
      </c>
      <c r="I29" s="4">
        <v>5.2</v>
      </c>
      <c r="J29" s="4">
        <v>4.3</v>
      </c>
      <c r="K29" s="4">
        <v>11.2</v>
      </c>
      <c r="L29" s="4">
        <v>9.8000000000000007</v>
      </c>
      <c r="M29" s="4">
        <v>10</v>
      </c>
      <c r="N29" s="4">
        <v>3.4</v>
      </c>
      <c r="O29" s="4">
        <v>8.4</v>
      </c>
      <c r="P29" s="4">
        <v>2.2999999999999998</v>
      </c>
      <c r="Q29" s="4">
        <v>2.2000000000000002</v>
      </c>
      <c r="R29" s="4">
        <v>0</v>
      </c>
      <c r="S29" s="4">
        <v>16.399999999999999</v>
      </c>
      <c r="T29" s="4">
        <v>7.2374999999999998</v>
      </c>
      <c r="U29" s="4">
        <v>4.4973429655742265</v>
      </c>
      <c r="V29" s="4">
        <v>115.8</v>
      </c>
      <c r="W29" s="4">
        <v>8.4978351801570429E-2</v>
      </c>
    </row>
    <row r="30" spans="1:23" x14ac:dyDescent="0.75">
      <c r="A30" s="3" t="s">
        <v>61</v>
      </c>
      <c r="B30" s="4">
        <v>19</v>
      </c>
      <c r="C30" s="4">
        <v>11</v>
      </c>
      <c r="D30" s="4">
        <v>6</v>
      </c>
      <c r="E30" s="4">
        <v>6</v>
      </c>
      <c r="F30" s="4">
        <v>4</v>
      </c>
      <c r="G30" s="4">
        <v>10</v>
      </c>
      <c r="H30" s="4">
        <v>12</v>
      </c>
      <c r="I30" s="4">
        <v>0</v>
      </c>
      <c r="J30" s="4">
        <v>12</v>
      </c>
      <c r="K30" s="4">
        <v>7</v>
      </c>
      <c r="L30" s="4">
        <v>3</v>
      </c>
      <c r="M30" s="4">
        <v>3</v>
      </c>
      <c r="N30" s="4">
        <v>1</v>
      </c>
      <c r="O30" s="4">
        <v>-3</v>
      </c>
      <c r="P30" s="4">
        <v>3</v>
      </c>
      <c r="Q30" s="4">
        <v>17</v>
      </c>
      <c r="R30" s="4">
        <v>-3</v>
      </c>
      <c r="S30" s="4">
        <v>19</v>
      </c>
      <c r="T30" s="4">
        <v>6.9375</v>
      </c>
      <c r="U30" s="4">
        <v>5.9315759920951869</v>
      </c>
      <c r="V30" s="4">
        <v>111</v>
      </c>
      <c r="W30" s="4">
        <v>8.1455933074044182E-2</v>
      </c>
    </row>
    <row r="31" spans="1:23" x14ac:dyDescent="0.7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6C76-90DD-4275-AF66-3AED69CB83AB}">
  <sheetPr codeName="Sheet4"/>
  <dimension ref="A1:W31"/>
  <sheetViews>
    <sheetView zoomScale="44" workbookViewId="0">
      <selection activeCell="O9" sqref="O9"/>
    </sheetView>
  </sheetViews>
  <sheetFormatPr defaultRowHeight="14.75" x14ac:dyDescent="0.75"/>
  <cols>
    <col min="1" max="1" width="27.90625" bestFit="1" customWidth="1"/>
    <col min="2" max="10" width="17.40625" bestFit="1" customWidth="1"/>
    <col min="11" max="17" width="18.453125" bestFit="1" customWidth="1"/>
    <col min="18" max="18" width="14.5" bestFit="1" customWidth="1"/>
    <col min="19" max="19" width="14.81640625" bestFit="1" customWidth="1"/>
    <col min="20" max="20" width="18" bestFit="1" customWidth="1"/>
    <col min="21" max="21" width="17.5" bestFit="1" customWidth="1"/>
    <col min="22" max="22" width="15.31640625" bestFit="1" customWidth="1"/>
    <col min="23" max="23" width="20.26953125" bestFit="1" customWidth="1"/>
  </cols>
  <sheetData>
    <row r="1" spans="1:23" x14ac:dyDescent="0.75">
      <c r="A1" s="3" t="s">
        <v>29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27</v>
      </c>
      <c r="Q1" s="3" t="s">
        <v>28</v>
      </c>
      <c r="R1" s="3" t="s">
        <v>30</v>
      </c>
      <c r="S1" s="3" t="s">
        <v>31</v>
      </c>
      <c r="T1" s="3" t="s">
        <v>32</v>
      </c>
      <c r="U1" s="3" t="s">
        <v>33</v>
      </c>
      <c r="V1" s="3" t="s">
        <v>34</v>
      </c>
      <c r="W1" s="3" t="s">
        <v>35</v>
      </c>
    </row>
    <row r="2" spans="1:23" x14ac:dyDescent="0.75">
      <c r="A2" s="3" t="s">
        <v>36</v>
      </c>
      <c r="B2" s="3">
        <v>93.899999999999977</v>
      </c>
      <c r="C2" s="3">
        <v>123.6</v>
      </c>
      <c r="D2" s="3">
        <v>71.600000000000009</v>
      </c>
      <c r="E2" s="3">
        <v>72.5</v>
      </c>
      <c r="F2" s="3">
        <v>93.9</v>
      </c>
      <c r="G2" s="3">
        <v>108.2</v>
      </c>
      <c r="H2" s="3">
        <v>89.1</v>
      </c>
      <c r="I2" s="3">
        <v>111.4</v>
      </c>
      <c r="J2" s="3">
        <v>70.3</v>
      </c>
      <c r="K2" s="3">
        <v>137.6</v>
      </c>
      <c r="L2" s="3">
        <v>105.2</v>
      </c>
      <c r="M2" s="3">
        <v>64.400000000000006</v>
      </c>
      <c r="N2" s="3">
        <v>73</v>
      </c>
      <c r="O2" s="3">
        <v>96</v>
      </c>
      <c r="P2" s="3">
        <v>88.6</v>
      </c>
      <c r="Q2" s="3">
        <v>107.3</v>
      </c>
      <c r="R2" s="3">
        <v>64.400000000000006</v>
      </c>
      <c r="S2" s="3">
        <v>137.6</v>
      </c>
      <c r="T2" s="3">
        <v>94.162499999999994</v>
      </c>
      <c r="U2" s="3">
        <v>20.130011022103304</v>
      </c>
      <c r="V2" s="3">
        <v>1506.6</v>
      </c>
      <c r="W2" s="3">
        <v>0.71903784660907732</v>
      </c>
    </row>
    <row r="3" spans="1:23" x14ac:dyDescent="0.75">
      <c r="A3" s="3" t="s">
        <v>37</v>
      </c>
      <c r="B3" s="3">
        <v>44.7</v>
      </c>
      <c r="C3" s="3">
        <v>45.8</v>
      </c>
      <c r="D3" s="3">
        <v>22.9</v>
      </c>
      <c r="E3" s="3">
        <v>32.1</v>
      </c>
      <c r="F3" s="3">
        <v>26.6</v>
      </c>
      <c r="G3" s="3">
        <v>24.799999999999997</v>
      </c>
      <c r="H3" s="3">
        <v>39.6</v>
      </c>
      <c r="I3" s="3">
        <v>55.900000000000006</v>
      </c>
      <c r="J3" s="3">
        <v>33.4</v>
      </c>
      <c r="K3" s="3">
        <v>29.4</v>
      </c>
      <c r="L3" s="3">
        <v>28.199999999999996</v>
      </c>
      <c r="M3" s="3">
        <v>44.3</v>
      </c>
      <c r="N3" s="3">
        <v>83</v>
      </c>
      <c r="O3" s="3">
        <v>23.6</v>
      </c>
      <c r="P3" s="3">
        <v>43.8</v>
      </c>
      <c r="Q3" s="3">
        <v>10.6</v>
      </c>
      <c r="R3" s="3">
        <v>10.6</v>
      </c>
      <c r="S3" s="3">
        <v>83</v>
      </c>
      <c r="T3" s="3">
        <v>36.793750000000003</v>
      </c>
      <c r="U3" s="3">
        <v>16.240476776791386</v>
      </c>
      <c r="V3" s="3">
        <v>588.69999999999993</v>
      </c>
      <c r="W3" s="3">
        <v>0.28096215339092251</v>
      </c>
    </row>
    <row r="4" spans="1:23" x14ac:dyDescent="0.75">
      <c r="A4" s="3" t="s">
        <v>38</v>
      </c>
      <c r="B4" s="3">
        <v>138.6</v>
      </c>
      <c r="C4" s="3">
        <v>169.4</v>
      </c>
      <c r="D4" s="3">
        <v>94.5</v>
      </c>
      <c r="E4" s="3">
        <v>104.6</v>
      </c>
      <c r="F4" s="3">
        <v>120.5</v>
      </c>
      <c r="G4" s="3">
        <v>133</v>
      </c>
      <c r="H4" s="3">
        <v>128.69999999999999</v>
      </c>
      <c r="I4" s="3">
        <v>167.3</v>
      </c>
      <c r="J4" s="3">
        <v>103.7</v>
      </c>
      <c r="K4" s="3">
        <v>167</v>
      </c>
      <c r="L4" s="3">
        <v>133.4</v>
      </c>
      <c r="M4" s="3">
        <v>108.7</v>
      </c>
      <c r="N4" s="3">
        <v>156</v>
      </c>
      <c r="O4" s="3">
        <v>119.6</v>
      </c>
      <c r="P4" s="3">
        <v>132.39999999999998</v>
      </c>
      <c r="Q4" s="3">
        <v>117.9</v>
      </c>
      <c r="R4" s="3">
        <v>94.5</v>
      </c>
      <c r="S4" s="3">
        <v>169.4</v>
      </c>
      <c r="T4" s="3">
        <v>130.95625000000001</v>
      </c>
      <c r="U4" s="3">
        <v>23.010322921191172</v>
      </c>
      <c r="V4" s="3">
        <v>2095.3000000000002</v>
      </c>
      <c r="W4" s="3" t="s">
        <v>39</v>
      </c>
    </row>
    <row r="5" spans="1:23" x14ac:dyDescent="0.75">
      <c r="A5" s="3" t="s">
        <v>40</v>
      </c>
      <c r="B5" s="3" t="s">
        <v>39</v>
      </c>
      <c r="C5" s="3">
        <v>0</v>
      </c>
      <c r="D5" s="3">
        <v>1</v>
      </c>
      <c r="E5" s="3">
        <v>3</v>
      </c>
      <c r="F5" s="3">
        <v>3</v>
      </c>
      <c r="G5" s="3">
        <v>5</v>
      </c>
      <c r="H5" s="3">
        <v>1</v>
      </c>
      <c r="I5" s="3">
        <v>1</v>
      </c>
      <c r="J5" s="3">
        <v>4</v>
      </c>
      <c r="K5" s="3">
        <v>5</v>
      </c>
      <c r="L5" s="3">
        <v>2</v>
      </c>
      <c r="M5" s="3">
        <v>1</v>
      </c>
      <c r="N5" s="3">
        <v>2</v>
      </c>
      <c r="O5" s="3">
        <v>2</v>
      </c>
      <c r="P5" s="3">
        <v>0</v>
      </c>
      <c r="Q5" s="3">
        <v>0</v>
      </c>
      <c r="R5" s="3">
        <v>0</v>
      </c>
      <c r="S5" s="3">
        <v>5</v>
      </c>
      <c r="T5" s="3">
        <v>2</v>
      </c>
      <c r="U5" s="3">
        <v>1.6329931618554521</v>
      </c>
      <c r="V5" s="3">
        <v>30</v>
      </c>
      <c r="W5" s="3" t="s">
        <v>39</v>
      </c>
    </row>
    <row r="6" spans="1:23" x14ac:dyDescent="0.75">
      <c r="A6" s="3" t="s">
        <v>41</v>
      </c>
      <c r="B6" s="3" t="s">
        <v>39</v>
      </c>
      <c r="C6" s="3">
        <v>1</v>
      </c>
      <c r="D6" s="3">
        <v>2</v>
      </c>
      <c r="E6" s="3">
        <v>3</v>
      </c>
      <c r="F6" s="3">
        <v>2</v>
      </c>
      <c r="G6" s="3">
        <v>3</v>
      </c>
      <c r="H6" s="3">
        <v>3</v>
      </c>
      <c r="I6" s="3">
        <v>2</v>
      </c>
      <c r="J6" s="3">
        <v>4</v>
      </c>
      <c r="K6" s="3">
        <v>0</v>
      </c>
      <c r="L6" s="3">
        <v>1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4</v>
      </c>
      <c r="T6" s="3">
        <v>1.4</v>
      </c>
      <c r="U6" s="3">
        <v>1.3564659966250536</v>
      </c>
      <c r="V6" s="3">
        <v>21</v>
      </c>
      <c r="W6" s="3" t="s">
        <v>39</v>
      </c>
    </row>
    <row r="7" spans="1:23" x14ac:dyDescent="0.75">
      <c r="A7" s="3" t="s">
        <v>42</v>
      </c>
      <c r="B7" s="3">
        <v>3</v>
      </c>
      <c r="C7" s="3">
        <v>5</v>
      </c>
      <c r="D7" s="3">
        <v>2</v>
      </c>
      <c r="E7" s="3">
        <v>4</v>
      </c>
      <c r="F7" s="3">
        <v>2</v>
      </c>
      <c r="G7" s="3">
        <v>3</v>
      </c>
      <c r="H7" s="3">
        <v>2</v>
      </c>
      <c r="I7" s="3">
        <v>4</v>
      </c>
      <c r="J7" s="3">
        <v>3</v>
      </c>
      <c r="K7" s="3">
        <v>1</v>
      </c>
      <c r="L7" s="3">
        <v>3</v>
      </c>
      <c r="M7" s="3">
        <v>3</v>
      </c>
      <c r="N7" s="3">
        <v>5</v>
      </c>
      <c r="O7" s="3">
        <v>2</v>
      </c>
      <c r="P7" s="3">
        <v>4</v>
      </c>
      <c r="Q7" s="3">
        <v>1</v>
      </c>
      <c r="R7" s="3">
        <v>1</v>
      </c>
      <c r="S7" s="3">
        <v>5</v>
      </c>
      <c r="T7" s="3">
        <v>2.9375</v>
      </c>
      <c r="U7" s="3">
        <v>1.197327753791751</v>
      </c>
      <c r="V7" s="3">
        <v>47</v>
      </c>
      <c r="W7" s="3" t="s">
        <v>39</v>
      </c>
    </row>
    <row r="8" spans="1:23" x14ac:dyDescent="0.75">
      <c r="A8" s="3" t="s">
        <v>43</v>
      </c>
      <c r="B8" s="3">
        <v>112.3</v>
      </c>
      <c r="C8" s="3">
        <v>140</v>
      </c>
      <c r="D8" s="3">
        <v>83.2</v>
      </c>
      <c r="E8" s="3">
        <v>84.5</v>
      </c>
      <c r="F8" s="3">
        <v>106.9</v>
      </c>
      <c r="G8" s="3">
        <v>113</v>
      </c>
      <c r="H8" s="3">
        <v>99.6</v>
      </c>
      <c r="I8" s="3">
        <v>123.2</v>
      </c>
      <c r="J8" s="3">
        <v>76.7</v>
      </c>
      <c r="K8" s="3">
        <v>138.19999999999999</v>
      </c>
      <c r="L8" s="3">
        <v>116.7</v>
      </c>
      <c r="M8" s="3">
        <v>75.900000000000006</v>
      </c>
      <c r="N8" s="3">
        <v>115.8</v>
      </c>
      <c r="O8" s="3">
        <v>107.7</v>
      </c>
      <c r="P8" s="3">
        <v>97.7</v>
      </c>
      <c r="Q8" s="3">
        <v>114.9</v>
      </c>
      <c r="R8" s="3">
        <v>75.900000000000006</v>
      </c>
      <c r="S8" s="3">
        <v>140</v>
      </c>
      <c r="T8" s="3">
        <v>106.64375000000004</v>
      </c>
      <c r="U8" s="3">
        <v>18.908694056901364</v>
      </c>
      <c r="V8" s="3">
        <v>1706.3000000000004</v>
      </c>
      <c r="W8" s="3" t="s">
        <v>39</v>
      </c>
    </row>
    <row r="9" spans="1:23" x14ac:dyDescent="0.75">
      <c r="A9" s="3" t="s">
        <v>44</v>
      </c>
      <c r="B9" s="4">
        <v>0.83615316117542293</v>
      </c>
      <c r="C9" s="4">
        <v>0.88285714285714267</v>
      </c>
      <c r="D9" s="4">
        <v>0.86057692307692324</v>
      </c>
      <c r="E9" s="4">
        <v>0.85798816568047342</v>
      </c>
      <c r="F9" s="4">
        <v>0.87839101964452748</v>
      </c>
      <c r="G9" s="4">
        <v>0.95752212389380531</v>
      </c>
      <c r="H9" s="4">
        <v>0.89457831325301196</v>
      </c>
      <c r="I9" s="4">
        <v>0.90422077922077915</v>
      </c>
      <c r="J9" s="4">
        <v>0.91655801825293348</v>
      </c>
      <c r="K9" s="4">
        <v>0.99565846599131691</v>
      </c>
      <c r="L9" s="4">
        <v>0.90145672664952869</v>
      </c>
      <c r="M9" s="4">
        <v>0.84848484848484851</v>
      </c>
      <c r="N9" s="4">
        <v>0.63039723661485325</v>
      </c>
      <c r="O9" s="4">
        <v>0.89136490250696387</v>
      </c>
      <c r="P9" s="4">
        <v>0.90685772773797324</v>
      </c>
      <c r="Q9" s="4">
        <v>0.93385552654482162</v>
      </c>
      <c r="R9" s="4">
        <v>0.63039723661485325</v>
      </c>
      <c r="S9" s="4">
        <v>0.99565846599131691</v>
      </c>
      <c r="T9" s="4">
        <v>0.88105756759908282</v>
      </c>
      <c r="U9" s="4" t="s">
        <v>39</v>
      </c>
      <c r="V9" s="4">
        <v>0.88296313661138115</v>
      </c>
      <c r="W9" s="4">
        <v>0</v>
      </c>
    </row>
    <row r="10" spans="1:23" x14ac:dyDescent="0.7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75">
      <c r="A11" s="3" t="s">
        <v>45</v>
      </c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  <c r="I11" s="4" t="s">
        <v>20</v>
      </c>
      <c r="J11" s="4" t="s">
        <v>21</v>
      </c>
      <c r="K11" s="4" t="s">
        <v>22</v>
      </c>
      <c r="L11" s="4" t="s">
        <v>23</v>
      </c>
      <c r="M11" s="4" t="s">
        <v>24</v>
      </c>
      <c r="N11" s="4" t="s">
        <v>25</v>
      </c>
      <c r="O11" s="4" t="s">
        <v>26</v>
      </c>
      <c r="P11" s="4" t="s">
        <v>27</v>
      </c>
      <c r="Q11" s="4" t="s">
        <v>28</v>
      </c>
      <c r="R11" s="4" t="s">
        <v>30</v>
      </c>
      <c r="S11" s="4" t="s">
        <v>31</v>
      </c>
      <c r="T11" s="4" t="s">
        <v>32</v>
      </c>
      <c r="U11" s="4" t="s">
        <v>33</v>
      </c>
      <c r="V11" s="4" t="s">
        <v>34</v>
      </c>
      <c r="W11" s="4" t="s">
        <v>35</v>
      </c>
    </row>
    <row r="12" spans="1:23" x14ac:dyDescent="0.75">
      <c r="A12" s="3" t="s">
        <v>46</v>
      </c>
      <c r="B12" s="4">
        <v>3</v>
      </c>
      <c r="C12" s="4">
        <v>7</v>
      </c>
      <c r="D12" s="4">
        <v>4</v>
      </c>
      <c r="E12" s="4">
        <v>3</v>
      </c>
      <c r="F12" s="4">
        <v>4</v>
      </c>
      <c r="G12" s="4">
        <v>5</v>
      </c>
      <c r="H12" s="4">
        <v>7</v>
      </c>
      <c r="I12" s="4">
        <v>6</v>
      </c>
      <c r="J12" s="4">
        <v>4</v>
      </c>
      <c r="K12" s="4">
        <v>6</v>
      </c>
      <c r="L12" s="4">
        <v>3</v>
      </c>
      <c r="M12" s="4">
        <v>2</v>
      </c>
      <c r="N12" s="4">
        <v>5</v>
      </c>
      <c r="O12" s="4">
        <v>6</v>
      </c>
      <c r="P12" s="4">
        <v>5</v>
      </c>
      <c r="Q12" s="4">
        <v>8</v>
      </c>
      <c r="R12" s="4">
        <v>2</v>
      </c>
      <c r="S12" s="4">
        <v>8</v>
      </c>
      <c r="T12" s="4">
        <v>4.875</v>
      </c>
      <c r="U12" s="4">
        <v>1.6535945694153693</v>
      </c>
      <c r="V12" s="4">
        <v>78</v>
      </c>
      <c r="W12" s="4">
        <v>0.78</v>
      </c>
    </row>
    <row r="13" spans="1:23" x14ac:dyDescent="0.75">
      <c r="A13" s="3" t="s">
        <v>47</v>
      </c>
      <c r="B13" s="4">
        <v>1</v>
      </c>
      <c r="C13" s="4">
        <v>1</v>
      </c>
      <c r="D13" s="4">
        <v>0</v>
      </c>
      <c r="E13" s="4">
        <v>0</v>
      </c>
      <c r="F13" s="4">
        <v>1</v>
      </c>
      <c r="G13" s="4">
        <v>0</v>
      </c>
      <c r="H13" s="4">
        <v>2</v>
      </c>
      <c r="I13" s="4">
        <v>3</v>
      </c>
      <c r="J13" s="4">
        <v>2</v>
      </c>
      <c r="K13" s="4">
        <v>1</v>
      </c>
      <c r="L13" s="4">
        <v>1</v>
      </c>
      <c r="M13" s="4">
        <v>3</v>
      </c>
      <c r="N13" s="4">
        <v>5</v>
      </c>
      <c r="O13" s="4">
        <v>2</v>
      </c>
      <c r="P13" s="4">
        <v>0</v>
      </c>
      <c r="Q13" s="4">
        <v>0</v>
      </c>
      <c r="R13" s="4">
        <v>0</v>
      </c>
      <c r="S13" s="4">
        <v>5</v>
      </c>
      <c r="T13" s="4">
        <v>1.375</v>
      </c>
      <c r="U13" s="4">
        <v>1.3635890143294642</v>
      </c>
      <c r="V13" s="4">
        <v>22</v>
      </c>
      <c r="W13" s="4">
        <v>0.22</v>
      </c>
    </row>
    <row r="14" spans="1:23" x14ac:dyDescent="0.75">
      <c r="A14" s="3" t="s">
        <v>48</v>
      </c>
      <c r="B14" s="4">
        <v>4</v>
      </c>
      <c r="C14" s="4">
        <v>8</v>
      </c>
      <c r="D14" s="4">
        <v>4</v>
      </c>
      <c r="E14" s="4">
        <v>3</v>
      </c>
      <c r="F14" s="4">
        <v>5</v>
      </c>
      <c r="G14" s="4">
        <v>5</v>
      </c>
      <c r="H14" s="4">
        <v>9</v>
      </c>
      <c r="I14" s="4">
        <v>9</v>
      </c>
      <c r="J14" s="4">
        <v>6</v>
      </c>
      <c r="K14" s="4">
        <v>7</v>
      </c>
      <c r="L14" s="4">
        <v>4</v>
      </c>
      <c r="M14" s="4">
        <v>5</v>
      </c>
      <c r="N14" s="4">
        <v>10</v>
      </c>
      <c r="O14" s="4">
        <v>8</v>
      </c>
      <c r="P14" s="4">
        <v>5</v>
      </c>
      <c r="Q14" s="4">
        <v>8</v>
      </c>
      <c r="R14" s="4">
        <v>3</v>
      </c>
      <c r="S14" s="4">
        <v>10</v>
      </c>
      <c r="T14" s="4">
        <v>6.25</v>
      </c>
      <c r="U14" s="4">
        <v>2.1065374432940898</v>
      </c>
      <c r="V14" s="4">
        <v>100</v>
      </c>
      <c r="W14" s="4"/>
    </row>
    <row r="15" spans="1:23" x14ac:dyDescent="0.75">
      <c r="A15" s="3" t="s">
        <v>49</v>
      </c>
      <c r="B15" s="4">
        <v>0.1916932907348243</v>
      </c>
      <c r="C15" s="4">
        <v>0.33980582524271846</v>
      </c>
      <c r="D15" s="4">
        <v>0.33519553072625696</v>
      </c>
      <c r="E15" s="4">
        <v>0.24827586206896551</v>
      </c>
      <c r="F15" s="4">
        <v>0.25559105431309903</v>
      </c>
      <c r="G15" s="4">
        <v>0.27726432532347506</v>
      </c>
      <c r="H15" s="4">
        <v>0.4713804713804714</v>
      </c>
      <c r="I15" s="4">
        <v>0.32315978456014366</v>
      </c>
      <c r="J15" s="4">
        <v>0.34139402560455195</v>
      </c>
      <c r="K15" s="4">
        <v>0.26162790697674421</v>
      </c>
      <c r="L15" s="4">
        <v>0.17110266159695817</v>
      </c>
      <c r="M15" s="4">
        <v>0.18633540372670809</v>
      </c>
      <c r="N15" s="4">
        <v>0.41095890410958902</v>
      </c>
      <c r="O15" s="4">
        <v>0.375</v>
      </c>
      <c r="P15" s="4">
        <v>0.33860045146726864</v>
      </c>
      <c r="Q15" s="4">
        <v>0.44734389561975768</v>
      </c>
      <c r="R15" s="4">
        <v>0.17110266159695817</v>
      </c>
      <c r="S15" s="4">
        <v>0.4713804713804714</v>
      </c>
      <c r="T15" s="4">
        <v>0.31063321385902032</v>
      </c>
      <c r="U15" s="4"/>
      <c r="V15" s="4"/>
      <c r="W15" s="4"/>
    </row>
    <row r="16" spans="1:23" x14ac:dyDescent="0.75">
      <c r="A16" s="3" t="s">
        <v>50</v>
      </c>
      <c r="B16" s="4">
        <v>0.80830670926517567</v>
      </c>
      <c r="C16" s="4">
        <v>0.66019417475728148</v>
      </c>
      <c r="D16" s="4">
        <v>0.66480446927374304</v>
      </c>
      <c r="E16" s="4">
        <v>0.75172413793103443</v>
      </c>
      <c r="F16" s="4">
        <v>0.74440894568690097</v>
      </c>
      <c r="G16" s="4">
        <v>0.722735674676525</v>
      </c>
      <c r="H16" s="4">
        <v>0.52861952861952854</v>
      </c>
      <c r="I16" s="4">
        <v>0.67684021543985629</v>
      </c>
      <c r="J16" s="4">
        <v>0.65860597439544799</v>
      </c>
      <c r="K16" s="4">
        <v>0.73837209302325579</v>
      </c>
      <c r="L16" s="4">
        <v>0.82889733840304181</v>
      </c>
      <c r="M16" s="4">
        <v>0.8136645962732918</v>
      </c>
      <c r="N16" s="4">
        <v>0.58904109589041098</v>
      </c>
      <c r="O16" s="4">
        <v>0.625</v>
      </c>
      <c r="P16" s="4">
        <v>0.66139954853273131</v>
      </c>
      <c r="Q16" s="4">
        <v>0.55265610438024226</v>
      </c>
      <c r="R16" s="4">
        <v>0.52861952861952854</v>
      </c>
      <c r="S16" s="4">
        <v>0.82889733840304181</v>
      </c>
      <c r="T16" s="4">
        <v>0.68936678614097968</v>
      </c>
      <c r="U16" s="4"/>
      <c r="V16" s="4"/>
      <c r="W16" s="4"/>
    </row>
    <row r="17" spans="1:23" x14ac:dyDescent="0.75">
      <c r="A17" s="3" t="s">
        <v>51</v>
      </c>
      <c r="B17" s="4">
        <v>0.13422818791946309</v>
      </c>
      <c r="C17" s="4">
        <v>0.13100436681222707</v>
      </c>
      <c r="D17" s="4">
        <v>0</v>
      </c>
      <c r="E17" s="4">
        <v>0</v>
      </c>
      <c r="F17" s="4">
        <v>0.22556390977443608</v>
      </c>
      <c r="G17" s="4">
        <v>0</v>
      </c>
      <c r="H17" s="4">
        <v>0.30303030303030304</v>
      </c>
      <c r="I17" s="4">
        <v>0.32200357781753125</v>
      </c>
      <c r="J17" s="4">
        <v>0.3592814371257485</v>
      </c>
      <c r="K17" s="4">
        <v>0.20408163265306123</v>
      </c>
      <c r="L17" s="4">
        <v>0.21276595744680857</v>
      </c>
      <c r="M17" s="4">
        <v>0.4063205417607223</v>
      </c>
      <c r="N17" s="4">
        <v>0.36144578313253006</v>
      </c>
      <c r="O17" s="4">
        <v>0.50847457627118642</v>
      </c>
      <c r="P17" s="4">
        <v>0</v>
      </c>
      <c r="Q17" s="4">
        <v>0</v>
      </c>
      <c r="R17" s="4">
        <v>0</v>
      </c>
      <c r="S17" s="4">
        <v>0.50847457627118642</v>
      </c>
      <c r="T17" s="4">
        <v>0.22422286393748939</v>
      </c>
      <c r="U17" s="4"/>
      <c r="V17" s="4"/>
      <c r="W17" s="4"/>
    </row>
    <row r="18" spans="1:23" x14ac:dyDescent="0.75">
      <c r="A18" s="3" t="s">
        <v>52</v>
      </c>
      <c r="B18" s="4">
        <v>0.865771812080537</v>
      </c>
      <c r="C18" s="4">
        <v>0.86899563318777295</v>
      </c>
      <c r="D18" s="4">
        <v>1</v>
      </c>
      <c r="E18" s="4">
        <v>1</v>
      </c>
      <c r="F18" s="4">
        <v>0.77443609022556381</v>
      </c>
      <c r="G18" s="4">
        <v>1</v>
      </c>
      <c r="H18" s="4">
        <v>0.69696969696969702</v>
      </c>
      <c r="I18" s="4">
        <v>0.67799642218246881</v>
      </c>
      <c r="J18" s="4">
        <v>0.64071856287425155</v>
      </c>
      <c r="K18" s="4">
        <v>0.79591836734693877</v>
      </c>
      <c r="L18" s="4">
        <v>0.7872340425531914</v>
      </c>
      <c r="M18" s="4">
        <v>0.5936794582392777</v>
      </c>
      <c r="N18" s="4">
        <v>0.63855421686746983</v>
      </c>
      <c r="O18" s="4">
        <v>0.49152542372881358</v>
      </c>
      <c r="P18" s="4">
        <v>1</v>
      </c>
      <c r="Q18" s="4">
        <v>1</v>
      </c>
      <c r="R18" s="4">
        <v>0.49152542372881358</v>
      </c>
      <c r="S18" s="4">
        <v>1</v>
      </c>
      <c r="T18" s="4">
        <v>0.77577713606251053</v>
      </c>
      <c r="U18" s="4"/>
      <c r="V18" s="4"/>
      <c r="W18" s="4"/>
    </row>
    <row r="19" spans="1:23" x14ac:dyDescent="0.75">
      <c r="A19" s="3" t="s">
        <v>53</v>
      </c>
      <c r="B19" s="4">
        <v>0.17316017316017318</v>
      </c>
      <c r="C19" s="4">
        <v>0.28335301062573787</v>
      </c>
      <c r="D19" s="4">
        <v>0.25396825396825395</v>
      </c>
      <c r="E19" s="4">
        <v>0.17208413001912046</v>
      </c>
      <c r="F19" s="4">
        <v>0.24896265560165975</v>
      </c>
      <c r="G19" s="4">
        <v>0.22556390977443608</v>
      </c>
      <c r="H19" s="4">
        <v>0.41958041958041969</v>
      </c>
      <c r="I19" s="4">
        <v>0.32277346084877462</v>
      </c>
      <c r="J19" s="4">
        <v>0.34715525554484095</v>
      </c>
      <c r="K19" s="4">
        <v>0.25149700598802394</v>
      </c>
      <c r="L19" s="4">
        <v>0.17991004497751123</v>
      </c>
      <c r="M19" s="4">
        <v>0.27598896044158233</v>
      </c>
      <c r="N19" s="4">
        <v>0.38461538461538464</v>
      </c>
      <c r="O19" s="4">
        <v>0.40133779264214048</v>
      </c>
      <c r="P19" s="4">
        <v>0.22658610271903329</v>
      </c>
      <c r="Q19" s="4">
        <v>0.40712468193384221</v>
      </c>
      <c r="R19" s="4">
        <v>0.17208413001912046</v>
      </c>
      <c r="S19" s="4">
        <v>0.41958041958041969</v>
      </c>
      <c r="T19" s="4">
        <v>0.2863551758698038</v>
      </c>
      <c r="U19" s="4"/>
      <c r="V19" s="4"/>
      <c r="W19" s="4"/>
    </row>
    <row r="20" spans="1:23" x14ac:dyDescent="0.75">
      <c r="A20" s="3" t="s">
        <v>54</v>
      </c>
      <c r="B20" s="4">
        <v>0.82683982683982693</v>
      </c>
      <c r="C20" s="4">
        <v>0.71664698937426219</v>
      </c>
      <c r="D20" s="4">
        <v>0.74603174603174605</v>
      </c>
      <c r="E20" s="4">
        <v>0.82791586998087952</v>
      </c>
      <c r="F20" s="4">
        <v>0.75103734439834036</v>
      </c>
      <c r="G20" s="4">
        <v>0.77443609022556381</v>
      </c>
      <c r="H20" s="4">
        <v>0.58041958041958042</v>
      </c>
      <c r="I20" s="4">
        <v>0.67722653915122533</v>
      </c>
      <c r="J20" s="4">
        <v>0.65284474445515905</v>
      </c>
      <c r="K20" s="4">
        <v>0.74850299401197595</v>
      </c>
      <c r="L20" s="4">
        <v>0.8200899550224886</v>
      </c>
      <c r="M20" s="4">
        <v>0.72401103955841761</v>
      </c>
      <c r="N20" s="4">
        <v>0.61538461538461542</v>
      </c>
      <c r="O20" s="4">
        <v>0.59866220735785958</v>
      </c>
      <c r="P20" s="4">
        <v>0.77341389728096677</v>
      </c>
      <c r="Q20" s="4">
        <v>0.59287531806615767</v>
      </c>
      <c r="R20" s="4">
        <v>0.58041958041958042</v>
      </c>
      <c r="S20" s="4">
        <v>0.82791586998087952</v>
      </c>
      <c r="T20" s="4">
        <v>0.71364482413019625</v>
      </c>
      <c r="U20" s="4"/>
      <c r="V20" s="4"/>
      <c r="W20" s="4"/>
    </row>
    <row r="21" spans="1:23" x14ac:dyDescent="0.7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75">
      <c r="A22" s="3" t="s">
        <v>29</v>
      </c>
      <c r="B22" s="4" t="s">
        <v>13</v>
      </c>
      <c r="C22" s="4" t="s">
        <v>14</v>
      </c>
      <c r="D22" s="4" t="s">
        <v>15</v>
      </c>
      <c r="E22" s="4" t="s">
        <v>16</v>
      </c>
      <c r="F22" s="4" t="s">
        <v>17</v>
      </c>
      <c r="G22" s="4" t="s">
        <v>18</v>
      </c>
      <c r="H22" s="4" t="s">
        <v>19</v>
      </c>
      <c r="I22" s="4" t="s">
        <v>20</v>
      </c>
      <c r="J22" s="4" t="s">
        <v>21</v>
      </c>
      <c r="K22" s="4" t="s">
        <v>22</v>
      </c>
      <c r="L22" s="4" t="s">
        <v>23</v>
      </c>
      <c r="M22" s="4" t="s">
        <v>24</v>
      </c>
      <c r="N22" s="4" t="s">
        <v>25</v>
      </c>
      <c r="O22" s="4" t="s">
        <v>26</v>
      </c>
      <c r="P22" s="4" t="s">
        <v>27</v>
      </c>
      <c r="Q22" s="4" t="s">
        <v>28</v>
      </c>
      <c r="R22" s="4" t="s">
        <v>30</v>
      </c>
      <c r="S22" s="4" t="s">
        <v>31</v>
      </c>
      <c r="T22" s="4" t="s">
        <v>32</v>
      </c>
      <c r="U22" s="4" t="s">
        <v>33</v>
      </c>
      <c r="V22" s="4" t="s">
        <v>34</v>
      </c>
      <c r="W22" s="4" t="s">
        <v>35</v>
      </c>
    </row>
    <row r="23" spans="1:23" x14ac:dyDescent="0.75">
      <c r="A23" s="3" t="s">
        <v>0</v>
      </c>
      <c r="B23" s="4">
        <v>17.100000000000001</v>
      </c>
      <c r="C23" s="4">
        <v>11.8</v>
      </c>
      <c r="D23" s="4">
        <v>8.3000000000000007</v>
      </c>
      <c r="E23" s="4">
        <v>14.5</v>
      </c>
      <c r="F23" s="4">
        <v>10.9</v>
      </c>
      <c r="G23" s="4">
        <v>24.3</v>
      </c>
      <c r="H23" s="4">
        <v>30.5</v>
      </c>
      <c r="I23" s="4">
        <v>21.5</v>
      </c>
      <c r="J23" s="4">
        <v>36.4</v>
      </c>
      <c r="K23" s="4">
        <v>32.5</v>
      </c>
      <c r="L23" s="4">
        <v>9.8000000000000007</v>
      </c>
      <c r="M23" s="4">
        <v>23.9</v>
      </c>
      <c r="N23" s="4">
        <v>19</v>
      </c>
      <c r="O23" s="4">
        <v>18.2</v>
      </c>
      <c r="P23" s="4">
        <v>14.8</v>
      </c>
      <c r="Q23" s="4">
        <v>33.4</v>
      </c>
      <c r="R23" s="4">
        <v>8.3000000000000007</v>
      </c>
      <c r="S23" s="4">
        <v>36.4</v>
      </c>
      <c r="T23" s="4">
        <v>20.431249999999999</v>
      </c>
      <c r="U23" s="4">
        <v>8.6923614994718221</v>
      </c>
      <c r="V23" s="4">
        <v>326.89999999999998</v>
      </c>
      <c r="W23" s="4">
        <v>0.21697862737289261</v>
      </c>
    </row>
    <row r="24" spans="1:23" x14ac:dyDescent="0.75">
      <c r="A24" s="3" t="s">
        <v>55</v>
      </c>
      <c r="B24" s="4">
        <v>14.1</v>
      </c>
      <c r="C24" s="4">
        <v>0.7</v>
      </c>
      <c r="D24" s="4">
        <v>29.1</v>
      </c>
      <c r="E24" s="4">
        <v>13.3</v>
      </c>
      <c r="F24" s="4">
        <v>7.6</v>
      </c>
      <c r="G24" s="4">
        <v>18.100000000000001</v>
      </c>
      <c r="H24" s="4">
        <v>6.5</v>
      </c>
      <c r="I24" s="4">
        <v>13.6</v>
      </c>
      <c r="J24" s="4">
        <v>1.3</v>
      </c>
      <c r="K24" s="4">
        <v>5.4</v>
      </c>
      <c r="L24" s="4">
        <v>18.5</v>
      </c>
      <c r="M24" s="4">
        <v>2.9</v>
      </c>
      <c r="N24" s="4">
        <v>3.8</v>
      </c>
      <c r="O24" s="4">
        <v>28</v>
      </c>
      <c r="P24" s="4">
        <v>8.3000000000000007</v>
      </c>
      <c r="Q24" s="4">
        <v>16.399999999999999</v>
      </c>
      <c r="R24" s="4">
        <v>0.7</v>
      </c>
      <c r="S24" s="4">
        <v>29.1</v>
      </c>
      <c r="T24" s="4">
        <v>11.725</v>
      </c>
      <c r="U24" s="4">
        <v>8.4917975128944274</v>
      </c>
      <c r="V24" s="4">
        <v>187.6</v>
      </c>
      <c r="W24" s="4">
        <v>0.12451878401699192</v>
      </c>
    </row>
    <row r="25" spans="1:23" x14ac:dyDescent="0.75">
      <c r="A25" s="3" t="s">
        <v>56</v>
      </c>
      <c r="B25" s="4">
        <v>9.3000000000000007</v>
      </c>
      <c r="C25" s="4">
        <v>28.9</v>
      </c>
      <c r="D25" s="4">
        <v>5.3</v>
      </c>
      <c r="E25" s="4">
        <v>13.2</v>
      </c>
      <c r="F25" s="4">
        <v>9.5</v>
      </c>
      <c r="G25" s="4">
        <v>1.7</v>
      </c>
      <c r="H25" s="4">
        <v>6.6</v>
      </c>
      <c r="I25" s="4">
        <v>9</v>
      </c>
      <c r="J25" s="4">
        <v>4</v>
      </c>
      <c r="K25" s="4">
        <v>9.3000000000000007</v>
      </c>
      <c r="L25" s="4">
        <v>1.3</v>
      </c>
      <c r="M25" s="4">
        <v>6.6</v>
      </c>
      <c r="N25" s="4">
        <v>1.3</v>
      </c>
      <c r="O25" s="4">
        <v>8.3000000000000007</v>
      </c>
      <c r="P25" s="4">
        <v>15.8</v>
      </c>
      <c r="Q25" s="4">
        <v>24.8</v>
      </c>
      <c r="R25" s="4">
        <v>1.3</v>
      </c>
      <c r="S25" s="4">
        <v>28.9</v>
      </c>
      <c r="T25" s="4">
        <v>9.6812500000000004</v>
      </c>
      <c r="U25" s="4">
        <v>7.6038821293797039</v>
      </c>
      <c r="V25" s="4">
        <v>154.9</v>
      </c>
      <c r="W25" s="4">
        <v>0.10281428381786806</v>
      </c>
    </row>
    <row r="26" spans="1:23" x14ac:dyDescent="0.75">
      <c r="A26" s="3" t="s">
        <v>57</v>
      </c>
      <c r="B26" s="4">
        <v>9.9</v>
      </c>
      <c r="C26" s="4">
        <v>9.1999999999999993</v>
      </c>
      <c r="D26" s="4">
        <v>22.1</v>
      </c>
      <c r="E26" s="4">
        <v>14.8</v>
      </c>
      <c r="F26" s="4">
        <v>26.4</v>
      </c>
      <c r="G26" s="4">
        <v>14.2</v>
      </c>
      <c r="H26" s="4">
        <v>5.6</v>
      </c>
      <c r="I26" s="4">
        <v>10.199999999999999</v>
      </c>
      <c r="J26" s="4">
        <v>1.1000000000000001</v>
      </c>
      <c r="K26" s="4">
        <v>20</v>
      </c>
      <c r="L26" s="4">
        <v>13</v>
      </c>
      <c r="M26" s="4">
        <v>9.1</v>
      </c>
      <c r="N26" s="4">
        <v>23.2</v>
      </c>
      <c r="O26" s="4">
        <v>6.9</v>
      </c>
      <c r="P26" s="4">
        <v>4</v>
      </c>
      <c r="Q26" s="4">
        <v>11.1</v>
      </c>
      <c r="R26" s="4">
        <v>1.1000000000000001</v>
      </c>
      <c r="S26" s="4">
        <v>26.4</v>
      </c>
      <c r="T26" s="4">
        <v>12.55</v>
      </c>
      <c r="U26" s="4">
        <v>6.9916914977707663</v>
      </c>
      <c r="V26" s="4">
        <v>200.8</v>
      </c>
      <c r="W26" s="4">
        <v>0.13328023363865657</v>
      </c>
    </row>
    <row r="27" spans="1:23" x14ac:dyDescent="0.75">
      <c r="A27" s="3" t="s">
        <v>58</v>
      </c>
      <c r="B27" s="4">
        <v>11.3</v>
      </c>
      <c r="C27" s="4">
        <v>29</v>
      </c>
      <c r="D27" s="4">
        <v>1.2</v>
      </c>
      <c r="E27" s="4">
        <v>6.4</v>
      </c>
      <c r="F27" s="4">
        <v>6.6</v>
      </c>
      <c r="G27" s="4">
        <v>10.1</v>
      </c>
      <c r="H27" s="4">
        <v>9.9</v>
      </c>
      <c r="I27" s="4">
        <v>10.8</v>
      </c>
      <c r="J27" s="4">
        <v>5.5</v>
      </c>
      <c r="K27" s="4">
        <v>16.7</v>
      </c>
      <c r="L27" s="4">
        <v>10.1</v>
      </c>
      <c r="M27" s="4">
        <v>0</v>
      </c>
      <c r="N27" s="4">
        <v>2.1</v>
      </c>
      <c r="O27" s="4">
        <v>11.5</v>
      </c>
      <c r="P27" s="4">
        <v>19.399999999999999</v>
      </c>
      <c r="Q27" s="4">
        <v>0</v>
      </c>
      <c r="R27" s="4">
        <v>0</v>
      </c>
      <c r="S27" s="4">
        <v>29</v>
      </c>
      <c r="T27" s="4">
        <v>9.4124999999999996</v>
      </c>
      <c r="U27" s="4">
        <v>7.4075869046539076</v>
      </c>
      <c r="V27" s="4">
        <v>150.6</v>
      </c>
      <c r="W27" s="4">
        <v>9.9960175228992434E-2</v>
      </c>
    </row>
    <row r="28" spans="1:23" x14ac:dyDescent="0.75">
      <c r="A28" s="3" t="s">
        <v>59</v>
      </c>
      <c r="B28" s="4">
        <v>6.1</v>
      </c>
      <c r="C28" s="4">
        <v>7.8</v>
      </c>
      <c r="D28" s="4">
        <v>0.6</v>
      </c>
      <c r="E28" s="4">
        <v>3.6</v>
      </c>
      <c r="F28" s="4">
        <v>11.9</v>
      </c>
      <c r="G28" s="4">
        <v>5.7</v>
      </c>
      <c r="H28" s="4">
        <v>22.4</v>
      </c>
      <c r="I28" s="4">
        <v>1</v>
      </c>
      <c r="J28" s="4">
        <v>10.199999999999999</v>
      </c>
      <c r="K28" s="4">
        <v>11.1</v>
      </c>
      <c r="L28" s="4">
        <v>8.1999999999999993</v>
      </c>
      <c r="M28" s="4">
        <v>0</v>
      </c>
      <c r="N28" s="4">
        <v>2.5</v>
      </c>
      <c r="O28" s="4">
        <v>9.6</v>
      </c>
      <c r="P28" s="4">
        <v>0.8</v>
      </c>
      <c r="Q28" s="4">
        <v>11.2</v>
      </c>
      <c r="R28" s="4">
        <v>0</v>
      </c>
      <c r="S28" s="4">
        <v>22.4</v>
      </c>
      <c r="T28" s="4">
        <v>7.0437499999999993</v>
      </c>
      <c r="U28" s="4">
        <v>5.6644691664356346</v>
      </c>
      <c r="V28" s="4">
        <v>112.7</v>
      </c>
      <c r="W28" s="4">
        <v>7.4804194875879457E-2</v>
      </c>
    </row>
    <row r="29" spans="1:23" x14ac:dyDescent="0.75">
      <c r="A29" s="3" t="s">
        <v>60</v>
      </c>
      <c r="B29" s="4">
        <v>4.0999999999999996</v>
      </c>
      <c r="C29" s="4">
        <v>21.2</v>
      </c>
      <c r="D29" s="4">
        <v>11</v>
      </c>
      <c r="E29" s="4">
        <v>4.7</v>
      </c>
      <c r="F29" s="4">
        <v>7</v>
      </c>
      <c r="G29" s="4">
        <v>14.1</v>
      </c>
      <c r="H29" s="4">
        <v>6.6</v>
      </c>
      <c r="I29" s="4">
        <v>18.3</v>
      </c>
      <c r="J29" s="4">
        <v>4.8</v>
      </c>
      <c r="K29" s="4">
        <v>26.6</v>
      </c>
      <c r="L29" s="4">
        <v>21.3</v>
      </c>
      <c r="M29" s="4">
        <v>12.9</v>
      </c>
      <c r="N29" s="4">
        <v>7.1</v>
      </c>
      <c r="O29" s="4">
        <v>19.5</v>
      </c>
      <c r="P29" s="4">
        <v>4.5</v>
      </c>
      <c r="Q29" s="4">
        <v>3.4</v>
      </c>
      <c r="R29" s="4">
        <v>3.4</v>
      </c>
      <c r="S29" s="4">
        <v>26.6</v>
      </c>
      <c r="T29" s="4">
        <v>11.69375</v>
      </c>
      <c r="U29" s="4">
        <v>7.3351438934420337</v>
      </c>
      <c r="V29" s="4">
        <v>187.1</v>
      </c>
      <c r="W29" s="4">
        <v>0.1241869109252622</v>
      </c>
    </row>
    <row r="30" spans="1:23" x14ac:dyDescent="0.75">
      <c r="A30" s="3" t="s">
        <v>61</v>
      </c>
      <c r="B30" s="4">
        <v>22</v>
      </c>
      <c r="C30" s="4">
        <v>15</v>
      </c>
      <c r="D30" s="4">
        <v>-6</v>
      </c>
      <c r="E30" s="4">
        <v>2</v>
      </c>
      <c r="F30" s="4">
        <v>14</v>
      </c>
      <c r="G30" s="4">
        <v>20</v>
      </c>
      <c r="H30" s="4">
        <v>1</v>
      </c>
      <c r="I30" s="4">
        <v>27</v>
      </c>
      <c r="J30" s="4">
        <v>7</v>
      </c>
      <c r="K30" s="4">
        <v>16</v>
      </c>
      <c r="L30" s="4">
        <v>23</v>
      </c>
      <c r="M30" s="4">
        <v>9</v>
      </c>
      <c r="N30" s="4">
        <v>14</v>
      </c>
      <c r="O30" s="4">
        <v>-6</v>
      </c>
      <c r="P30" s="4">
        <v>21</v>
      </c>
      <c r="Q30" s="4">
        <v>7</v>
      </c>
      <c r="R30" s="4">
        <v>-6</v>
      </c>
      <c r="S30" s="4">
        <v>27</v>
      </c>
      <c r="T30" s="4">
        <v>11.625</v>
      </c>
      <c r="U30" s="4">
        <v>9.8417160597123505</v>
      </c>
      <c r="V30" s="4">
        <v>186</v>
      </c>
      <c r="W30" s="4">
        <v>0.1234567901234568</v>
      </c>
    </row>
    <row r="31" spans="1:23" x14ac:dyDescent="0.7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BDADF-9A1C-4A29-9B0C-FFEC1F5DBD4A}">
  <sheetPr codeName="Sheet6"/>
  <dimension ref="A1:W31"/>
  <sheetViews>
    <sheetView workbookViewId="0">
      <selection activeCell="A2" sqref="A2:W31"/>
    </sheetView>
  </sheetViews>
  <sheetFormatPr defaultRowHeight="14.75" x14ac:dyDescent="0.75"/>
  <cols>
    <col min="1" max="1" width="27.90625" bestFit="1" customWidth="1"/>
    <col min="2" max="10" width="11.6796875" bestFit="1" customWidth="1"/>
    <col min="11" max="17" width="12.453125" bestFit="1" customWidth="1"/>
    <col min="18" max="19" width="11.6796875" bestFit="1" customWidth="1"/>
    <col min="20" max="20" width="12.08984375" bestFit="1" customWidth="1"/>
    <col min="21" max="22" width="11.6796875" bestFit="1" customWidth="1"/>
    <col min="23" max="23" width="14.54296875" bestFit="1" customWidth="1"/>
  </cols>
  <sheetData>
    <row r="1" spans="1:23" x14ac:dyDescent="0.75">
      <c r="A1" s="3" t="s">
        <v>29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27</v>
      </c>
      <c r="Q1" s="3" t="s">
        <v>28</v>
      </c>
      <c r="R1" s="3" t="s">
        <v>30</v>
      </c>
      <c r="S1" s="3" t="s">
        <v>31</v>
      </c>
      <c r="T1" s="3" t="s">
        <v>32</v>
      </c>
      <c r="U1" s="3" t="s">
        <v>33</v>
      </c>
      <c r="V1" s="3" t="s">
        <v>34</v>
      </c>
      <c r="W1" s="3" t="s">
        <v>35</v>
      </c>
    </row>
    <row r="2" spans="1:23" x14ac:dyDescent="0.75">
      <c r="A2" s="3" t="s">
        <v>36</v>
      </c>
      <c r="B2" s="3">
        <v>87.8</v>
      </c>
      <c r="C2" s="3">
        <v>96</v>
      </c>
      <c r="D2" s="3">
        <v>109</v>
      </c>
      <c r="E2" s="3">
        <v>59.900000000000006</v>
      </c>
      <c r="F2" s="3">
        <v>109.7</v>
      </c>
      <c r="G2" s="3">
        <v>105.3</v>
      </c>
      <c r="H2" s="3">
        <v>88.5</v>
      </c>
      <c r="I2" s="3">
        <v>87</v>
      </c>
      <c r="J2" s="3">
        <v>106</v>
      </c>
      <c r="K2" s="3">
        <v>101.6</v>
      </c>
      <c r="L2" s="3">
        <v>130.10000000000002</v>
      </c>
      <c r="M2" s="3">
        <v>134.9</v>
      </c>
      <c r="N2" s="3">
        <v>96.399999999999977</v>
      </c>
      <c r="O2" s="3">
        <v>104.3</v>
      </c>
      <c r="P2" s="3">
        <v>94</v>
      </c>
      <c r="Q2" s="3">
        <v>62.9</v>
      </c>
      <c r="R2" s="3">
        <v>59.900000000000006</v>
      </c>
      <c r="S2" s="3">
        <v>134.9</v>
      </c>
      <c r="T2" s="3">
        <v>98.33750000000002</v>
      </c>
      <c r="U2" s="3">
        <v>19.104151217732657</v>
      </c>
      <c r="V2" s="3">
        <v>1573.4000000000003</v>
      </c>
      <c r="W2" s="3">
        <v>0.69163479713394016</v>
      </c>
    </row>
    <row r="3" spans="1:23" x14ac:dyDescent="0.75">
      <c r="A3" s="3" t="s">
        <v>37</v>
      </c>
      <c r="B3" s="3">
        <v>57.4</v>
      </c>
      <c r="C3" s="3">
        <v>78.5</v>
      </c>
      <c r="D3" s="3">
        <v>42.5</v>
      </c>
      <c r="E3" s="3">
        <v>42.3</v>
      </c>
      <c r="F3" s="3">
        <v>22</v>
      </c>
      <c r="G3" s="3">
        <v>60.8</v>
      </c>
      <c r="H3" s="3">
        <v>78.899999999999977</v>
      </c>
      <c r="I3" s="3">
        <v>17.600000000000001</v>
      </c>
      <c r="J3" s="3">
        <v>33.300000000000004</v>
      </c>
      <c r="K3" s="3">
        <v>7.5</v>
      </c>
      <c r="L3" s="3">
        <v>49</v>
      </c>
      <c r="M3" s="3">
        <v>46.400000000000006</v>
      </c>
      <c r="N3" s="3">
        <v>43.5</v>
      </c>
      <c r="O3" s="3">
        <v>32.700000000000003</v>
      </c>
      <c r="P3" s="3">
        <v>55.6</v>
      </c>
      <c r="Q3" s="3">
        <v>33.5</v>
      </c>
      <c r="R3" s="3">
        <v>7.5</v>
      </c>
      <c r="S3" s="3">
        <v>78.899999999999977</v>
      </c>
      <c r="T3" s="3">
        <v>43.843750000000007</v>
      </c>
      <c r="U3" s="3">
        <v>19.212657570921809</v>
      </c>
      <c r="V3" s="3">
        <v>701.50000000000011</v>
      </c>
      <c r="W3" s="3">
        <v>0.30836520286606017</v>
      </c>
    </row>
    <row r="4" spans="1:23" x14ac:dyDescent="0.75">
      <c r="A4" s="3" t="s">
        <v>38</v>
      </c>
      <c r="B4" s="3">
        <v>145.19999999999999</v>
      </c>
      <c r="C4" s="3">
        <v>174.5</v>
      </c>
      <c r="D4" s="3">
        <v>151.5</v>
      </c>
      <c r="E4" s="3">
        <v>102.2</v>
      </c>
      <c r="F4" s="3">
        <v>131.69999999999999</v>
      </c>
      <c r="G4" s="3">
        <v>166.1</v>
      </c>
      <c r="H4" s="3">
        <v>167.39999999999998</v>
      </c>
      <c r="I4" s="3">
        <v>104.6</v>
      </c>
      <c r="J4" s="3">
        <v>139.30000000000001</v>
      </c>
      <c r="K4" s="3">
        <v>109.1</v>
      </c>
      <c r="L4" s="3">
        <v>179.10000000000002</v>
      </c>
      <c r="M4" s="3">
        <v>181.3</v>
      </c>
      <c r="N4" s="3">
        <v>139.89999999999998</v>
      </c>
      <c r="O4" s="3">
        <v>137</v>
      </c>
      <c r="P4" s="3">
        <v>149.6</v>
      </c>
      <c r="Q4" s="3">
        <v>96.4</v>
      </c>
      <c r="R4" s="3">
        <v>96.4</v>
      </c>
      <c r="S4" s="3">
        <v>181.3</v>
      </c>
      <c r="T4" s="3">
        <v>142.18124999999998</v>
      </c>
      <c r="U4" s="3">
        <v>26.981711832971339</v>
      </c>
      <c r="V4" s="3">
        <v>2274.8999999999996</v>
      </c>
      <c r="W4" s="3" t="s">
        <v>39</v>
      </c>
    </row>
    <row r="5" spans="1:23" x14ac:dyDescent="0.75">
      <c r="A5" s="3" t="s">
        <v>40</v>
      </c>
      <c r="B5" s="3" t="s">
        <v>39</v>
      </c>
      <c r="C5" s="3">
        <v>1</v>
      </c>
      <c r="D5" s="3">
        <v>2</v>
      </c>
      <c r="E5" s="3">
        <v>1</v>
      </c>
      <c r="F5" s="3">
        <v>4</v>
      </c>
      <c r="G5" s="3">
        <v>6</v>
      </c>
      <c r="H5" s="3">
        <v>1</v>
      </c>
      <c r="I5" s="3">
        <v>3</v>
      </c>
      <c r="J5" s="3">
        <v>4</v>
      </c>
      <c r="K5" s="3">
        <v>5</v>
      </c>
      <c r="L5" s="3">
        <v>6</v>
      </c>
      <c r="M5" s="3">
        <v>1</v>
      </c>
      <c r="N5" s="3">
        <v>1</v>
      </c>
      <c r="O5" s="3">
        <v>3</v>
      </c>
      <c r="P5" s="3">
        <v>3</v>
      </c>
      <c r="Q5" s="3">
        <v>3</v>
      </c>
      <c r="R5" s="3">
        <v>1</v>
      </c>
      <c r="S5" s="3">
        <v>6</v>
      </c>
      <c r="T5" s="3">
        <v>2.9333333333333331</v>
      </c>
      <c r="U5" s="3">
        <v>1.7307673314329559</v>
      </c>
      <c r="V5" s="3">
        <v>44</v>
      </c>
      <c r="W5" s="3" t="s">
        <v>39</v>
      </c>
    </row>
    <row r="6" spans="1:23" x14ac:dyDescent="0.75">
      <c r="A6" s="3" t="s">
        <v>41</v>
      </c>
      <c r="B6" s="3" t="s">
        <v>39</v>
      </c>
      <c r="C6" s="3">
        <v>0</v>
      </c>
      <c r="D6" s="3">
        <v>1</v>
      </c>
      <c r="E6" s="3">
        <v>0</v>
      </c>
      <c r="F6" s="3">
        <v>2</v>
      </c>
      <c r="G6" s="3">
        <v>2</v>
      </c>
      <c r="H6" s="3">
        <v>0</v>
      </c>
      <c r="I6" s="3">
        <v>2</v>
      </c>
      <c r="J6" s="3">
        <v>1</v>
      </c>
      <c r="K6" s="3">
        <v>2</v>
      </c>
      <c r="L6" s="3">
        <v>3</v>
      </c>
      <c r="M6" s="3">
        <v>0</v>
      </c>
      <c r="N6" s="3">
        <v>1</v>
      </c>
      <c r="O6" s="3">
        <v>2</v>
      </c>
      <c r="P6" s="3">
        <v>2</v>
      </c>
      <c r="Q6" s="3">
        <v>2</v>
      </c>
      <c r="R6" s="3">
        <v>0</v>
      </c>
      <c r="S6" s="3">
        <v>3</v>
      </c>
      <c r="T6" s="3">
        <v>1.3333333333333333</v>
      </c>
      <c r="U6" s="3">
        <v>0.94280904158206336</v>
      </c>
      <c r="V6" s="3">
        <v>20</v>
      </c>
      <c r="W6" s="3" t="s">
        <v>39</v>
      </c>
    </row>
    <row r="7" spans="1:23" x14ac:dyDescent="0.75">
      <c r="A7" s="3" t="s">
        <v>42</v>
      </c>
      <c r="B7" s="3">
        <v>3</v>
      </c>
      <c r="C7" s="3">
        <v>4</v>
      </c>
      <c r="D7" s="3">
        <v>3</v>
      </c>
      <c r="E7" s="3">
        <v>4</v>
      </c>
      <c r="F7" s="3">
        <v>1</v>
      </c>
      <c r="G7" s="3">
        <v>5</v>
      </c>
      <c r="H7" s="3">
        <v>4</v>
      </c>
      <c r="I7" s="3">
        <v>0</v>
      </c>
      <c r="J7" s="3">
        <v>1</v>
      </c>
      <c r="K7" s="3">
        <v>1</v>
      </c>
      <c r="L7" s="3">
        <v>1</v>
      </c>
      <c r="M7" s="3">
        <v>2</v>
      </c>
      <c r="N7" s="3">
        <v>3</v>
      </c>
      <c r="O7" s="3">
        <v>4</v>
      </c>
      <c r="P7" s="3">
        <v>3</v>
      </c>
      <c r="Q7" s="3">
        <v>2</v>
      </c>
      <c r="R7" s="3">
        <v>0</v>
      </c>
      <c r="S7" s="3">
        <v>5</v>
      </c>
      <c r="T7" s="3">
        <v>2.5625</v>
      </c>
      <c r="U7" s="3">
        <v>1.4128318194321643</v>
      </c>
      <c r="V7" s="3">
        <v>41</v>
      </c>
      <c r="W7" s="3" t="s">
        <v>39</v>
      </c>
    </row>
    <row r="8" spans="1:23" x14ac:dyDescent="0.75">
      <c r="A8" s="3" t="s">
        <v>43</v>
      </c>
      <c r="B8" s="3">
        <v>103.8</v>
      </c>
      <c r="C8" s="3">
        <v>132.5</v>
      </c>
      <c r="D8" s="3">
        <v>123.1</v>
      </c>
      <c r="E8" s="3">
        <v>72.8</v>
      </c>
      <c r="F8" s="3">
        <v>122.2</v>
      </c>
      <c r="G8" s="3">
        <v>123.7</v>
      </c>
      <c r="H8" s="3">
        <v>127.4</v>
      </c>
      <c r="I8" s="3">
        <v>87</v>
      </c>
      <c r="J8" s="3">
        <v>127.5</v>
      </c>
      <c r="K8" s="3">
        <v>102.9</v>
      </c>
      <c r="L8" s="3">
        <v>138.1</v>
      </c>
      <c r="M8" s="3">
        <v>144.9</v>
      </c>
      <c r="N8" s="3">
        <v>112.1</v>
      </c>
      <c r="O8" s="3">
        <v>120.9</v>
      </c>
      <c r="P8" s="3">
        <v>109.1</v>
      </c>
      <c r="Q8" s="3">
        <v>84.8</v>
      </c>
      <c r="R8" s="3">
        <v>72.8</v>
      </c>
      <c r="S8" s="3">
        <v>144.9</v>
      </c>
      <c r="T8" s="3">
        <v>114.55</v>
      </c>
      <c r="U8" s="3">
        <v>19.462367533267901</v>
      </c>
      <c r="V8" s="3">
        <v>1832.8</v>
      </c>
      <c r="W8" s="3" t="s">
        <v>39</v>
      </c>
    </row>
    <row r="9" spans="1:23" x14ac:dyDescent="0.75">
      <c r="A9" s="3" t="s">
        <v>44</v>
      </c>
      <c r="B9" s="4">
        <v>0.84585741811175341</v>
      </c>
      <c r="C9" s="4">
        <v>0.7245283018867924</v>
      </c>
      <c r="D9" s="4">
        <v>0.88545897644191707</v>
      </c>
      <c r="E9" s="4">
        <v>0.82280219780219788</v>
      </c>
      <c r="F9" s="4">
        <v>0.89770867430441925</v>
      </c>
      <c r="G9" s="4">
        <v>0.85125303152789</v>
      </c>
      <c r="H9" s="4">
        <v>0.69466248037676603</v>
      </c>
      <c r="I9" s="4">
        <v>1</v>
      </c>
      <c r="J9" s="4">
        <v>0.83137254901960789</v>
      </c>
      <c r="K9" s="4">
        <v>0.98736637512147707</v>
      </c>
      <c r="L9" s="4">
        <v>0.94207096307023919</v>
      </c>
      <c r="M9" s="4">
        <v>0.93098688750862668</v>
      </c>
      <c r="N9" s="4">
        <v>0.85994647636039234</v>
      </c>
      <c r="O9" s="4">
        <v>0.86269644334160445</v>
      </c>
      <c r="P9" s="4">
        <v>0.8615948670944088</v>
      </c>
      <c r="Q9" s="4">
        <v>0.74174528301886788</v>
      </c>
      <c r="R9" s="4">
        <v>0.69466248037676603</v>
      </c>
      <c r="S9" s="4">
        <v>1</v>
      </c>
      <c r="T9" s="4">
        <v>0.85875318281168533</v>
      </c>
      <c r="U9" s="4" t="s">
        <v>39</v>
      </c>
      <c r="V9" s="4">
        <v>0.85846791793976451</v>
      </c>
      <c r="W9" s="4">
        <v>1</v>
      </c>
    </row>
    <row r="10" spans="1:23" x14ac:dyDescent="0.7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75">
      <c r="A11" s="3" t="s">
        <v>45</v>
      </c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  <c r="I11" s="4" t="s">
        <v>20</v>
      </c>
      <c r="J11" s="4" t="s">
        <v>21</v>
      </c>
      <c r="K11" s="4" t="s">
        <v>22</v>
      </c>
      <c r="L11" s="4" t="s">
        <v>23</v>
      </c>
      <c r="M11" s="4" t="s">
        <v>24</v>
      </c>
      <c r="N11" s="4" t="s">
        <v>25</v>
      </c>
      <c r="O11" s="4" t="s">
        <v>26</v>
      </c>
      <c r="P11" s="4" t="s">
        <v>27</v>
      </c>
      <c r="Q11" s="4" t="s">
        <v>28</v>
      </c>
      <c r="R11" s="4" t="s">
        <v>30</v>
      </c>
      <c r="S11" s="4" t="s">
        <v>31</v>
      </c>
      <c r="T11" s="4" t="s">
        <v>32</v>
      </c>
      <c r="U11" s="4" t="s">
        <v>33</v>
      </c>
      <c r="V11" s="4" t="s">
        <v>34</v>
      </c>
      <c r="W11" s="4" t="s">
        <v>35</v>
      </c>
    </row>
    <row r="12" spans="1:23" x14ac:dyDescent="0.75">
      <c r="A12" s="3" t="s">
        <v>46</v>
      </c>
      <c r="B12" s="4">
        <v>2</v>
      </c>
      <c r="C12" s="4">
        <v>5</v>
      </c>
      <c r="D12" s="4">
        <v>6</v>
      </c>
      <c r="E12" s="4">
        <v>3</v>
      </c>
      <c r="F12" s="4">
        <v>6</v>
      </c>
      <c r="G12" s="4">
        <v>6</v>
      </c>
      <c r="H12" s="4">
        <v>5</v>
      </c>
      <c r="I12" s="4">
        <v>4</v>
      </c>
      <c r="J12" s="4">
        <v>10</v>
      </c>
      <c r="K12" s="4">
        <v>6</v>
      </c>
      <c r="L12" s="4">
        <v>7</v>
      </c>
      <c r="M12" s="4">
        <v>9</v>
      </c>
      <c r="N12" s="4">
        <v>6</v>
      </c>
      <c r="O12" s="4">
        <v>7</v>
      </c>
      <c r="P12" s="4">
        <v>7</v>
      </c>
      <c r="Q12" s="4">
        <v>3</v>
      </c>
      <c r="R12" s="4">
        <v>2</v>
      </c>
      <c r="S12" s="4">
        <v>10</v>
      </c>
      <c r="T12" s="4">
        <v>5.75</v>
      </c>
      <c r="U12" s="4">
        <v>2.0463381929681126</v>
      </c>
      <c r="V12" s="4">
        <v>92</v>
      </c>
      <c r="W12" s="4">
        <v>0.68148148148148147</v>
      </c>
    </row>
    <row r="13" spans="1:23" x14ac:dyDescent="0.75">
      <c r="A13" s="3" t="s">
        <v>47</v>
      </c>
      <c r="B13" s="4">
        <v>2</v>
      </c>
      <c r="C13" s="4">
        <v>4</v>
      </c>
      <c r="D13" s="4">
        <v>3</v>
      </c>
      <c r="E13" s="4">
        <v>3</v>
      </c>
      <c r="F13" s="4">
        <v>1</v>
      </c>
      <c r="G13" s="4">
        <v>3</v>
      </c>
      <c r="H13" s="4">
        <v>5</v>
      </c>
      <c r="I13" s="4">
        <v>1</v>
      </c>
      <c r="J13" s="4">
        <v>2</v>
      </c>
      <c r="K13" s="4">
        <v>0</v>
      </c>
      <c r="L13" s="4">
        <v>3</v>
      </c>
      <c r="M13" s="4">
        <v>4</v>
      </c>
      <c r="N13" s="4">
        <v>3</v>
      </c>
      <c r="O13" s="4">
        <v>2</v>
      </c>
      <c r="P13" s="4">
        <v>4</v>
      </c>
      <c r="Q13" s="4">
        <v>3</v>
      </c>
      <c r="R13" s="4">
        <v>0</v>
      </c>
      <c r="S13" s="4">
        <v>5</v>
      </c>
      <c r="T13" s="4">
        <v>2.6875</v>
      </c>
      <c r="U13" s="4">
        <v>1.260890062614501</v>
      </c>
      <c r="V13" s="4">
        <v>43</v>
      </c>
      <c r="W13" s="4">
        <v>0.31851851851851853</v>
      </c>
    </row>
    <row r="14" spans="1:23" x14ac:dyDescent="0.75">
      <c r="A14" s="3" t="s">
        <v>48</v>
      </c>
      <c r="B14" s="4">
        <v>4</v>
      </c>
      <c r="C14" s="4">
        <v>9</v>
      </c>
      <c r="D14" s="4">
        <v>9</v>
      </c>
      <c r="E14" s="4">
        <v>6</v>
      </c>
      <c r="F14" s="4">
        <v>7</v>
      </c>
      <c r="G14" s="4">
        <v>9</v>
      </c>
      <c r="H14" s="4">
        <v>10</v>
      </c>
      <c r="I14" s="4">
        <v>5</v>
      </c>
      <c r="J14" s="4">
        <v>12</v>
      </c>
      <c r="K14" s="4">
        <v>6</v>
      </c>
      <c r="L14" s="4">
        <v>10</v>
      </c>
      <c r="M14" s="4">
        <v>13</v>
      </c>
      <c r="N14" s="4">
        <v>9</v>
      </c>
      <c r="O14" s="4">
        <v>9</v>
      </c>
      <c r="P14" s="4">
        <v>11</v>
      </c>
      <c r="Q14" s="4">
        <v>6</v>
      </c>
      <c r="R14" s="4">
        <v>4</v>
      </c>
      <c r="S14" s="4">
        <v>13</v>
      </c>
      <c r="T14" s="4">
        <v>8.4375</v>
      </c>
      <c r="U14" s="4">
        <v>2.4740844266111859</v>
      </c>
      <c r="V14" s="4">
        <v>135</v>
      </c>
      <c r="W14" s="4"/>
    </row>
    <row r="15" spans="1:23" x14ac:dyDescent="0.75">
      <c r="A15" s="3" t="s">
        <v>49</v>
      </c>
      <c r="B15" s="4">
        <v>0.1366742596810934</v>
      </c>
      <c r="C15" s="4">
        <v>0.3125</v>
      </c>
      <c r="D15" s="4">
        <v>0.33027522935779818</v>
      </c>
      <c r="E15" s="4">
        <v>0.30050083472454087</v>
      </c>
      <c r="F15" s="4">
        <v>0.32816773017319961</v>
      </c>
      <c r="G15" s="4">
        <v>0.34188034188034189</v>
      </c>
      <c r="H15" s="4">
        <v>0.33898305084745761</v>
      </c>
      <c r="I15" s="4">
        <v>0.27586206896551724</v>
      </c>
      <c r="J15" s="4">
        <v>0.56603773584905659</v>
      </c>
      <c r="K15" s="4">
        <v>0.3543307086614173</v>
      </c>
      <c r="L15" s="4">
        <v>0.32282859338970016</v>
      </c>
      <c r="M15" s="4">
        <v>0.40029651593773158</v>
      </c>
      <c r="N15" s="4">
        <v>0.37344398340248958</v>
      </c>
      <c r="O15" s="4">
        <v>0.40268456375838929</v>
      </c>
      <c r="P15" s="4">
        <v>0.44680851063829785</v>
      </c>
      <c r="Q15" s="4">
        <v>0.2861685214626391</v>
      </c>
      <c r="R15" s="4">
        <v>0.1366742596810934</v>
      </c>
      <c r="S15" s="4">
        <v>0.56603773584905659</v>
      </c>
      <c r="T15" s="4">
        <v>0.35083259183932874</v>
      </c>
      <c r="U15" s="4"/>
      <c r="V15" s="4"/>
      <c r="W15" s="4"/>
    </row>
    <row r="16" spans="1:23" x14ac:dyDescent="0.75">
      <c r="A16" s="3" t="s">
        <v>50</v>
      </c>
      <c r="B16" s="4">
        <v>0.86332574031890652</v>
      </c>
      <c r="C16" s="4">
        <v>0.6875</v>
      </c>
      <c r="D16" s="4">
        <v>0.66972477064220182</v>
      </c>
      <c r="E16" s="4">
        <v>0.69949916527545919</v>
      </c>
      <c r="F16" s="4">
        <v>0.67183226982680044</v>
      </c>
      <c r="G16" s="4">
        <v>0.65811965811965811</v>
      </c>
      <c r="H16" s="4">
        <v>0.66101694915254239</v>
      </c>
      <c r="I16" s="4">
        <v>0.72413793103448276</v>
      </c>
      <c r="J16" s="4">
        <v>0.43396226415094347</v>
      </c>
      <c r="K16" s="4">
        <v>0.64566929133858264</v>
      </c>
      <c r="L16" s="4">
        <v>0.67717140661029984</v>
      </c>
      <c r="M16" s="4">
        <v>0.59970348406226837</v>
      </c>
      <c r="N16" s="4">
        <v>0.62655601659751037</v>
      </c>
      <c r="O16" s="4">
        <v>0.59731543624161065</v>
      </c>
      <c r="P16" s="4">
        <v>0.55319148936170215</v>
      </c>
      <c r="Q16" s="4">
        <v>0.71383147853736095</v>
      </c>
      <c r="R16" s="4">
        <v>0.43396226415094347</v>
      </c>
      <c r="S16" s="4">
        <v>0.86332574031890652</v>
      </c>
      <c r="T16" s="4">
        <v>0.64916740816067131</v>
      </c>
      <c r="U16" s="4"/>
      <c r="V16" s="4"/>
      <c r="W16" s="4"/>
    </row>
    <row r="17" spans="1:23" x14ac:dyDescent="0.75">
      <c r="A17" s="3" t="s">
        <v>51</v>
      </c>
      <c r="B17" s="4">
        <v>0.20905923344947736</v>
      </c>
      <c r="C17" s="4">
        <v>0.30573248407643311</v>
      </c>
      <c r="D17" s="4">
        <v>0.42352941176470593</v>
      </c>
      <c r="E17" s="4">
        <v>0.42553191489361702</v>
      </c>
      <c r="F17" s="4">
        <v>0.27272727272727271</v>
      </c>
      <c r="G17" s="4">
        <v>0.29605263157894735</v>
      </c>
      <c r="H17" s="4">
        <v>0.38022813688212925</v>
      </c>
      <c r="I17" s="4">
        <v>0.34090909090909088</v>
      </c>
      <c r="J17" s="4">
        <v>0.36036036036036034</v>
      </c>
      <c r="K17" s="4">
        <v>0</v>
      </c>
      <c r="L17" s="4">
        <v>0.36734693877551022</v>
      </c>
      <c r="M17" s="4">
        <v>0.51724137931034475</v>
      </c>
      <c r="N17" s="4">
        <v>0.41379310344827586</v>
      </c>
      <c r="O17" s="4">
        <v>0.36697247706422015</v>
      </c>
      <c r="P17" s="4">
        <v>0.43165467625899279</v>
      </c>
      <c r="Q17" s="4">
        <v>0.53731343283582089</v>
      </c>
      <c r="R17" s="4">
        <v>0</v>
      </c>
      <c r="S17" s="4">
        <v>0.53731343283582089</v>
      </c>
      <c r="T17" s="4">
        <v>0.36778332145402703</v>
      </c>
      <c r="U17" s="4"/>
      <c r="V17" s="4"/>
      <c r="W17" s="4"/>
    </row>
    <row r="18" spans="1:23" x14ac:dyDescent="0.75">
      <c r="A18" s="3" t="s">
        <v>52</v>
      </c>
      <c r="B18" s="4">
        <v>0.79094076655052259</v>
      </c>
      <c r="C18" s="4">
        <v>0.69426751592356695</v>
      </c>
      <c r="D18" s="4">
        <v>0.57647058823529407</v>
      </c>
      <c r="E18" s="4">
        <v>0.57446808510638303</v>
      </c>
      <c r="F18" s="4">
        <v>0.7272727272727274</v>
      </c>
      <c r="G18" s="4">
        <v>0.70394736842105265</v>
      </c>
      <c r="H18" s="4">
        <v>0.61977186311787069</v>
      </c>
      <c r="I18" s="4">
        <v>0.65909090909090917</v>
      </c>
      <c r="J18" s="4">
        <v>0.63963963963963977</v>
      </c>
      <c r="K18" s="4">
        <v>1</v>
      </c>
      <c r="L18" s="4">
        <v>0.63265306122448983</v>
      </c>
      <c r="M18" s="4">
        <v>0.4827586206896553</v>
      </c>
      <c r="N18" s="4">
        <v>0.5862068965517242</v>
      </c>
      <c r="O18" s="4">
        <v>0.6330275229357798</v>
      </c>
      <c r="P18" s="4">
        <v>0.56834532374100721</v>
      </c>
      <c r="Q18" s="4">
        <v>0.46268656716417911</v>
      </c>
      <c r="R18" s="4">
        <v>0.46268656716417911</v>
      </c>
      <c r="S18" s="4">
        <v>1</v>
      </c>
      <c r="T18" s="4">
        <v>0.63221667854597297</v>
      </c>
      <c r="U18" s="4"/>
      <c r="V18" s="4"/>
      <c r="W18" s="4"/>
    </row>
    <row r="19" spans="1:23" x14ac:dyDescent="0.75">
      <c r="A19" s="3" t="s">
        <v>53</v>
      </c>
      <c r="B19" s="4">
        <v>0.16528925619834711</v>
      </c>
      <c r="C19" s="4">
        <v>0.30945558739255014</v>
      </c>
      <c r="D19" s="4">
        <v>0.35643564356435642</v>
      </c>
      <c r="E19" s="4">
        <v>0.35225048923679059</v>
      </c>
      <c r="F19" s="4">
        <v>0.31890660592255127</v>
      </c>
      <c r="G19" s="4">
        <v>0.32510535821794101</v>
      </c>
      <c r="H19" s="4">
        <v>0.35842293906810041</v>
      </c>
      <c r="I19" s="4">
        <v>0.28680688336520077</v>
      </c>
      <c r="J19" s="4">
        <v>0.51687006460875806</v>
      </c>
      <c r="K19" s="4">
        <v>0.32997250229147568</v>
      </c>
      <c r="L19" s="4">
        <v>0.3350083752093802</v>
      </c>
      <c r="M19" s="4">
        <v>0.4302261445118587</v>
      </c>
      <c r="N19" s="4">
        <v>0.38598999285203722</v>
      </c>
      <c r="O19" s="4">
        <v>0.39416058394160586</v>
      </c>
      <c r="P19" s="4">
        <v>0.44117647058823534</v>
      </c>
      <c r="Q19" s="4">
        <v>0.37344398340248958</v>
      </c>
      <c r="R19" s="4">
        <v>0.16528925619834711</v>
      </c>
      <c r="S19" s="4">
        <v>0.51687006460875806</v>
      </c>
      <c r="T19" s="4">
        <v>0.35605960701569306</v>
      </c>
      <c r="U19" s="4"/>
      <c r="V19" s="4"/>
      <c r="W19" s="4"/>
    </row>
    <row r="20" spans="1:23" x14ac:dyDescent="0.75">
      <c r="A20" s="3" t="s">
        <v>54</v>
      </c>
      <c r="B20" s="4">
        <v>0.834710743801653</v>
      </c>
      <c r="C20" s="4">
        <v>0.69054441260744981</v>
      </c>
      <c r="D20" s="4">
        <v>0.64356435643564358</v>
      </c>
      <c r="E20" s="4">
        <v>0.64774951076320941</v>
      </c>
      <c r="F20" s="4">
        <v>0.68109339407744873</v>
      </c>
      <c r="G20" s="4">
        <v>0.67489464178205893</v>
      </c>
      <c r="H20" s="4">
        <v>0.64157706093189959</v>
      </c>
      <c r="I20" s="4">
        <v>0.71319311663479923</v>
      </c>
      <c r="J20" s="4">
        <v>0.48312993539124194</v>
      </c>
      <c r="K20" s="4">
        <v>0.67002749770852432</v>
      </c>
      <c r="L20" s="4">
        <v>0.6649916247906198</v>
      </c>
      <c r="M20" s="4">
        <v>0.5697738554881413</v>
      </c>
      <c r="N20" s="4">
        <v>0.61401000714796283</v>
      </c>
      <c r="O20" s="4">
        <v>0.6058394160583942</v>
      </c>
      <c r="P20" s="4">
        <v>0.55882352941176472</v>
      </c>
      <c r="Q20" s="4">
        <v>0.62655601659751037</v>
      </c>
      <c r="R20" s="4">
        <v>0.48312993539124194</v>
      </c>
      <c r="S20" s="4">
        <v>0.834710743801653</v>
      </c>
      <c r="T20" s="4">
        <v>0.64394039298430694</v>
      </c>
      <c r="U20" s="4"/>
      <c r="V20" s="4"/>
      <c r="W20" s="4"/>
    </row>
    <row r="21" spans="1:23" x14ac:dyDescent="0.7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75">
      <c r="A22" s="3" t="s">
        <v>29</v>
      </c>
      <c r="B22" s="4" t="s">
        <v>13</v>
      </c>
      <c r="C22" s="4" t="s">
        <v>14</v>
      </c>
      <c r="D22" s="4" t="s">
        <v>15</v>
      </c>
      <c r="E22" s="4" t="s">
        <v>16</v>
      </c>
      <c r="F22" s="4" t="s">
        <v>17</v>
      </c>
      <c r="G22" s="4" t="s">
        <v>18</v>
      </c>
      <c r="H22" s="4" t="s">
        <v>19</v>
      </c>
      <c r="I22" s="4" t="s">
        <v>20</v>
      </c>
      <c r="J22" s="4" t="s">
        <v>21</v>
      </c>
      <c r="K22" s="4" t="s">
        <v>22</v>
      </c>
      <c r="L22" s="4" t="s">
        <v>23</v>
      </c>
      <c r="M22" s="4" t="s">
        <v>24</v>
      </c>
      <c r="N22" s="4" t="s">
        <v>25</v>
      </c>
      <c r="O22" s="4" t="s">
        <v>26</v>
      </c>
      <c r="P22" s="4" t="s">
        <v>27</v>
      </c>
      <c r="Q22" s="4" t="s">
        <v>28</v>
      </c>
      <c r="R22" s="4" t="s">
        <v>30</v>
      </c>
      <c r="S22" s="4" t="s">
        <v>31</v>
      </c>
      <c r="T22" s="4" t="s">
        <v>32</v>
      </c>
      <c r="U22" s="4" t="s">
        <v>33</v>
      </c>
      <c r="V22" s="4" t="s">
        <v>34</v>
      </c>
      <c r="W22" s="4" t="s">
        <v>35</v>
      </c>
    </row>
    <row r="23" spans="1:23" x14ac:dyDescent="0.75">
      <c r="A23" s="3" t="s">
        <v>0</v>
      </c>
      <c r="B23" s="4">
        <v>12.6</v>
      </c>
      <c r="C23" s="4">
        <v>13.9</v>
      </c>
      <c r="D23" s="4">
        <v>32.799999999999997</v>
      </c>
      <c r="E23" s="4">
        <v>24.6</v>
      </c>
      <c r="F23" s="4">
        <v>35.299999999999997</v>
      </c>
      <c r="G23" s="4">
        <v>31.8</v>
      </c>
      <c r="H23" s="4">
        <v>39</v>
      </c>
      <c r="I23" s="4">
        <v>21.1</v>
      </c>
      <c r="J23" s="4">
        <v>32.799999999999997</v>
      </c>
      <c r="K23" s="4">
        <v>29.6</v>
      </c>
      <c r="L23" s="4">
        <v>24</v>
      </c>
      <c r="M23" s="4">
        <v>20.100000000000001</v>
      </c>
      <c r="N23" s="4">
        <v>16.600000000000001</v>
      </c>
      <c r="O23" s="4">
        <v>35.200000000000003</v>
      </c>
      <c r="P23" s="4">
        <v>33.5</v>
      </c>
      <c r="Q23" s="4">
        <v>10.5</v>
      </c>
      <c r="R23" s="4">
        <v>10.5</v>
      </c>
      <c r="S23" s="4">
        <v>39</v>
      </c>
      <c r="T23" s="4">
        <v>25.837499999999999</v>
      </c>
      <c r="U23" s="4">
        <v>8.8543686251476981</v>
      </c>
      <c r="V23" s="4">
        <v>413.4</v>
      </c>
      <c r="W23" s="4">
        <v>0.26274310410575819</v>
      </c>
    </row>
    <row r="24" spans="1:23" x14ac:dyDescent="0.75">
      <c r="A24" s="3" t="s">
        <v>55</v>
      </c>
      <c r="B24" s="4">
        <v>9.6999999999999993</v>
      </c>
      <c r="C24" s="4">
        <v>11.4</v>
      </c>
      <c r="D24" s="4">
        <v>3.1</v>
      </c>
      <c r="E24" s="4">
        <v>1.2</v>
      </c>
      <c r="F24" s="4">
        <v>11.8</v>
      </c>
      <c r="G24" s="4">
        <v>6.3</v>
      </c>
      <c r="H24" s="4">
        <v>0.9</v>
      </c>
      <c r="I24" s="4">
        <v>8.1999999999999993</v>
      </c>
      <c r="J24" s="4">
        <v>19.3</v>
      </c>
      <c r="K24" s="4">
        <v>1.7</v>
      </c>
      <c r="L24" s="4">
        <v>8.1999999999999993</v>
      </c>
      <c r="M24" s="4">
        <v>18.5</v>
      </c>
      <c r="N24" s="4">
        <v>19.100000000000001</v>
      </c>
      <c r="O24" s="4">
        <v>12.9</v>
      </c>
      <c r="P24" s="4">
        <v>10.7</v>
      </c>
      <c r="Q24" s="4">
        <v>8.1999999999999993</v>
      </c>
      <c r="R24" s="4">
        <v>0.9</v>
      </c>
      <c r="S24" s="4">
        <v>19.3</v>
      </c>
      <c r="T24" s="4">
        <v>9.4499999999999993</v>
      </c>
      <c r="U24" s="4">
        <v>5.8686667991972454</v>
      </c>
      <c r="V24" s="4">
        <v>151.19999999999999</v>
      </c>
      <c r="W24" s="4">
        <v>9.6097622982077011E-2</v>
      </c>
    </row>
    <row r="25" spans="1:23" x14ac:dyDescent="0.75">
      <c r="A25" s="3" t="s">
        <v>56</v>
      </c>
      <c r="B25" s="4">
        <v>17.3</v>
      </c>
      <c r="C25" s="4">
        <v>26</v>
      </c>
      <c r="D25" s="4">
        <v>9</v>
      </c>
      <c r="E25" s="4">
        <v>2.8</v>
      </c>
      <c r="F25" s="4">
        <v>19.899999999999999</v>
      </c>
      <c r="G25" s="4">
        <v>3.6</v>
      </c>
      <c r="H25" s="4">
        <v>2</v>
      </c>
      <c r="I25" s="4">
        <v>6.1</v>
      </c>
      <c r="J25" s="4">
        <v>2.1</v>
      </c>
      <c r="K25" s="4">
        <v>7.8</v>
      </c>
      <c r="L25" s="4">
        <v>5.7</v>
      </c>
      <c r="M25" s="4">
        <v>18.3</v>
      </c>
      <c r="N25" s="4">
        <v>23.8</v>
      </c>
      <c r="O25" s="4">
        <v>13.8</v>
      </c>
      <c r="P25" s="4">
        <v>8.1999999999999993</v>
      </c>
      <c r="Q25" s="4">
        <v>13.2</v>
      </c>
      <c r="R25" s="4">
        <v>2</v>
      </c>
      <c r="S25" s="4">
        <v>26</v>
      </c>
      <c r="T25" s="4">
        <v>11.224999999999998</v>
      </c>
      <c r="U25" s="4">
        <v>7.6210645581834573</v>
      </c>
      <c r="V25" s="4">
        <v>179.59999999999997</v>
      </c>
      <c r="W25" s="4">
        <v>0.11414770560569464</v>
      </c>
    </row>
    <row r="26" spans="1:23" x14ac:dyDescent="0.75">
      <c r="A26" s="3" t="s">
        <v>57</v>
      </c>
      <c r="B26" s="4">
        <v>23.7</v>
      </c>
      <c r="C26" s="4">
        <v>8.6999999999999993</v>
      </c>
      <c r="D26" s="4">
        <v>22</v>
      </c>
      <c r="E26" s="4">
        <v>5.4</v>
      </c>
      <c r="F26" s="4">
        <v>20.7</v>
      </c>
      <c r="G26" s="4">
        <v>25.5</v>
      </c>
      <c r="H26" s="4">
        <v>14.5</v>
      </c>
      <c r="I26" s="4">
        <v>9.5</v>
      </c>
      <c r="J26" s="4">
        <v>8.4</v>
      </c>
      <c r="K26" s="4">
        <v>6.2</v>
      </c>
      <c r="L26" s="4">
        <v>37.4</v>
      </c>
      <c r="M26" s="4">
        <v>35.9</v>
      </c>
      <c r="N26" s="4">
        <v>20.100000000000001</v>
      </c>
      <c r="O26" s="4">
        <v>26.8</v>
      </c>
      <c r="P26" s="4">
        <v>3.4</v>
      </c>
      <c r="Q26" s="4">
        <v>0</v>
      </c>
      <c r="R26" s="4">
        <v>0</v>
      </c>
      <c r="S26" s="4">
        <v>37.4</v>
      </c>
      <c r="T26" s="4">
        <v>16.762499999999999</v>
      </c>
      <c r="U26" s="4">
        <v>11.080550245813612</v>
      </c>
      <c r="V26" s="4">
        <v>268.2</v>
      </c>
      <c r="W26" s="4">
        <v>0.17045887886106517</v>
      </c>
    </row>
    <row r="27" spans="1:23" x14ac:dyDescent="0.75">
      <c r="A27" s="3" t="s">
        <v>58</v>
      </c>
      <c r="B27" s="4">
        <v>10.3</v>
      </c>
      <c r="C27" s="4">
        <v>5.3</v>
      </c>
      <c r="D27" s="4">
        <v>29.6</v>
      </c>
      <c r="E27" s="4">
        <v>5.7</v>
      </c>
      <c r="F27" s="4">
        <v>11</v>
      </c>
      <c r="G27" s="4">
        <v>2.4</v>
      </c>
      <c r="H27" s="4">
        <v>9.1</v>
      </c>
      <c r="I27" s="4">
        <v>8.5</v>
      </c>
      <c r="J27" s="4">
        <v>21</v>
      </c>
      <c r="K27" s="4">
        <v>33.1</v>
      </c>
      <c r="L27" s="4">
        <v>16.7</v>
      </c>
      <c r="M27" s="4">
        <v>13.7</v>
      </c>
      <c r="N27" s="4">
        <v>8.1</v>
      </c>
      <c r="O27" s="4">
        <v>13.7</v>
      </c>
      <c r="P27" s="4">
        <v>12.9</v>
      </c>
      <c r="Q27" s="4">
        <v>4.8</v>
      </c>
      <c r="R27" s="4">
        <v>2.4</v>
      </c>
      <c r="S27" s="4">
        <v>33.1</v>
      </c>
      <c r="T27" s="4">
        <v>12.86875</v>
      </c>
      <c r="U27" s="4">
        <v>8.3700148409366655</v>
      </c>
      <c r="V27" s="4">
        <v>205.9</v>
      </c>
      <c r="W27" s="4">
        <v>0.13086309902122786</v>
      </c>
    </row>
    <row r="28" spans="1:23" x14ac:dyDescent="0.75">
      <c r="A28" s="3" t="s">
        <v>59</v>
      </c>
      <c r="B28" s="4">
        <v>1.9</v>
      </c>
      <c r="C28" s="4">
        <v>12.7</v>
      </c>
      <c r="D28" s="4">
        <v>1.9</v>
      </c>
      <c r="E28" s="4">
        <v>3.7</v>
      </c>
      <c r="F28" s="4">
        <v>1.1000000000000001</v>
      </c>
      <c r="G28" s="4">
        <v>5.6</v>
      </c>
      <c r="H28" s="4">
        <v>3.3</v>
      </c>
      <c r="I28" s="4">
        <v>4.4000000000000004</v>
      </c>
      <c r="J28" s="4">
        <v>0</v>
      </c>
      <c r="K28" s="4">
        <v>10.8</v>
      </c>
      <c r="L28" s="4">
        <v>4.2</v>
      </c>
      <c r="M28" s="4">
        <v>8</v>
      </c>
      <c r="N28" s="4">
        <v>3.5</v>
      </c>
      <c r="O28" s="4">
        <v>1.6</v>
      </c>
      <c r="P28" s="4">
        <v>9.3000000000000007</v>
      </c>
      <c r="Q28" s="4">
        <v>5.7</v>
      </c>
      <c r="R28" s="4">
        <v>0</v>
      </c>
      <c r="S28" s="4">
        <v>12.7</v>
      </c>
      <c r="T28" s="4">
        <v>4.8562500000000011</v>
      </c>
      <c r="U28" s="4">
        <v>3.5334064212173488</v>
      </c>
      <c r="V28" s="4">
        <v>77.700000000000017</v>
      </c>
      <c r="W28" s="4">
        <v>4.9383500699122909E-2</v>
      </c>
    </row>
    <row r="29" spans="1:23" x14ac:dyDescent="0.75">
      <c r="A29" s="3" t="s">
        <v>60</v>
      </c>
      <c r="B29" s="4">
        <v>7.3</v>
      </c>
      <c r="C29" s="4">
        <v>10</v>
      </c>
      <c r="D29" s="4">
        <v>7.6</v>
      </c>
      <c r="E29" s="4">
        <v>14.5</v>
      </c>
      <c r="F29" s="4">
        <v>4.9000000000000004</v>
      </c>
      <c r="G29" s="4">
        <v>9.1</v>
      </c>
      <c r="H29" s="4">
        <v>4.7</v>
      </c>
      <c r="I29" s="4">
        <v>15.2</v>
      </c>
      <c r="J29" s="4">
        <v>23.4</v>
      </c>
      <c r="K29" s="4">
        <v>10.4</v>
      </c>
      <c r="L29" s="4">
        <v>23.9</v>
      </c>
      <c r="M29" s="4">
        <v>18.399999999999999</v>
      </c>
      <c r="N29" s="4">
        <v>3.2</v>
      </c>
      <c r="O29" s="4">
        <v>4.3</v>
      </c>
      <c r="P29" s="4">
        <v>14</v>
      </c>
      <c r="Q29" s="4">
        <v>3.5</v>
      </c>
      <c r="R29" s="4">
        <v>3.2</v>
      </c>
      <c r="S29" s="4">
        <v>23.9</v>
      </c>
      <c r="T29" s="4">
        <v>10.9</v>
      </c>
      <c r="U29" s="4">
        <v>6.5324191537285756</v>
      </c>
      <c r="V29" s="4">
        <v>174.4</v>
      </c>
      <c r="W29" s="4">
        <v>0.11084276089996184</v>
      </c>
    </row>
    <row r="30" spans="1:23" x14ac:dyDescent="0.75">
      <c r="A30" s="3" t="s">
        <v>61</v>
      </c>
      <c r="B30" s="4">
        <v>5</v>
      </c>
      <c r="C30" s="4">
        <v>8</v>
      </c>
      <c r="D30" s="4">
        <v>3</v>
      </c>
      <c r="E30" s="4">
        <v>2</v>
      </c>
      <c r="F30" s="4">
        <v>5</v>
      </c>
      <c r="G30" s="4">
        <v>21</v>
      </c>
      <c r="H30" s="4">
        <v>15</v>
      </c>
      <c r="I30" s="4">
        <v>14</v>
      </c>
      <c r="J30" s="4">
        <v>-1</v>
      </c>
      <c r="K30" s="4">
        <v>2</v>
      </c>
      <c r="L30" s="4">
        <v>10</v>
      </c>
      <c r="M30" s="4">
        <v>2</v>
      </c>
      <c r="N30" s="4">
        <v>2</v>
      </c>
      <c r="O30" s="4">
        <v>-4</v>
      </c>
      <c r="P30" s="4">
        <v>2</v>
      </c>
      <c r="Q30" s="4">
        <v>17</v>
      </c>
      <c r="R30" s="4">
        <v>-4</v>
      </c>
      <c r="S30" s="4">
        <v>21</v>
      </c>
      <c r="T30" s="4">
        <v>6.4375</v>
      </c>
      <c r="U30" s="4">
        <v>6.8371115063307251</v>
      </c>
      <c r="V30" s="4">
        <v>103</v>
      </c>
      <c r="W30" s="4">
        <v>6.5463327825092149E-2</v>
      </c>
    </row>
    <row r="31" spans="1:23" x14ac:dyDescent="0.7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CBCCC-ADD3-4AF5-979E-DE5F5CAF6019}">
  <sheetPr codeName="Sheet7"/>
  <dimension ref="A1:W31"/>
  <sheetViews>
    <sheetView workbookViewId="0">
      <selection activeCell="A2" sqref="A2:W31"/>
    </sheetView>
  </sheetViews>
  <sheetFormatPr defaultRowHeight="14.75" x14ac:dyDescent="0.75"/>
  <cols>
    <col min="1" max="1" width="27.90625" bestFit="1" customWidth="1"/>
    <col min="2" max="10" width="11.6796875" bestFit="1" customWidth="1"/>
    <col min="11" max="17" width="12.453125" bestFit="1" customWidth="1"/>
    <col min="18" max="19" width="11.6796875" bestFit="1" customWidth="1"/>
    <col min="20" max="20" width="12.08984375" bestFit="1" customWidth="1"/>
    <col min="21" max="22" width="11.6796875" bestFit="1" customWidth="1"/>
    <col min="23" max="23" width="14.54296875" bestFit="1" customWidth="1"/>
  </cols>
  <sheetData>
    <row r="1" spans="1:23" x14ac:dyDescent="0.75">
      <c r="A1" s="3" t="s">
        <v>29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27</v>
      </c>
      <c r="Q1" s="3" t="s">
        <v>28</v>
      </c>
      <c r="R1" s="3" t="s">
        <v>30</v>
      </c>
      <c r="S1" s="3" t="s">
        <v>31</v>
      </c>
      <c r="T1" s="3" t="s">
        <v>32</v>
      </c>
      <c r="U1" s="3" t="s">
        <v>33</v>
      </c>
      <c r="V1" s="3" t="s">
        <v>34</v>
      </c>
      <c r="W1" s="3" t="s">
        <v>35</v>
      </c>
    </row>
    <row r="2" spans="1:23" x14ac:dyDescent="0.75">
      <c r="A2" s="3" t="s">
        <v>36</v>
      </c>
      <c r="B2" s="3">
        <v>81</v>
      </c>
      <c r="C2" s="3">
        <v>91.1</v>
      </c>
      <c r="D2" s="3">
        <v>95.899999999999977</v>
      </c>
      <c r="E2" s="3">
        <v>86</v>
      </c>
      <c r="F2" s="3">
        <v>65.5</v>
      </c>
      <c r="G2" s="3">
        <v>85.8</v>
      </c>
      <c r="H2" s="3">
        <v>91.3</v>
      </c>
      <c r="I2" s="3">
        <v>82.8</v>
      </c>
      <c r="J2" s="3">
        <v>102.8</v>
      </c>
      <c r="K2" s="3">
        <v>65.599999999999994</v>
      </c>
      <c r="L2" s="3">
        <v>100.6</v>
      </c>
      <c r="M2" s="3">
        <v>121.6</v>
      </c>
      <c r="N2" s="3">
        <v>79.400000000000006</v>
      </c>
      <c r="O2" s="3">
        <v>102.6</v>
      </c>
      <c r="P2" s="3">
        <v>138.29999999999998</v>
      </c>
      <c r="Q2" s="3">
        <v>163.1</v>
      </c>
      <c r="R2" s="3">
        <v>65.5</v>
      </c>
      <c r="S2" s="3">
        <v>163.1</v>
      </c>
      <c r="T2" s="3">
        <v>97.087499999999977</v>
      </c>
      <c r="U2" s="3">
        <v>24.772032491299523</v>
      </c>
      <c r="V2" s="3">
        <v>1553.4</v>
      </c>
      <c r="W2" s="3">
        <v>0.69531354908016652</v>
      </c>
    </row>
    <row r="3" spans="1:23" x14ac:dyDescent="0.75">
      <c r="A3" s="3" t="s">
        <v>37</v>
      </c>
      <c r="B3" s="3">
        <v>36.700000000000003</v>
      </c>
      <c r="C3" s="3">
        <v>65.199999999999989</v>
      </c>
      <c r="D3" s="3">
        <v>59.7</v>
      </c>
      <c r="E3" s="3">
        <v>52.7</v>
      </c>
      <c r="F3" s="3">
        <v>41.5</v>
      </c>
      <c r="G3" s="3">
        <v>43.4</v>
      </c>
      <c r="H3" s="3">
        <v>24.7</v>
      </c>
      <c r="I3" s="3">
        <v>16.100000000000001</v>
      </c>
      <c r="J3" s="3">
        <v>34.900000000000006</v>
      </c>
      <c r="K3" s="3">
        <v>34.5</v>
      </c>
      <c r="L3" s="3">
        <v>41.9</v>
      </c>
      <c r="M3" s="3">
        <v>41.3</v>
      </c>
      <c r="N3" s="3">
        <v>64.2</v>
      </c>
      <c r="O3" s="3">
        <v>62.1</v>
      </c>
      <c r="P3" s="3">
        <v>23.200000000000003</v>
      </c>
      <c r="Q3" s="3">
        <v>38.599999999999994</v>
      </c>
      <c r="R3" s="3">
        <v>16.100000000000001</v>
      </c>
      <c r="S3" s="3">
        <v>65.199999999999989</v>
      </c>
      <c r="T3" s="3">
        <v>42.543750000000003</v>
      </c>
      <c r="U3" s="3">
        <v>14.428052915674373</v>
      </c>
      <c r="V3" s="3">
        <v>680.7</v>
      </c>
      <c r="W3" s="3">
        <v>0.30468645091983354</v>
      </c>
    </row>
    <row r="4" spans="1:23" x14ac:dyDescent="0.75">
      <c r="A4" s="3" t="s">
        <v>38</v>
      </c>
      <c r="B4" s="3">
        <v>117.7</v>
      </c>
      <c r="C4" s="3">
        <v>156.29999999999998</v>
      </c>
      <c r="D4" s="3">
        <v>155.6</v>
      </c>
      <c r="E4" s="3">
        <v>138.69999999999999</v>
      </c>
      <c r="F4" s="3">
        <v>107</v>
      </c>
      <c r="G4" s="3">
        <v>129.19999999999999</v>
      </c>
      <c r="H4" s="3">
        <v>116</v>
      </c>
      <c r="I4" s="3">
        <v>98.9</v>
      </c>
      <c r="J4" s="3">
        <v>137.70000000000002</v>
      </c>
      <c r="K4" s="3">
        <v>100.1</v>
      </c>
      <c r="L4" s="3">
        <v>142.5</v>
      </c>
      <c r="M4" s="3">
        <v>162.9</v>
      </c>
      <c r="N4" s="3">
        <v>143.60000000000002</v>
      </c>
      <c r="O4" s="3">
        <v>164.7</v>
      </c>
      <c r="P4" s="3">
        <v>161.5</v>
      </c>
      <c r="Q4" s="3">
        <v>201.7</v>
      </c>
      <c r="R4" s="3">
        <v>98.9</v>
      </c>
      <c r="S4" s="3">
        <v>201.7</v>
      </c>
      <c r="T4" s="3">
        <v>139.63124999999999</v>
      </c>
      <c r="U4" s="3">
        <v>26.805846348091741</v>
      </c>
      <c r="V4" s="3">
        <v>2234.1</v>
      </c>
      <c r="W4" s="3" t="s">
        <v>39</v>
      </c>
    </row>
    <row r="5" spans="1:23" x14ac:dyDescent="0.75">
      <c r="A5" s="3" t="s">
        <v>40</v>
      </c>
      <c r="B5" s="3" t="s">
        <v>39</v>
      </c>
      <c r="C5" s="3">
        <v>4</v>
      </c>
      <c r="D5" s="3">
        <v>4</v>
      </c>
      <c r="E5" s="3">
        <v>2</v>
      </c>
      <c r="F5" s="3">
        <v>3</v>
      </c>
      <c r="G5" s="3">
        <v>3</v>
      </c>
      <c r="H5" s="3">
        <v>3</v>
      </c>
      <c r="I5" s="3">
        <v>2</v>
      </c>
      <c r="J5" s="3">
        <v>6</v>
      </c>
      <c r="K5" s="3">
        <v>4</v>
      </c>
      <c r="L5" s="3">
        <v>4</v>
      </c>
      <c r="M5" s="3">
        <v>2</v>
      </c>
      <c r="N5" s="3">
        <v>3</v>
      </c>
      <c r="O5" s="3">
        <v>1</v>
      </c>
      <c r="P5" s="3">
        <v>2</v>
      </c>
      <c r="Q5" s="3">
        <v>3</v>
      </c>
      <c r="R5" s="3">
        <v>1</v>
      </c>
      <c r="S5" s="3">
        <v>6</v>
      </c>
      <c r="T5" s="3">
        <v>3.0666666666666669</v>
      </c>
      <c r="U5" s="3">
        <v>1.18133634311129</v>
      </c>
      <c r="V5" s="3">
        <v>46</v>
      </c>
      <c r="W5" s="3" t="s">
        <v>39</v>
      </c>
    </row>
    <row r="6" spans="1:23" x14ac:dyDescent="0.75">
      <c r="A6" s="3" t="s">
        <v>41</v>
      </c>
      <c r="B6" s="3" t="s">
        <v>39</v>
      </c>
      <c r="C6" s="3">
        <v>5</v>
      </c>
      <c r="D6" s="3">
        <v>2</v>
      </c>
      <c r="E6" s="3">
        <v>1</v>
      </c>
      <c r="F6" s="3">
        <v>1</v>
      </c>
      <c r="G6" s="3">
        <v>4</v>
      </c>
      <c r="H6" s="3">
        <v>1</v>
      </c>
      <c r="I6" s="3">
        <v>3</v>
      </c>
      <c r="J6" s="3">
        <v>6</v>
      </c>
      <c r="K6" s="3">
        <v>3</v>
      </c>
      <c r="L6" s="3">
        <v>2</v>
      </c>
      <c r="M6" s="3">
        <v>2</v>
      </c>
      <c r="N6" s="3">
        <v>3</v>
      </c>
      <c r="O6" s="3">
        <v>0</v>
      </c>
      <c r="P6" s="3">
        <v>0</v>
      </c>
      <c r="Q6" s="3">
        <v>3</v>
      </c>
      <c r="R6" s="3">
        <v>0</v>
      </c>
      <c r="S6" s="3">
        <v>6</v>
      </c>
      <c r="T6" s="3">
        <v>2.4</v>
      </c>
      <c r="U6" s="3">
        <v>1.6653327995729059</v>
      </c>
      <c r="V6" s="3">
        <v>36</v>
      </c>
      <c r="W6" s="3" t="s">
        <v>39</v>
      </c>
    </row>
    <row r="7" spans="1:23" x14ac:dyDescent="0.75">
      <c r="A7" s="3" t="s">
        <v>42</v>
      </c>
      <c r="B7" s="3">
        <v>4</v>
      </c>
      <c r="C7" s="3">
        <v>4</v>
      </c>
      <c r="D7" s="3">
        <v>3</v>
      </c>
      <c r="E7" s="3">
        <v>3</v>
      </c>
      <c r="F7" s="3">
        <v>4</v>
      </c>
      <c r="G7" s="3">
        <v>3</v>
      </c>
      <c r="H7" s="3">
        <v>2</v>
      </c>
      <c r="I7" s="3">
        <v>2</v>
      </c>
      <c r="J7" s="3">
        <v>2</v>
      </c>
      <c r="K7" s="3">
        <v>2</v>
      </c>
      <c r="L7" s="3">
        <v>2</v>
      </c>
      <c r="M7" s="3">
        <v>1</v>
      </c>
      <c r="N7" s="3">
        <v>4</v>
      </c>
      <c r="O7" s="3">
        <v>3</v>
      </c>
      <c r="P7" s="3">
        <v>0</v>
      </c>
      <c r="Q7" s="3">
        <v>2</v>
      </c>
      <c r="R7" s="3">
        <v>0</v>
      </c>
      <c r="S7" s="3">
        <v>4</v>
      </c>
      <c r="T7" s="3">
        <v>2.5625</v>
      </c>
      <c r="U7" s="3">
        <v>1.1162856937182344</v>
      </c>
      <c r="V7" s="3">
        <v>41</v>
      </c>
      <c r="W7" s="3" t="s">
        <v>39</v>
      </c>
    </row>
    <row r="8" spans="1:23" x14ac:dyDescent="0.75">
      <c r="A8" s="3" t="s">
        <v>43</v>
      </c>
      <c r="B8" s="3">
        <v>90.6</v>
      </c>
      <c r="C8" s="3">
        <v>121.2</v>
      </c>
      <c r="D8" s="3">
        <v>122.8</v>
      </c>
      <c r="E8" s="3">
        <v>109.4</v>
      </c>
      <c r="F8" s="3">
        <v>89.9</v>
      </c>
      <c r="G8" s="3">
        <v>88.1</v>
      </c>
      <c r="H8" s="3">
        <v>99.5</v>
      </c>
      <c r="I8" s="3">
        <v>90.7</v>
      </c>
      <c r="J8" s="3">
        <v>104.7</v>
      </c>
      <c r="K8" s="3">
        <v>77</v>
      </c>
      <c r="L8" s="3">
        <v>110.6</v>
      </c>
      <c r="M8" s="3">
        <v>133.1</v>
      </c>
      <c r="N8" s="3">
        <v>105.4</v>
      </c>
      <c r="O8" s="3">
        <v>132.5</v>
      </c>
      <c r="P8" s="3">
        <v>138.30000000000001</v>
      </c>
      <c r="Q8" s="3">
        <v>172</v>
      </c>
      <c r="R8" s="3">
        <v>77</v>
      </c>
      <c r="S8" s="3">
        <v>172</v>
      </c>
      <c r="T8" s="3">
        <v>111.6125</v>
      </c>
      <c r="U8" s="3">
        <v>23.470882892426552</v>
      </c>
      <c r="V8" s="3">
        <v>1785.8</v>
      </c>
      <c r="W8" s="3" t="s">
        <v>39</v>
      </c>
    </row>
    <row r="9" spans="1:23" x14ac:dyDescent="0.75">
      <c r="A9" s="3" t="s">
        <v>44</v>
      </c>
      <c r="B9" s="4">
        <v>0.89403973509933776</v>
      </c>
      <c r="C9" s="4">
        <v>0.75165016501650161</v>
      </c>
      <c r="D9" s="4">
        <v>0.78094462540716603</v>
      </c>
      <c r="E9" s="4">
        <v>0.78610603290676417</v>
      </c>
      <c r="F9" s="4">
        <v>0.72858731924360398</v>
      </c>
      <c r="G9" s="4">
        <v>0.97389330306469923</v>
      </c>
      <c r="H9" s="4">
        <v>0.91758793969849228</v>
      </c>
      <c r="I9" s="4">
        <v>0.91289966923925026</v>
      </c>
      <c r="J9" s="4">
        <v>0.981852913085005</v>
      </c>
      <c r="K9" s="4">
        <v>0.8519480519480519</v>
      </c>
      <c r="L9" s="4">
        <v>0.9095840867992766</v>
      </c>
      <c r="M9" s="4">
        <v>0.91359879789631881</v>
      </c>
      <c r="N9" s="4">
        <v>0.75332068311195444</v>
      </c>
      <c r="O9" s="4">
        <v>0.77433962264150924</v>
      </c>
      <c r="P9" s="4">
        <v>0.99999999999999989</v>
      </c>
      <c r="Q9" s="4">
        <v>0.94825581395348835</v>
      </c>
      <c r="R9" s="4">
        <v>0.72858731924360398</v>
      </c>
      <c r="S9" s="4">
        <v>0.99999999999999989</v>
      </c>
      <c r="T9" s="4">
        <v>0.86741304744446379</v>
      </c>
      <c r="U9" s="4" t="s">
        <v>39</v>
      </c>
      <c r="V9" s="4">
        <v>0.8698622466121626</v>
      </c>
      <c r="W9" s="4">
        <v>1</v>
      </c>
    </row>
    <row r="10" spans="1:23" x14ac:dyDescent="0.7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75">
      <c r="A11" s="3" t="s">
        <v>45</v>
      </c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  <c r="I11" s="4" t="s">
        <v>20</v>
      </c>
      <c r="J11" s="4" t="s">
        <v>21</v>
      </c>
      <c r="K11" s="4" t="s">
        <v>22</v>
      </c>
      <c r="L11" s="4" t="s">
        <v>23</v>
      </c>
      <c r="M11" s="4" t="s">
        <v>24</v>
      </c>
      <c r="N11" s="4" t="s">
        <v>25</v>
      </c>
      <c r="O11" s="4" t="s">
        <v>26</v>
      </c>
      <c r="P11" s="4" t="s">
        <v>27</v>
      </c>
      <c r="Q11" s="4" t="s">
        <v>28</v>
      </c>
      <c r="R11" s="4" t="s">
        <v>30</v>
      </c>
      <c r="S11" s="4" t="s">
        <v>31</v>
      </c>
      <c r="T11" s="4" t="s">
        <v>32</v>
      </c>
      <c r="U11" s="4" t="s">
        <v>33</v>
      </c>
      <c r="V11" s="4" t="s">
        <v>34</v>
      </c>
      <c r="W11" s="4" t="s">
        <v>35</v>
      </c>
    </row>
    <row r="12" spans="1:23" x14ac:dyDescent="0.75">
      <c r="A12" s="3" t="s">
        <v>46</v>
      </c>
      <c r="B12" s="4">
        <v>2</v>
      </c>
      <c r="C12" s="4">
        <v>4</v>
      </c>
      <c r="D12" s="4">
        <v>6</v>
      </c>
      <c r="E12" s="4">
        <v>3</v>
      </c>
      <c r="F12" s="4">
        <v>3</v>
      </c>
      <c r="G12" s="4">
        <v>6</v>
      </c>
      <c r="H12" s="4">
        <v>3</v>
      </c>
      <c r="I12" s="4">
        <v>6</v>
      </c>
      <c r="J12" s="4">
        <v>5</v>
      </c>
      <c r="K12" s="4">
        <v>2</v>
      </c>
      <c r="L12" s="4">
        <v>4</v>
      </c>
      <c r="M12" s="4">
        <v>4</v>
      </c>
      <c r="N12" s="4">
        <v>2</v>
      </c>
      <c r="O12" s="4">
        <v>5</v>
      </c>
      <c r="P12" s="4">
        <v>11</v>
      </c>
      <c r="Q12" s="4">
        <v>8</v>
      </c>
      <c r="R12" s="4">
        <v>2</v>
      </c>
      <c r="S12" s="4">
        <v>11</v>
      </c>
      <c r="T12" s="4">
        <v>4.625</v>
      </c>
      <c r="U12" s="4">
        <v>2.3418742493993991</v>
      </c>
      <c r="V12" s="4">
        <v>74</v>
      </c>
      <c r="W12" s="4">
        <v>0.71153846153846156</v>
      </c>
    </row>
    <row r="13" spans="1:23" x14ac:dyDescent="0.75">
      <c r="A13" s="3" t="s">
        <v>47</v>
      </c>
      <c r="B13" s="4">
        <v>1</v>
      </c>
      <c r="C13" s="4">
        <v>4</v>
      </c>
      <c r="D13" s="4">
        <v>2</v>
      </c>
      <c r="E13" s="4">
        <v>2</v>
      </c>
      <c r="F13" s="4">
        <v>2</v>
      </c>
      <c r="G13" s="4">
        <v>3</v>
      </c>
      <c r="H13" s="4">
        <v>1</v>
      </c>
      <c r="I13" s="4">
        <v>0</v>
      </c>
      <c r="J13" s="4">
        <v>1</v>
      </c>
      <c r="K13" s="4">
        <v>2</v>
      </c>
      <c r="L13" s="4">
        <v>2</v>
      </c>
      <c r="M13" s="4">
        <v>2</v>
      </c>
      <c r="N13" s="4">
        <v>3</v>
      </c>
      <c r="O13" s="4">
        <v>3</v>
      </c>
      <c r="P13" s="4">
        <v>0</v>
      </c>
      <c r="Q13" s="4">
        <v>2</v>
      </c>
      <c r="R13" s="4">
        <v>0</v>
      </c>
      <c r="S13" s="4">
        <v>4</v>
      </c>
      <c r="T13" s="4">
        <v>1.875</v>
      </c>
      <c r="U13" s="4">
        <v>1.0532687216470449</v>
      </c>
      <c r="V13" s="4">
        <v>30</v>
      </c>
      <c r="W13" s="4">
        <v>0.28846153846153844</v>
      </c>
    </row>
    <row r="14" spans="1:23" x14ac:dyDescent="0.75">
      <c r="A14" s="3" t="s">
        <v>48</v>
      </c>
      <c r="B14" s="4">
        <v>3</v>
      </c>
      <c r="C14" s="4">
        <v>8</v>
      </c>
      <c r="D14" s="4">
        <v>8</v>
      </c>
      <c r="E14" s="4">
        <v>5</v>
      </c>
      <c r="F14" s="4">
        <v>5</v>
      </c>
      <c r="G14" s="4">
        <v>9</v>
      </c>
      <c r="H14" s="4">
        <v>4</v>
      </c>
      <c r="I14" s="4">
        <v>6</v>
      </c>
      <c r="J14" s="4">
        <v>6</v>
      </c>
      <c r="K14" s="4">
        <v>4</v>
      </c>
      <c r="L14" s="4">
        <v>6</v>
      </c>
      <c r="M14" s="4">
        <v>6</v>
      </c>
      <c r="N14" s="4">
        <v>5</v>
      </c>
      <c r="O14" s="4">
        <v>8</v>
      </c>
      <c r="P14" s="4">
        <v>11</v>
      </c>
      <c r="Q14" s="4">
        <v>10</v>
      </c>
      <c r="R14" s="4">
        <v>3</v>
      </c>
      <c r="S14" s="4">
        <v>11</v>
      </c>
      <c r="T14" s="4">
        <v>6.5</v>
      </c>
      <c r="U14" s="4">
        <v>2.2079402165819619</v>
      </c>
      <c r="V14" s="4">
        <v>104</v>
      </c>
      <c r="W14" s="4"/>
    </row>
    <row r="15" spans="1:23" x14ac:dyDescent="0.75">
      <c r="A15" s="3" t="s">
        <v>49</v>
      </c>
      <c r="B15" s="4">
        <v>0.14814814814814814</v>
      </c>
      <c r="C15" s="4">
        <v>0.26344676180021953</v>
      </c>
      <c r="D15" s="4">
        <v>0.37539103232533894</v>
      </c>
      <c r="E15" s="4">
        <v>0.20930232558139536</v>
      </c>
      <c r="F15" s="4">
        <v>0.27480916030534353</v>
      </c>
      <c r="G15" s="4">
        <v>0.41958041958041958</v>
      </c>
      <c r="H15" s="4">
        <v>0.19715224534501644</v>
      </c>
      <c r="I15" s="4">
        <v>0.43478260869565216</v>
      </c>
      <c r="J15" s="4">
        <v>0.29182879377431903</v>
      </c>
      <c r="K15" s="4">
        <v>0.18292682926829271</v>
      </c>
      <c r="L15" s="4">
        <v>0.23856858846918491</v>
      </c>
      <c r="M15" s="4">
        <v>0.19736842105263155</v>
      </c>
      <c r="N15" s="4">
        <v>0.15113350125944583</v>
      </c>
      <c r="O15" s="4">
        <v>0.29239766081871349</v>
      </c>
      <c r="P15" s="4">
        <v>0.47722342733188727</v>
      </c>
      <c r="Q15" s="4">
        <v>0.29429797670141017</v>
      </c>
      <c r="R15" s="4">
        <v>0.14814814814814814</v>
      </c>
      <c r="S15" s="4">
        <v>0.47722342733188727</v>
      </c>
      <c r="T15" s="4">
        <v>0.28582464271919661</v>
      </c>
      <c r="U15" s="4"/>
      <c r="V15" s="4"/>
      <c r="W15" s="4"/>
    </row>
    <row r="16" spans="1:23" x14ac:dyDescent="0.75">
      <c r="A16" s="3" t="s">
        <v>50</v>
      </c>
      <c r="B16" s="4">
        <v>0.85185185185185186</v>
      </c>
      <c r="C16" s="4">
        <v>0.73655323819978047</v>
      </c>
      <c r="D16" s="4">
        <v>0.62460896767466112</v>
      </c>
      <c r="E16" s="4">
        <v>0.79069767441860461</v>
      </c>
      <c r="F16" s="4">
        <v>0.72519083969465647</v>
      </c>
      <c r="G16" s="4">
        <v>0.58041958041958042</v>
      </c>
      <c r="H16" s="4">
        <v>0.80284775465498348</v>
      </c>
      <c r="I16" s="4">
        <v>0.56521739130434789</v>
      </c>
      <c r="J16" s="4">
        <v>0.70817120622568097</v>
      </c>
      <c r="K16" s="4">
        <v>0.81707317073170715</v>
      </c>
      <c r="L16" s="4">
        <v>0.76143141153081506</v>
      </c>
      <c r="M16" s="4">
        <v>0.80263157894736847</v>
      </c>
      <c r="N16" s="4">
        <v>0.8488664987405542</v>
      </c>
      <c r="O16" s="4">
        <v>0.70760233918128645</v>
      </c>
      <c r="P16" s="4">
        <v>0.52277657266811273</v>
      </c>
      <c r="Q16" s="4">
        <v>0.70570202329858978</v>
      </c>
      <c r="R16" s="4">
        <v>0.52277657266811273</v>
      </c>
      <c r="S16" s="4">
        <v>0.85185185185185186</v>
      </c>
      <c r="T16" s="4">
        <v>0.71417535728080339</v>
      </c>
      <c r="U16" s="4"/>
      <c r="V16" s="4"/>
      <c r="W16" s="4"/>
    </row>
    <row r="17" spans="1:23" x14ac:dyDescent="0.75">
      <c r="A17" s="3" t="s">
        <v>51</v>
      </c>
      <c r="B17" s="4">
        <v>0.16348773841961853</v>
      </c>
      <c r="C17" s="4">
        <v>0.36809815950920249</v>
      </c>
      <c r="D17" s="4">
        <v>0.20100502512562812</v>
      </c>
      <c r="E17" s="4">
        <v>0.22770398481973436</v>
      </c>
      <c r="F17" s="4">
        <v>0.28915662650602408</v>
      </c>
      <c r="G17" s="4">
        <v>0.41474654377880193</v>
      </c>
      <c r="H17" s="4">
        <v>0.24291497975708504</v>
      </c>
      <c r="I17" s="4">
        <v>0</v>
      </c>
      <c r="J17" s="4">
        <v>0.17191977077363893</v>
      </c>
      <c r="K17" s="4">
        <v>0.34782608695652173</v>
      </c>
      <c r="L17" s="4">
        <v>0.28639618138424822</v>
      </c>
      <c r="M17" s="4">
        <v>0.29055690072639229</v>
      </c>
      <c r="N17" s="4">
        <v>0.28037383177570091</v>
      </c>
      <c r="O17" s="4">
        <v>0.28985507246376813</v>
      </c>
      <c r="P17" s="4">
        <v>0</v>
      </c>
      <c r="Q17" s="4">
        <v>0.31088082901554409</v>
      </c>
      <c r="R17" s="4">
        <v>0</v>
      </c>
      <c r="S17" s="4">
        <v>0.41474654377880193</v>
      </c>
      <c r="T17" s="4">
        <v>0.26443367122080208</v>
      </c>
      <c r="U17" s="4"/>
      <c r="V17" s="4"/>
      <c r="W17" s="4"/>
    </row>
    <row r="18" spans="1:23" x14ac:dyDescent="0.75">
      <c r="A18" s="3" t="s">
        <v>52</v>
      </c>
      <c r="B18" s="4">
        <v>0.8365122615803815</v>
      </c>
      <c r="C18" s="4">
        <v>0.63190184049079745</v>
      </c>
      <c r="D18" s="4">
        <v>0.79899497487437188</v>
      </c>
      <c r="E18" s="4">
        <v>0.77229601518026558</v>
      </c>
      <c r="F18" s="4">
        <v>0.71084337349397586</v>
      </c>
      <c r="G18" s="4">
        <v>0.58525345622119818</v>
      </c>
      <c r="H18" s="4">
        <v>0.75708502024291491</v>
      </c>
      <c r="I18" s="4">
        <v>1</v>
      </c>
      <c r="J18" s="4">
        <v>0.82808022922636093</v>
      </c>
      <c r="K18" s="4">
        <v>0.65217391304347827</v>
      </c>
      <c r="L18" s="4">
        <v>0.71360381861575184</v>
      </c>
      <c r="M18" s="4">
        <v>0.70944309927360771</v>
      </c>
      <c r="N18" s="4">
        <v>0.71962616822429903</v>
      </c>
      <c r="O18" s="4">
        <v>0.71014492753623193</v>
      </c>
      <c r="P18" s="4">
        <v>1</v>
      </c>
      <c r="Q18" s="4">
        <v>0.68911917098445596</v>
      </c>
      <c r="R18" s="4">
        <v>0.58525345622119818</v>
      </c>
      <c r="S18" s="4">
        <v>1</v>
      </c>
      <c r="T18" s="4">
        <v>0.73556632877919792</v>
      </c>
      <c r="U18" s="4"/>
      <c r="V18" s="4"/>
      <c r="W18" s="4"/>
    </row>
    <row r="19" spans="1:23" x14ac:dyDescent="0.75">
      <c r="A19" s="3" t="s">
        <v>53</v>
      </c>
      <c r="B19" s="4">
        <v>0.15293118096856417</v>
      </c>
      <c r="C19" s="4">
        <v>0.30710172744721692</v>
      </c>
      <c r="D19" s="4">
        <v>0.30848329048843187</v>
      </c>
      <c r="E19" s="4">
        <v>0.21629416005767849</v>
      </c>
      <c r="F19" s="4">
        <v>0.28037383177570091</v>
      </c>
      <c r="G19" s="4">
        <v>0.41795665634674928</v>
      </c>
      <c r="H19" s="4">
        <v>0.20689655172413793</v>
      </c>
      <c r="I19" s="4">
        <v>0.36400404448938323</v>
      </c>
      <c r="J19" s="4">
        <v>0.26143790849673199</v>
      </c>
      <c r="K19" s="4">
        <v>0.23976023976023975</v>
      </c>
      <c r="L19" s="4">
        <v>0.25263157894736843</v>
      </c>
      <c r="M19" s="4">
        <v>0.22099447513812151</v>
      </c>
      <c r="N19" s="4">
        <v>0.20891364902506959</v>
      </c>
      <c r="O19" s="4">
        <v>0.29143897996357016</v>
      </c>
      <c r="P19" s="4">
        <v>0.4086687306501548</v>
      </c>
      <c r="Q19" s="4">
        <v>0.29747149231531977</v>
      </c>
      <c r="R19" s="4">
        <v>0.15293118096856417</v>
      </c>
      <c r="S19" s="4">
        <v>0.41795665634674928</v>
      </c>
      <c r="T19" s="4">
        <v>0.27930710353162347</v>
      </c>
      <c r="U19" s="4"/>
      <c r="V19" s="4"/>
      <c r="W19" s="4"/>
    </row>
    <row r="20" spans="1:23" x14ac:dyDescent="0.75">
      <c r="A20" s="3" t="s">
        <v>54</v>
      </c>
      <c r="B20" s="4">
        <v>0.84706881903143583</v>
      </c>
      <c r="C20" s="4">
        <v>0.69289827255278302</v>
      </c>
      <c r="D20" s="4">
        <v>0.69151670951156818</v>
      </c>
      <c r="E20" s="4">
        <v>0.78370583994232157</v>
      </c>
      <c r="F20" s="4">
        <v>0.71962616822429903</v>
      </c>
      <c r="G20" s="4">
        <v>0.58204334365325072</v>
      </c>
      <c r="H20" s="4">
        <v>0.7931034482758621</v>
      </c>
      <c r="I20" s="4">
        <v>0.63599595551061683</v>
      </c>
      <c r="J20" s="4">
        <v>0.73856209150326801</v>
      </c>
      <c r="K20" s="4">
        <v>0.76023976023976036</v>
      </c>
      <c r="L20" s="4">
        <v>0.74736842105263157</v>
      </c>
      <c r="M20" s="4">
        <v>0.77900552486187835</v>
      </c>
      <c r="N20" s="4">
        <v>0.79108635097493041</v>
      </c>
      <c r="O20" s="4">
        <v>0.70856102003642984</v>
      </c>
      <c r="P20" s="4">
        <v>0.59133126934984515</v>
      </c>
      <c r="Q20" s="4">
        <v>0.70252850768468023</v>
      </c>
      <c r="R20" s="4">
        <v>0.58204334365325072</v>
      </c>
      <c r="S20" s="4">
        <v>0.84706881903143583</v>
      </c>
      <c r="T20" s="4">
        <v>0.72069289646837653</v>
      </c>
      <c r="U20" s="4"/>
      <c r="V20" s="4"/>
      <c r="W20" s="4"/>
    </row>
    <row r="21" spans="1:23" x14ac:dyDescent="0.7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75">
      <c r="A22" s="3" t="s">
        <v>29</v>
      </c>
      <c r="B22" s="4" t="s">
        <v>13</v>
      </c>
      <c r="C22" s="4" t="s">
        <v>14</v>
      </c>
      <c r="D22" s="4" t="s">
        <v>15</v>
      </c>
      <c r="E22" s="4" t="s">
        <v>16</v>
      </c>
      <c r="F22" s="4" t="s">
        <v>17</v>
      </c>
      <c r="G22" s="4" t="s">
        <v>18</v>
      </c>
      <c r="H22" s="4" t="s">
        <v>19</v>
      </c>
      <c r="I22" s="4" t="s">
        <v>20</v>
      </c>
      <c r="J22" s="4" t="s">
        <v>21</v>
      </c>
      <c r="K22" s="4" t="s">
        <v>22</v>
      </c>
      <c r="L22" s="4" t="s">
        <v>23</v>
      </c>
      <c r="M22" s="4" t="s">
        <v>24</v>
      </c>
      <c r="N22" s="4" t="s">
        <v>25</v>
      </c>
      <c r="O22" s="4" t="s">
        <v>26</v>
      </c>
      <c r="P22" s="4" t="s">
        <v>27</v>
      </c>
      <c r="Q22" s="4" t="s">
        <v>28</v>
      </c>
      <c r="R22" s="4" t="s">
        <v>30</v>
      </c>
      <c r="S22" s="4" t="s">
        <v>31</v>
      </c>
      <c r="T22" s="4" t="s">
        <v>32</v>
      </c>
      <c r="U22" s="4" t="s">
        <v>33</v>
      </c>
      <c r="V22" s="4" t="s">
        <v>34</v>
      </c>
      <c r="W22" s="4" t="s">
        <v>35</v>
      </c>
    </row>
    <row r="23" spans="1:23" x14ac:dyDescent="0.75">
      <c r="A23" s="3" t="s">
        <v>0</v>
      </c>
      <c r="B23" s="4">
        <v>19.899999999999999</v>
      </c>
      <c r="C23" s="4">
        <v>16.899999999999999</v>
      </c>
      <c r="D23" s="4">
        <v>17.7</v>
      </c>
      <c r="E23" s="4">
        <v>10.5</v>
      </c>
      <c r="F23" s="4">
        <v>17.600000000000001</v>
      </c>
      <c r="G23" s="4">
        <v>29.3</v>
      </c>
      <c r="H23" s="4">
        <v>2.9</v>
      </c>
      <c r="I23" s="4">
        <v>40.799999999999997</v>
      </c>
      <c r="J23" s="4">
        <v>23.5</v>
      </c>
      <c r="K23" s="4">
        <v>12.4</v>
      </c>
      <c r="L23" s="4">
        <v>23.9</v>
      </c>
      <c r="M23" s="4">
        <v>13.3</v>
      </c>
      <c r="N23" s="4">
        <v>12</v>
      </c>
      <c r="O23" s="4">
        <v>8.3000000000000007</v>
      </c>
      <c r="P23" s="4">
        <v>31</v>
      </c>
      <c r="Q23" s="4">
        <v>26.4</v>
      </c>
      <c r="R23" s="4">
        <v>2.9</v>
      </c>
      <c r="S23" s="4">
        <v>40.799999999999997</v>
      </c>
      <c r="T23" s="4">
        <v>19.149999999999999</v>
      </c>
      <c r="U23" s="4">
        <v>9.3670299455056742</v>
      </c>
      <c r="V23" s="4">
        <v>306.39999999999998</v>
      </c>
      <c r="W23" s="4">
        <v>0.19724475344405815</v>
      </c>
    </row>
    <row r="24" spans="1:23" x14ac:dyDescent="0.75">
      <c r="A24" s="3" t="s">
        <v>55</v>
      </c>
      <c r="B24" s="4">
        <v>18.100000000000001</v>
      </c>
      <c r="C24" s="4">
        <v>25.1</v>
      </c>
      <c r="D24" s="4">
        <v>35.4</v>
      </c>
      <c r="E24" s="4">
        <v>31</v>
      </c>
      <c r="F24" s="4">
        <v>4</v>
      </c>
      <c r="G24" s="4">
        <v>12.5</v>
      </c>
      <c r="H24" s="4">
        <v>23.4</v>
      </c>
      <c r="I24" s="4">
        <v>7.3</v>
      </c>
      <c r="J24" s="4">
        <v>23.4</v>
      </c>
      <c r="K24" s="4">
        <v>16.600000000000001</v>
      </c>
      <c r="L24" s="4">
        <v>13.1</v>
      </c>
      <c r="M24" s="4">
        <v>14.8</v>
      </c>
      <c r="N24" s="4">
        <v>18.8</v>
      </c>
      <c r="O24" s="4">
        <v>27</v>
      </c>
      <c r="P24" s="4">
        <v>43.5</v>
      </c>
      <c r="Q24" s="4">
        <v>44.6</v>
      </c>
      <c r="R24" s="4">
        <v>4</v>
      </c>
      <c r="S24" s="4">
        <v>44.6</v>
      </c>
      <c r="T24" s="4">
        <v>22.412500000000001</v>
      </c>
      <c r="U24" s="4">
        <v>11.416483423103628</v>
      </c>
      <c r="V24" s="4">
        <v>358.6</v>
      </c>
      <c r="W24" s="4">
        <v>0.2308484614394232</v>
      </c>
    </row>
    <row r="25" spans="1:23" x14ac:dyDescent="0.75">
      <c r="A25" s="3" t="s">
        <v>56</v>
      </c>
      <c r="B25" s="4">
        <v>5.2</v>
      </c>
      <c r="C25" s="4">
        <v>8.8000000000000007</v>
      </c>
      <c r="D25" s="4">
        <v>5.3</v>
      </c>
      <c r="E25" s="4">
        <v>6.8</v>
      </c>
      <c r="F25" s="4">
        <v>1.2</v>
      </c>
      <c r="G25" s="4">
        <v>9.9</v>
      </c>
      <c r="H25" s="4">
        <v>7.5</v>
      </c>
      <c r="I25" s="4">
        <v>5.5</v>
      </c>
      <c r="J25" s="4">
        <v>16</v>
      </c>
      <c r="K25" s="4">
        <v>1.6</v>
      </c>
      <c r="L25" s="4">
        <v>16.8</v>
      </c>
      <c r="M25" s="4">
        <v>11.8</v>
      </c>
      <c r="N25" s="4">
        <v>9.1999999999999993</v>
      </c>
      <c r="O25" s="4">
        <v>9.1999999999999993</v>
      </c>
      <c r="P25" s="4">
        <v>14.5</v>
      </c>
      <c r="Q25" s="4">
        <v>29.8</v>
      </c>
      <c r="R25" s="4">
        <v>1.2</v>
      </c>
      <c r="S25" s="4">
        <v>29.8</v>
      </c>
      <c r="T25" s="4">
        <v>9.9437500000000014</v>
      </c>
      <c r="U25" s="4">
        <v>6.7561054563631524</v>
      </c>
      <c r="V25" s="4">
        <v>159.10000000000002</v>
      </c>
      <c r="W25" s="4">
        <v>0.1024204969743788</v>
      </c>
    </row>
    <row r="26" spans="1:23" x14ac:dyDescent="0.75">
      <c r="A26" s="3" t="s">
        <v>57</v>
      </c>
      <c r="B26" s="4">
        <v>8.6</v>
      </c>
      <c r="C26" s="4">
        <v>13.3</v>
      </c>
      <c r="D26" s="4">
        <v>12.6</v>
      </c>
      <c r="E26" s="4">
        <v>4.5</v>
      </c>
      <c r="F26" s="4">
        <v>13.7</v>
      </c>
      <c r="G26" s="4">
        <v>8</v>
      </c>
      <c r="H26" s="4">
        <v>15.8</v>
      </c>
      <c r="I26" s="4">
        <v>5.9</v>
      </c>
      <c r="J26" s="4">
        <v>10.3</v>
      </c>
      <c r="K26" s="4">
        <v>5.9</v>
      </c>
      <c r="L26" s="4">
        <v>10.3</v>
      </c>
      <c r="M26" s="4">
        <v>5.2</v>
      </c>
      <c r="N26" s="4">
        <v>14.6</v>
      </c>
      <c r="O26" s="4">
        <v>14.8</v>
      </c>
      <c r="P26" s="4">
        <v>6.5</v>
      </c>
      <c r="Q26" s="4">
        <v>3.8</v>
      </c>
      <c r="R26" s="4">
        <v>3.8</v>
      </c>
      <c r="S26" s="4">
        <v>15.8</v>
      </c>
      <c r="T26" s="4">
        <v>9.6125000000000025</v>
      </c>
      <c r="U26" s="4">
        <v>3.9569361569274704</v>
      </c>
      <c r="V26" s="4">
        <v>153.80000000000004</v>
      </c>
      <c r="W26" s="4">
        <v>9.9008626239217218E-2</v>
      </c>
    </row>
    <row r="27" spans="1:23" x14ac:dyDescent="0.75">
      <c r="A27" s="3" t="s">
        <v>58</v>
      </c>
      <c r="B27" s="4">
        <v>5.3</v>
      </c>
      <c r="C27" s="4">
        <v>7.4</v>
      </c>
      <c r="D27" s="4">
        <v>8.1999999999999993</v>
      </c>
      <c r="E27" s="4">
        <v>12.3</v>
      </c>
      <c r="F27" s="4">
        <v>13.4</v>
      </c>
      <c r="G27" s="4">
        <v>2.2000000000000002</v>
      </c>
      <c r="H27" s="4">
        <v>7.4</v>
      </c>
      <c r="I27" s="4">
        <v>2.7</v>
      </c>
      <c r="J27" s="4">
        <v>6.9</v>
      </c>
      <c r="K27" s="4">
        <v>7.7</v>
      </c>
      <c r="L27" s="4">
        <v>11.1</v>
      </c>
      <c r="M27" s="4">
        <v>23.6</v>
      </c>
      <c r="N27" s="4">
        <v>7.2</v>
      </c>
      <c r="O27" s="4">
        <v>4.9000000000000004</v>
      </c>
      <c r="P27" s="4">
        <v>14</v>
      </c>
      <c r="Q27" s="4">
        <v>9.4</v>
      </c>
      <c r="R27" s="4">
        <v>2.2000000000000002</v>
      </c>
      <c r="S27" s="4">
        <v>23.6</v>
      </c>
      <c r="T27" s="4">
        <v>8.9812500000000011</v>
      </c>
      <c r="U27" s="4">
        <v>5.0280735314332849</v>
      </c>
      <c r="V27" s="4">
        <v>143.70000000000002</v>
      </c>
      <c r="W27" s="4">
        <v>9.2506759366550798E-2</v>
      </c>
    </row>
    <row r="28" spans="1:23" x14ac:dyDescent="0.75">
      <c r="A28" s="3" t="s">
        <v>59</v>
      </c>
      <c r="B28" s="4">
        <v>2.8</v>
      </c>
      <c r="C28" s="4">
        <v>1.5</v>
      </c>
      <c r="D28" s="4">
        <v>0</v>
      </c>
      <c r="E28" s="4">
        <v>5.5</v>
      </c>
      <c r="F28" s="4">
        <v>3.9</v>
      </c>
      <c r="G28" s="4">
        <v>14.8</v>
      </c>
      <c r="H28" s="4">
        <v>17.399999999999999</v>
      </c>
      <c r="I28" s="4">
        <v>11.4</v>
      </c>
      <c r="J28" s="4">
        <v>8.9</v>
      </c>
      <c r="K28" s="4">
        <v>0.9</v>
      </c>
      <c r="L28" s="4">
        <v>1.8</v>
      </c>
      <c r="M28" s="4">
        <v>21.3</v>
      </c>
      <c r="N28" s="4">
        <v>3.4</v>
      </c>
      <c r="O28" s="4">
        <v>0</v>
      </c>
      <c r="P28" s="4">
        <v>14.6</v>
      </c>
      <c r="Q28" s="4">
        <v>12.6</v>
      </c>
      <c r="R28" s="4">
        <v>0</v>
      </c>
      <c r="S28" s="4">
        <v>21.3</v>
      </c>
      <c r="T28" s="4">
        <v>7.55</v>
      </c>
      <c r="U28" s="4">
        <v>6.6881424925011883</v>
      </c>
      <c r="V28" s="4">
        <v>120.8</v>
      </c>
      <c r="W28" s="4">
        <v>7.7764902793871507E-2</v>
      </c>
    </row>
    <row r="29" spans="1:23" x14ac:dyDescent="0.75">
      <c r="A29" s="3" t="s">
        <v>60</v>
      </c>
      <c r="B29" s="4">
        <v>11.1</v>
      </c>
      <c r="C29" s="4">
        <v>11.1</v>
      </c>
      <c r="D29" s="4">
        <v>5.7</v>
      </c>
      <c r="E29" s="4">
        <v>7.4</v>
      </c>
      <c r="F29" s="4">
        <v>2.7</v>
      </c>
      <c r="G29" s="4">
        <v>8.1</v>
      </c>
      <c r="H29" s="4">
        <v>8.9</v>
      </c>
      <c r="I29" s="4">
        <v>6.2</v>
      </c>
      <c r="J29" s="4">
        <v>13.8</v>
      </c>
      <c r="K29" s="4">
        <v>17.5</v>
      </c>
      <c r="L29" s="4">
        <v>16.600000000000001</v>
      </c>
      <c r="M29" s="4">
        <v>15.6</v>
      </c>
      <c r="N29" s="4">
        <v>6.2</v>
      </c>
      <c r="O29" s="4">
        <v>25.4</v>
      </c>
      <c r="P29" s="4">
        <v>14.2</v>
      </c>
      <c r="Q29" s="4">
        <v>14.5</v>
      </c>
      <c r="R29" s="4">
        <v>2.7</v>
      </c>
      <c r="S29" s="4">
        <v>25.4</v>
      </c>
      <c r="T29" s="4">
        <v>11.562499999999998</v>
      </c>
      <c r="U29" s="4">
        <v>5.5692094367154157</v>
      </c>
      <c r="V29" s="4">
        <v>184.99999999999997</v>
      </c>
      <c r="W29" s="4">
        <v>0.11909360113299856</v>
      </c>
    </row>
    <row r="30" spans="1:23" x14ac:dyDescent="0.75">
      <c r="A30" s="3" t="s">
        <v>61</v>
      </c>
      <c r="B30" s="4">
        <v>10</v>
      </c>
      <c r="C30" s="4">
        <v>7</v>
      </c>
      <c r="D30" s="4">
        <v>11</v>
      </c>
      <c r="E30" s="4">
        <v>8</v>
      </c>
      <c r="F30" s="4">
        <v>9</v>
      </c>
      <c r="G30" s="4">
        <v>1</v>
      </c>
      <c r="H30" s="4">
        <v>8</v>
      </c>
      <c r="I30" s="4">
        <v>3</v>
      </c>
      <c r="J30" s="4">
        <v>0</v>
      </c>
      <c r="K30" s="4">
        <v>3</v>
      </c>
      <c r="L30" s="4">
        <v>7</v>
      </c>
      <c r="M30" s="4">
        <v>16</v>
      </c>
      <c r="N30" s="4">
        <v>8</v>
      </c>
      <c r="O30" s="4">
        <v>13</v>
      </c>
      <c r="P30" s="4">
        <v>0</v>
      </c>
      <c r="Q30" s="4">
        <v>22</v>
      </c>
      <c r="R30" s="4">
        <v>0</v>
      </c>
      <c r="S30" s="4">
        <v>22</v>
      </c>
      <c r="T30" s="4">
        <v>7.875</v>
      </c>
      <c r="U30" s="4">
        <v>5.7432025038300711</v>
      </c>
      <c r="V30" s="4">
        <v>126</v>
      </c>
      <c r="W30" s="4">
        <v>8.1112398609501729E-2</v>
      </c>
    </row>
    <row r="31" spans="1:23" x14ac:dyDescent="0.7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8E57A-628C-406C-9161-377FB6D25E33}">
  <sheetPr codeName="Sheet8"/>
  <dimension ref="A1:W31"/>
  <sheetViews>
    <sheetView workbookViewId="0">
      <selection activeCell="A2" sqref="A2:W31"/>
    </sheetView>
  </sheetViews>
  <sheetFormatPr defaultRowHeight="14.75" x14ac:dyDescent="0.75"/>
  <cols>
    <col min="1" max="1" width="27.90625" bestFit="1" customWidth="1"/>
    <col min="2" max="10" width="11.6796875" bestFit="1" customWidth="1"/>
    <col min="11" max="17" width="12.453125" bestFit="1" customWidth="1"/>
    <col min="18" max="19" width="11.6796875" bestFit="1" customWidth="1"/>
    <col min="20" max="20" width="12.08984375" bestFit="1" customWidth="1"/>
    <col min="21" max="22" width="11.6796875" bestFit="1" customWidth="1"/>
    <col min="23" max="23" width="14.54296875" bestFit="1" customWidth="1"/>
  </cols>
  <sheetData>
    <row r="1" spans="1:23" x14ac:dyDescent="0.75">
      <c r="A1" s="3" t="s">
        <v>29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27</v>
      </c>
      <c r="Q1" s="3" t="s">
        <v>28</v>
      </c>
      <c r="R1" s="3" t="s">
        <v>30</v>
      </c>
      <c r="S1" s="3" t="s">
        <v>31</v>
      </c>
      <c r="T1" s="3" t="s">
        <v>32</v>
      </c>
      <c r="U1" s="3" t="s">
        <v>33</v>
      </c>
      <c r="V1" s="3" t="s">
        <v>34</v>
      </c>
      <c r="W1" s="3" t="s">
        <v>35</v>
      </c>
    </row>
    <row r="2" spans="1:23" x14ac:dyDescent="0.75">
      <c r="A2" s="3" t="s">
        <v>36</v>
      </c>
      <c r="B2" s="3">
        <v>83.299999999999983</v>
      </c>
      <c r="C2" s="3">
        <v>112</v>
      </c>
      <c r="D2" s="3">
        <v>80.199999999999989</v>
      </c>
      <c r="E2" s="3">
        <v>78.7</v>
      </c>
      <c r="F2" s="3">
        <v>105.5</v>
      </c>
      <c r="G2" s="3">
        <v>112.6</v>
      </c>
      <c r="H2" s="3">
        <v>47.4</v>
      </c>
      <c r="I2" s="3">
        <v>84.2</v>
      </c>
      <c r="J2" s="3">
        <v>83.8</v>
      </c>
      <c r="K2" s="3">
        <v>104.9</v>
      </c>
      <c r="L2" s="3">
        <v>74.8</v>
      </c>
      <c r="M2" s="3">
        <v>92.3</v>
      </c>
      <c r="N2" s="3">
        <v>94</v>
      </c>
      <c r="O2" s="3">
        <v>71.2</v>
      </c>
      <c r="P2" s="3">
        <v>73.900000000000006</v>
      </c>
      <c r="Q2" s="3">
        <v>99</v>
      </c>
      <c r="R2" s="3">
        <v>47.4</v>
      </c>
      <c r="S2" s="3">
        <v>112.6</v>
      </c>
      <c r="T2" s="3">
        <v>87.362499999999997</v>
      </c>
      <c r="U2" s="3">
        <v>16.671752869749454</v>
      </c>
      <c r="V2" s="3">
        <v>1397.8</v>
      </c>
      <c r="W2" s="3">
        <v>0.70318945567964575</v>
      </c>
    </row>
    <row r="3" spans="1:23" x14ac:dyDescent="0.75">
      <c r="A3" s="3" t="s">
        <v>37</v>
      </c>
      <c r="B3" s="3">
        <v>32.900000000000006</v>
      </c>
      <c r="C3" s="3">
        <v>17.299999999999997</v>
      </c>
      <c r="D3" s="3">
        <v>65.599999999999994</v>
      </c>
      <c r="E3" s="3">
        <v>24.6</v>
      </c>
      <c r="F3" s="3">
        <v>18.899999999999999</v>
      </c>
      <c r="G3" s="3">
        <v>30.1</v>
      </c>
      <c r="H3" s="3">
        <v>66.199999999999989</v>
      </c>
      <c r="I3" s="3">
        <v>19.5</v>
      </c>
      <c r="J3" s="3">
        <v>32.1</v>
      </c>
      <c r="K3" s="3">
        <v>17.5</v>
      </c>
      <c r="L3" s="3">
        <v>28</v>
      </c>
      <c r="M3" s="3">
        <v>71.400000000000006</v>
      </c>
      <c r="N3" s="3">
        <v>50.5</v>
      </c>
      <c r="O3" s="3">
        <v>33.5</v>
      </c>
      <c r="P3" s="3">
        <v>49.4</v>
      </c>
      <c r="Q3" s="3">
        <v>32.5</v>
      </c>
      <c r="R3" s="3">
        <v>17.299999999999997</v>
      </c>
      <c r="S3" s="3">
        <v>71.400000000000006</v>
      </c>
      <c r="T3" s="3">
        <v>36.875</v>
      </c>
      <c r="U3" s="3">
        <v>17.58481233906123</v>
      </c>
      <c r="V3" s="3">
        <v>590</v>
      </c>
      <c r="W3" s="3">
        <v>0.29681054432035414</v>
      </c>
    </row>
    <row r="4" spans="1:23" x14ac:dyDescent="0.75">
      <c r="A4" s="3" t="s">
        <v>38</v>
      </c>
      <c r="B4" s="3">
        <v>116.2</v>
      </c>
      <c r="C4" s="3">
        <v>129.30000000000001</v>
      </c>
      <c r="D4" s="3">
        <v>145.79999999999998</v>
      </c>
      <c r="E4" s="3">
        <v>103.3</v>
      </c>
      <c r="F4" s="3">
        <v>124.4</v>
      </c>
      <c r="G4" s="3">
        <v>142.69999999999999</v>
      </c>
      <c r="H4" s="3">
        <v>113.6</v>
      </c>
      <c r="I4" s="3">
        <v>103.7</v>
      </c>
      <c r="J4" s="3">
        <v>115.9</v>
      </c>
      <c r="K4" s="3">
        <v>122.4</v>
      </c>
      <c r="L4" s="3">
        <v>102.8</v>
      </c>
      <c r="M4" s="3">
        <v>163.69999999999999</v>
      </c>
      <c r="N4" s="3">
        <v>144.5</v>
      </c>
      <c r="O4" s="3">
        <v>104.7</v>
      </c>
      <c r="P4" s="3">
        <v>123.3</v>
      </c>
      <c r="Q4" s="3">
        <v>131.5</v>
      </c>
      <c r="R4" s="3">
        <v>102.8</v>
      </c>
      <c r="S4" s="3">
        <v>163.69999999999999</v>
      </c>
      <c r="T4" s="3">
        <v>124.2375</v>
      </c>
      <c r="U4" s="3">
        <v>17.32959444851485</v>
      </c>
      <c r="V4" s="3">
        <v>1987.8</v>
      </c>
      <c r="W4" s="3" t="s">
        <v>39</v>
      </c>
    </row>
    <row r="5" spans="1:23" x14ac:dyDescent="0.75">
      <c r="A5" s="3" t="s">
        <v>40</v>
      </c>
      <c r="B5" s="3" t="s">
        <v>39</v>
      </c>
      <c r="C5" s="3">
        <v>0</v>
      </c>
      <c r="D5" s="3">
        <v>1</v>
      </c>
      <c r="E5" s="3">
        <v>1</v>
      </c>
      <c r="F5" s="3">
        <v>2</v>
      </c>
      <c r="G5" s="3">
        <v>3</v>
      </c>
      <c r="H5" s="3">
        <v>3</v>
      </c>
      <c r="I5" s="3">
        <v>4</v>
      </c>
      <c r="J5" s="3">
        <v>4</v>
      </c>
      <c r="K5" s="3">
        <v>5</v>
      </c>
      <c r="L5" s="3">
        <v>1</v>
      </c>
      <c r="M5" s="3">
        <v>0</v>
      </c>
      <c r="N5" s="3">
        <v>2</v>
      </c>
      <c r="O5" s="3">
        <v>1</v>
      </c>
      <c r="P5" s="3">
        <v>0</v>
      </c>
      <c r="Q5" s="3">
        <v>1</v>
      </c>
      <c r="R5" s="3">
        <v>0</v>
      </c>
      <c r="S5" s="3">
        <v>5</v>
      </c>
      <c r="T5" s="3">
        <v>1.8666666666666667</v>
      </c>
      <c r="U5" s="3">
        <v>1.54344492037203</v>
      </c>
      <c r="V5" s="3">
        <v>28</v>
      </c>
      <c r="W5" s="3" t="s">
        <v>39</v>
      </c>
    </row>
    <row r="6" spans="1:23" x14ac:dyDescent="0.75">
      <c r="A6" s="3" t="s">
        <v>41</v>
      </c>
      <c r="B6" s="3" t="s">
        <v>39</v>
      </c>
      <c r="C6" s="3">
        <v>0</v>
      </c>
      <c r="D6" s="3">
        <v>1</v>
      </c>
      <c r="E6" s="3">
        <v>0</v>
      </c>
      <c r="F6" s="3">
        <v>3</v>
      </c>
      <c r="G6" s="3">
        <v>2</v>
      </c>
      <c r="H6" s="3">
        <v>1</v>
      </c>
      <c r="I6" s="3">
        <v>2</v>
      </c>
      <c r="J6" s="3">
        <v>3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3</v>
      </c>
      <c r="T6" s="3">
        <v>0.8</v>
      </c>
      <c r="U6" s="3">
        <v>1.1075498483890769</v>
      </c>
      <c r="V6" s="3">
        <v>12</v>
      </c>
      <c r="W6" s="3" t="s">
        <v>39</v>
      </c>
    </row>
    <row r="7" spans="1:23" x14ac:dyDescent="0.75">
      <c r="A7" s="3" t="s">
        <v>42</v>
      </c>
      <c r="B7" s="3">
        <v>2</v>
      </c>
      <c r="C7" s="3">
        <v>1</v>
      </c>
      <c r="D7" s="3">
        <v>4</v>
      </c>
      <c r="E7" s="3">
        <v>3</v>
      </c>
      <c r="F7" s="3">
        <v>3</v>
      </c>
      <c r="G7" s="3">
        <v>3</v>
      </c>
      <c r="H7" s="3">
        <v>4</v>
      </c>
      <c r="I7" s="3">
        <v>1</v>
      </c>
      <c r="J7" s="3">
        <v>1</v>
      </c>
      <c r="K7" s="3">
        <v>1</v>
      </c>
      <c r="L7" s="3">
        <v>2</v>
      </c>
      <c r="M7" s="3">
        <v>2</v>
      </c>
      <c r="N7" s="3">
        <v>3</v>
      </c>
      <c r="O7" s="3">
        <v>1</v>
      </c>
      <c r="P7" s="3">
        <v>3</v>
      </c>
      <c r="Q7" s="3">
        <v>2</v>
      </c>
      <c r="R7" s="3">
        <v>1</v>
      </c>
      <c r="S7" s="3">
        <v>4</v>
      </c>
      <c r="T7" s="3">
        <v>2.25</v>
      </c>
      <c r="U7" s="3">
        <v>1.0307764064044151</v>
      </c>
      <c r="V7" s="3">
        <v>36</v>
      </c>
      <c r="W7" s="3" t="s">
        <v>39</v>
      </c>
    </row>
    <row r="8" spans="1:23" x14ac:dyDescent="0.75">
      <c r="A8" s="3" t="s">
        <v>43</v>
      </c>
      <c r="B8" s="3">
        <v>90.899999999999977</v>
      </c>
      <c r="C8" s="3">
        <v>112</v>
      </c>
      <c r="D8" s="3">
        <v>124.5</v>
      </c>
      <c r="E8" s="3">
        <v>86</v>
      </c>
      <c r="F8" s="3">
        <v>108.8</v>
      </c>
      <c r="G8" s="3">
        <v>120.2</v>
      </c>
      <c r="H8" s="3">
        <v>81.5</v>
      </c>
      <c r="I8" s="3">
        <v>100.8</v>
      </c>
      <c r="J8" s="3">
        <v>89.3</v>
      </c>
      <c r="K8" s="3">
        <v>109.2</v>
      </c>
      <c r="L8" s="3">
        <v>80.8</v>
      </c>
      <c r="M8" s="3">
        <v>127.9</v>
      </c>
      <c r="N8" s="3">
        <v>109.7</v>
      </c>
      <c r="O8" s="3">
        <v>95.3</v>
      </c>
      <c r="P8" s="3">
        <v>99.4</v>
      </c>
      <c r="Q8" s="3">
        <v>116.6</v>
      </c>
      <c r="R8" s="3">
        <v>80.8</v>
      </c>
      <c r="S8" s="3">
        <v>127.9</v>
      </c>
      <c r="T8" s="3">
        <v>103.30625000000001</v>
      </c>
      <c r="U8" s="3">
        <v>14.609092577484088</v>
      </c>
      <c r="V8" s="3">
        <v>1652.9</v>
      </c>
      <c r="W8" s="3" t="s">
        <v>39</v>
      </c>
    </row>
    <row r="9" spans="1:23" x14ac:dyDescent="0.75">
      <c r="A9" s="3" t="s">
        <v>44</v>
      </c>
      <c r="B9" s="4">
        <v>0.91639163916391631</v>
      </c>
      <c r="C9" s="4">
        <v>1</v>
      </c>
      <c r="D9" s="4">
        <v>0.6441767068273091</v>
      </c>
      <c r="E9" s="4">
        <v>0.91511627906976756</v>
      </c>
      <c r="F9" s="4">
        <v>0.96966911764705888</v>
      </c>
      <c r="G9" s="4">
        <v>0.93677204658901825</v>
      </c>
      <c r="H9" s="4">
        <v>0.58159509202453985</v>
      </c>
      <c r="I9" s="4">
        <v>0.83531746031746035</v>
      </c>
      <c r="J9" s="4">
        <v>0.93840985442329228</v>
      </c>
      <c r="K9" s="4">
        <v>0.96062271062271076</v>
      </c>
      <c r="L9" s="4">
        <v>0.92574257425742579</v>
      </c>
      <c r="M9" s="4">
        <v>0.72165754495699763</v>
      </c>
      <c r="N9" s="4">
        <v>0.85688240656335457</v>
      </c>
      <c r="O9" s="4">
        <v>0.74711437565582373</v>
      </c>
      <c r="P9" s="4">
        <v>0.74346076458752508</v>
      </c>
      <c r="Q9" s="4">
        <v>0.84905660377358494</v>
      </c>
      <c r="R9" s="4">
        <v>0.58159509202453985</v>
      </c>
      <c r="S9" s="4">
        <v>1</v>
      </c>
      <c r="T9" s="4">
        <v>0.8463740735299865</v>
      </c>
      <c r="U9" s="4" t="s">
        <v>39</v>
      </c>
      <c r="V9" s="4">
        <v>0.8456651945066247</v>
      </c>
      <c r="W9" s="4">
        <v>1</v>
      </c>
    </row>
    <row r="10" spans="1:23" x14ac:dyDescent="0.7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75">
      <c r="A11" s="3" t="s">
        <v>45</v>
      </c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  <c r="I11" s="4" t="s">
        <v>20</v>
      </c>
      <c r="J11" s="4" t="s">
        <v>21</v>
      </c>
      <c r="K11" s="4" t="s">
        <v>22</v>
      </c>
      <c r="L11" s="4" t="s">
        <v>23</v>
      </c>
      <c r="M11" s="4" t="s">
        <v>24</v>
      </c>
      <c r="N11" s="4" t="s">
        <v>25</v>
      </c>
      <c r="O11" s="4" t="s">
        <v>26</v>
      </c>
      <c r="P11" s="4" t="s">
        <v>27</v>
      </c>
      <c r="Q11" s="4" t="s">
        <v>28</v>
      </c>
      <c r="R11" s="4" t="s">
        <v>30</v>
      </c>
      <c r="S11" s="4" t="s">
        <v>31</v>
      </c>
      <c r="T11" s="4" t="s">
        <v>32</v>
      </c>
      <c r="U11" s="4" t="s">
        <v>33</v>
      </c>
      <c r="V11" s="4" t="s">
        <v>34</v>
      </c>
      <c r="W11" s="4" t="s">
        <v>35</v>
      </c>
    </row>
    <row r="12" spans="1:23" x14ac:dyDescent="0.75">
      <c r="A12" s="3" t="s">
        <v>46</v>
      </c>
      <c r="B12" s="4">
        <v>3</v>
      </c>
      <c r="C12" s="4">
        <v>6</v>
      </c>
      <c r="D12" s="4">
        <v>5</v>
      </c>
      <c r="E12" s="4">
        <v>5</v>
      </c>
      <c r="F12" s="4">
        <v>7</v>
      </c>
      <c r="G12" s="4">
        <v>8</v>
      </c>
      <c r="H12" s="4">
        <v>0</v>
      </c>
      <c r="I12" s="4">
        <v>4</v>
      </c>
      <c r="J12" s="4">
        <v>4</v>
      </c>
      <c r="K12" s="4">
        <v>4</v>
      </c>
      <c r="L12" s="4">
        <v>4</v>
      </c>
      <c r="M12" s="4">
        <v>4</v>
      </c>
      <c r="N12" s="4">
        <v>2</v>
      </c>
      <c r="O12" s="4">
        <v>5</v>
      </c>
      <c r="P12" s="4">
        <v>4</v>
      </c>
      <c r="Q12" s="4">
        <v>5</v>
      </c>
      <c r="R12" s="4">
        <v>0</v>
      </c>
      <c r="S12" s="4">
        <v>8</v>
      </c>
      <c r="T12" s="4">
        <v>4.375</v>
      </c>
      <c r="U12" s="4">
        <v>1.7984368212422699</v>
      </c>
      <c r="V12" s="4">
        <v>70</v>
      </c>
      <c r="W12" s="4">
        <v>0.65420560747663548</v>
      </c>
    </row>
    <row r="13" spans="1:23" x14ac:dyDescent="0.75">
      <c r="A13" s="3" t="s">
        <v>47</v>
      </c>
      <c r="B13" s="4">
        <v>2</v>
      </c>
      <c r="C13" s="4">
        <v>1</v>
      </c>
      <c r="D13" s="4">
        <v>5</v>
      </c>
      <c r="E13" s="4">
        <v>2</v>
      </c>
      <c r="F13" s="4">
        <v>1</v>
      </c>
      <c r="G13" s="4">
        <v>2</v>
      </c>
      <c r="H13" s="4">
        <v>4</v>
      </c>
      <c r="I13" s="4">
        <v>1</v>
      </c>
      <c r="J13" s="4">
        <v>3</v>
      </c>
      <c r="K13" s="4">
        <v>0</v>
      </c>
      <c r="L13" s="4">
        <v>1</v>
      </c>
      <c r="M13" s="4">
        <v>5</v>
      </c>
      <c r="N13" s="4">
        <v>4</v>
      </c>
      <c r="O13" s="4">
        <v>3</v>
      </c>
      <c r="P13" s="4">
        <v>2</v>
      </c>
      <c r="Q13" s="4">
        <v>1</v>
      </c>
      <c r="R13" s="4">
        <v>0</v>
      </c>
      <c r="S13" s="4">
        <v>5</v>
      </c>
      <c r="T13" s="4">
        <v>2.3125</v>
      </c>
      <c r="U13" s="4">
        <v>1.4882351124738322</v>
      </c>
      <c r="V13" s="4">
        <v>37</v>
      </c>
      <c r="W13" s="4">
        <v>0.34579439252336447</v>
      </c>
    </row>
    <row r="14" spans="1:23" x14ac:dyDescent="0.75">
      <c r="A14" s="3" t="s">
        <v>48</v>
      </c>
      <c r="B14" s="4">
        <v>5</v>
      </c>
      <c r="C14" s="4">
        <v>7</v>
      </c>
      <c r="D14" s="4">
        <v>10</v>
      </c>
      <c r="E14" s="4">
        <v>7</v>
      </c>
      <c r="F14" s="4">
        <v>8</v>
      </c>
      <c r="G14" s="4">
        <v>10</v>
      </c>
      <c r="H14" s="4">
        <v>4</v>
      </c>
      <c r="I14" s="4">
        <v>5</v>
      </c>
      <c r="J14" s="4">
        <v>7</v>
      </c>
      <c r="K14" s="4">
        <v>4</v>
      </c>
      <c r="L14" s="4">
        <v>5</v>
      </c>
      <c r="M14" s="4">
        <v>9</v>
      </c>
      <c r="N14" s="4">
        <v>6</v>
      </c>
      <c r="O14" s="4">
        <v>8</v>
      </c>
      <c r="P14" s="4">
        <v>6</v>
      </c>
      <c r="Q14" s="4">
        <v>6</v>
      </c>
      <c r="R14" s="4">
        <v>4</v>
      </c>
      <c r="S14" s="4">
        <v>10</v>
      </c>
      <c r="T14" s="4">
        <v>6.6875</v>
      </c>
      <c r="U14" s="4">
        <v>1.8614090764794289</v>
      </c>
      <c r="V14" s="4">
        <v>107</v>
      </c>
      <c r="W14" s="4"/>
    </row>
    <row r="15" spans="1:23" x14ac:dyDescent="0.75">
      <c r="A15" s="3" t="s">
        <v>49</v>
      </c>
      <c r="B15" s="4">
        <v>0.21608643457382959</v>
      </c>
      <c r="C15" s="4">
        <v>0.32142857142857145</v>
      </c>
      <c r="D15" s="4">
        <v>0.37406483790523698</v>
      </c>
      <c r="E15" s="4">
        <v>0.38119440914866581</v>
      </c>
      <c r="F15" s="4">
        <v>0.3981042654028436</v>
      </c>
      <c r="G15" s="4">
        <v>0.42628774422735349</v>
      </c>
      <c r="H15" s="4">
        <v>0</v>
      </c>
      <c r="I15" s="4">
        <v>0.28503562945368172</v>
      </c>
      <c r="J15" s="4">
        <v>0.28639618138424822</v>
      </c>
      <c r="K15" s="4">
        <v>0.22878932316491896</v>
      </c>
      <c r="L15" s="4">
        <v>0.32085561497326204</v>
      </c>
      <c r="M15" s="4">
        <v>0.26002166847237268</v>
      </c>
      <c r="N15" s="4">
        <v>0.1276595744680851</v>
      </c>
      <c r="O15" s="4">
        <v>0.42134831460674155</v>
      </c>
      <c r="P15" s="4">
        <v>0.32476319350473609</v>
      </c>
      <c r="Q15" s="4">
        <v>0.30303030303030304</v>
      </c>
      <c r="R15" s="4">
        <v>0</v>
      </c>
      <c r="S15" s="4">
        <v>0.42628774422735349</v>
      </c>
      <c r="T15" s="4">
        <v>0.30047217055372727</v>
      </c>
      <c r="U15" s="4"/>
      <c r="V15" s="4"/>
      <c r="W15" s="4"/>
    </row>
    <row r="16" spans="1:23" x14ac:dyDescent="0.75">
      <c r="A16" s="3" t="s">
        <v>50</v>
      </c>
      <c r="B16" s="4">
        <v>0.78391356542617041</v>
      </c>
      <c r="C16" s="4">
        <v>0.6785714285714286</v>
      </c>
      <c r="D16" s="4">
        <v>0.62593516209476308</v>
      </c>
      <c r="E16" s="4">
        <v>0.61880559085133413</v>
      </c>
      <c r="F16" s="4">
        <v>0.6018957345971564</v>
      </c>
      <c r="G16" s="4">
        <v>0.57371225577264651</v>
      </c>
      <c r="H16" s="4">
        <v>1</v>
      </c>
      <c r="I16" s="4">
        <v>0.71496437054631823</v>
      </c>
      <c r="J16" s="4">
        <v>0.71360381861575184</v>
      </c>
      <c r="K16" s="4">
        <v>0.77121067683508093</v>
      </c>
      <c r="L16" s="4">
        <v>0.67914438502673802</v>
      </c>
      <c r="M16" s="4">
        <v>0.73997833152762738</v>
      </c>
      <c r="N16" s="4">
        <v>0.87234042553191493</v>
      </c>
      <c r="O16" s="4">
        <v>0.5786516853932584</v>
      </c>
      <c r="P16" s="4">
        <v>0.67523680649526385</v>
      </c>
      <c r="Q16" s="4">
        <v>0.69696969696969702</v>
      </c>
      <c r="R16" s="4">
        <v>0.57371225577264651</v>
      </c>
      <c r="S16" s="4">
        <v>1</v>
      </c>
      <c r="T16" s="4">
        <v>0.69952782944627279</v>
      </c>
      <c r="U16" s="4"/>
      <c r="V16" s="4"/>
      <c r="W16" s="4"/>
    </row>
    <row r="17" spans="1:23" x14ac:dyDescent="0.75">
      <c r="A17" s="3" t="s">
        <v>51</v>
      </c>
      <c r="B17" s="4">
        <v>0.3647416413373859</v>
      </c>
      <c r="C17" s="4">
        <v>0.34682080924855496</v>
      </c>
      <c r="D17" s="4">
        <v>0.45731707317073167</v>
      </c>
      <c r="E17" s="4">
        <v>0.48780487804878053</v>
      </c>
      <c r="F17" s="4">
        <v>0.3174603174603175</v>
      </c>
      <c r="G17" s="4">
        <v>0.39867109634551495</v>
      </c>
      <c r="H17" s="4">
        <v>0.36253776435045326</v>
      </c>
      <c r="I17" s="4">
        <v>0.30769230769230771</v>
      </c>
      <c r="J17" s="4">
        <v>0.56074766355140182</v>
      </c>
      <c r="K17" s="4">
        <v>0</v>
      </c>
      <c r="L17" s="4">
        <v>0.21428571428571427</v>
      </c>
      <c r="M17" s="4">
        <v>0.42016806722689071</v>
      </c>
      <c r="N17" s="4">
        <v>0.47524752475247523</v>
      </c>
      <c r="O17" s="4">
        <v>0.53731343283582089</v>
      </c>
      <c r="P17" s="4">
        <v>0.24291497975708504</v>
      </c>
      <c r="Q17" s="4">
        <v>0.18461538461538465</v>
      </c>
      <c r="R17" s="4">
        <v>0</v>
      </c>
      <c r="S17" s="4">
        <v>0.56074766355140182</v>
      </c>
      <c r="T17" s="4">
        <v>0.37627118644067797</v>
      </c>
      <c r="U17" s="4"/>
      <c r="V17" s="4"/>
      <c r="W17" s="4"/>
    </row>
    <row r="18" spans="1:23" x14ac:dyDescent="0.75">
      <c r="A18" s="3" t="s">
        <v>52</v>
      </c>
      <c r="B18" s="4">
        <v>0.63525835866261404</v>
      </c>
      <c r="C18" s="4">
        <v>0.65317919075144504</v>
      </c>
      <c r="D18" s="4">
        <v>0.54268292682926833</v>
      </c>
      <c r="E18" s="4">
        <v>0.51219512195121952</v>
      </c>
      <c r="F18" s="4">
        <v>0.68253968253968256</v>
      </c>
      <c r="G18" s="4">
        <v>0.6013289036544851</v>
      </c>
      <c r="H18" s="4">
        <v>0.63746223564954674</v>
      </c>
      <c r="I18" s="4">
        <v>0.69230769230769229</v>
      </c>
      <c r="J18" s="4">
        <v>0.43925233644859818</v>
      </c>
      <c r="K18" s="4">
        <v>1</v>
      </c>
      <c r="L18" s="4">
        <v>0.7857142857142857</v>
      </c>
      <c r="M18" s="4">
        <v>0.57983193277310929</v>
      </c>
      <c r="N18" s="4">
        <v>0.52475247524752477</v>
      </c>
      <c r="O18" s="4">
        <v>0.46268656716417911</v>
      </c>
      <c r="P18" s="4">
        <v>0.75708502024291491</v>
      </c>
      <c r="Q18" s="4">
        <v>0.81538461538461537</v>
      </c>
      <c r="R18" s="4">
        <v>0.43925233644859818</v>
      </c>
      <c r="S18" s="4">
        <v>1</v>
      </c>
      <c r="T18" s="4">
        <v>0.62372881355932197</v>
      </c>
      <c r="U18" s="4"/>
      <c r="V18" s="4"/>
      <c r="W18" s="4"/>
    </row>
    <row r="19" spans="1:23" x14ac:dyDescent="0.75">
      <c r="A19" s="3" t="s">
        <v>53</v>
      </c>
      <c r="B19" s="4">
        <v>0.25817555938037867</v>
      </c>
      <c r="C19" s="4">
        <v>0.3248259860788863</v>
      </c>
      <c r="D19" s="4">
        <v>0.41152263374485598</v>
      </c>
      <c r="E19" s="4">
        <v>0.4065827686350435</v>
      </c>
      <c r="F19" s="4">
        <v>0.38585209003215432</v>
      </c>
      <c r="G19" s="4">
        <v>0.4204625087596357</v>
      </c>
      <c r="H19" s="4">
        <v>0.21126760563380284</v>
      </c>
      <c r="I19" s="4">
        <v>0.28929604628736738</v>
      </c>
      <c r="J19" s="4">
        <v>0.36238136324417602</v>
      </c>
      <c r="K19" s="4">
        <v>0.19607843137254904</v>
      </c>
      <c r="L19" s="4">
        <v>0.29182879377431908</v>
      </c>
      <c r="M19" s="4">
        <v>0.32987171655467323</v>
      </c>
      <c r="N19" s="4">
        <v>0.2491349480968858</v>
      </c>
      <c r="O19" s="4">
        <v>0.45845272206303722</v>
      </c>
      <c r="P19" s="4">
        <v>0.29197080291970801</v>
      </c>
      <c r="Q19" s="4">
        <v>0.27376425855513309</v>
      </c>
      <c r="R19" s="4">
        <v>0.19607843137254904</v>
      </c>
      <c r="S19" s="4">
        <v>0.45845272206303722</v>
      </c>
      <c r="T19" s="4">
        <v>0.32297011771808026</v>
      </c>
      <c r="U19" s="4"/>
      <c r="V19" s="4"/>
      <c r="W19" s="4"/>
    </row>
    <row r="20" spans="1:23" x14ac:dyDescent="0.75">
      <c r="A20" s="3" t="s">
        <v>54</v>
      </c>
      <c r="B20" s="4">
        <v>0.74182444061962127</v>
      </c>
      <c r="C20" s="4">
        <v>0.67517401392111376</v>
      </c>
      <c r="D20" s="4">
        <v>0.58847736625514391</v>
      </c>
      <c r="E20" s="4">
        <v>0.59341723136495639</v>
      </c>
      <c r="F20" s="4">
        <v>0.61414790996784574</v>
      </c>
      <c r="G20" s="4">
        <v>0.57953749124036436</v>
      </c>
      <c r="H20" s="4">
        <v>0.78873239436619713</v>
      </c>
      <c r="I20" s="4">
        <v>0.71070395371263262</v>
      </c>
      <c r="J20" s="4">
        <v>0.63761863675582409</v>
      </c>
      <c r="K20" s="4">
        <v>0.80392156862745101</v>
      </c>
      <c r="L20" s="4">
        <v>0.70817120622568086</v>
      </c>
      <c r="M20" s="4">
        <v>0.67012828344532682</v>
      </c>
      <c r="N20" s="4">
        <v>0.75086505190311403</v>
      </c>
      <c r="O20" s="4">
        <v>0.54154727793696278</v>
      </c>
      <c r="P20" s="4">
        <v>0.70802919708029199</v>
      </c>
      <c r="Q20" s="4">
        <v>0.72623574144486691</v>
      </c>
      <c r="R20" s="4">
        <v>0.54154727793696278</v>
      </c>
      <c r="S20" s="4">
        <v>0.80392156862745101</v>
      </c>
      <c r="T20" s="4">
        <v>0.67702988228191974</v>
      </c>
      <c r="U20" s="4"/>
      <c r="V20" s="4"/>
      <c r="W20" s="4"/>
    </row>
    <row r="21" spans="1:23" x14ac:dyDescent="0.7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75">
      <c r="A22" s="3" t="s">
        <v>29</v>
      </c>
      <c r="B22" s="4" t="s">
        <v>13</v>
      </c>
      <c r="C22" s="4" t="s">
        <v>14</v>
      </c>
      <c r="D22" s="4" t="s">
        <v>15</v>
      </c>
      <c r="E22" s="4" t="s">
        <v>16</v>
      </c>
      <c r="F22" s="4" t="s">
        <v>17</v>
      </c>
      <c r="G22" s="4" t="s">
        <v>18</v>
      </c>
      <c r="H22" s="4" t="s">
        <v>19</v>
      </c>
      <c r="I22" s="4" t="s">
        <v>20</v>
      </c>
      <c r="J22" s="4" t="s">
        <v>21</v>
      </c>
      <c r="K22" s="4" t="s">
        <v>22</v>
      </c>
      <c r="L22" s="4" t="s">
        <v>23</v>
      </c>
      <c r="M22" s="4" t="s">
        <v>24</v>
      </c>
      <c r="N22" s="4" t="s">
        <v>25</v>
      </c>
      <c r="O22" s="4" t="s">
        <v>26</v>
      </c>
      <c r="P22" s="4" t="s">
        <v>27</v>
      </c>
      <c r="Q22" s="4" t="s">
        <v>28</v>
      </c>
      <c r="R22" s="4" t="s">
        <v>30</v>
      </c>
      <c r="S22" s="4" t="s">
        <v>31</v>
      </c>
      <c r="T22" s="4" t="s">
        <v>32</v>
      </c>
      <c r="U22" s="4" t="s">
        <v>33</v>
      </c>
      <c r="V22" s="4" t="s">
        <v>34</v>
      </c>
      <c r="W22" s="4" t="s">
        <v>35</v>
      </c>
    </row>
    <row r="23" spans="1:23" x14ac:dyDescent="0.75">
      <c r="A23" s="3" t="s">
        <v>0</v>
      </c>
      <c r="B23" s="4">
        <v>22.7</v>
      </c>
      <c r="C23" s="4">
        <v>27.2</v>
      </c>
      <c r="D23" s="4">
        <v>7.2</v>
      </c>
      <c r="E23" s="4">
        <v>11.7</v>
      </c>
      <c r="F23" s="4">
        <v>17</v>
      </c>
      <c r="G23" s="4">
        <v>8.8000000000000007</v>
      </c>
      <c r="H23" s="4">
        <v>8.9</v>
      </c>
      <c r="I23" s="4">
        <v>14.5</v>
      </c>
      <c r="J23" s="4">
        <v>15.7</v>
      </c>
      <c r="K23" s="4">
        <v>19.7</v>
      </c>
      <c r="L23" s="4">
        <v>16.7</v>
      </c>
      <c r="M23" s="4">
        <v>9.8000000000000007</v>
      </c>
      <c r="N23" s="4">
        <v>17.399999999999999</v>
      </c>
      <c r="O23" s="4">
        <v>12.4</v>
      </c>
      <c r="P23" s="4">
        <v>21.5</v>
      </c>
      <c r="Q23" s="4">
        <v>7.9</v>
      </c>
      <c r="R23" s="4">
        <v>7.2</v>
      </c>
      <c r="S23" s="4">
        <v>27.2</v>
      </c>
      <c r="T23" s="4">
        <v>14.94375</v>
      </c>
      <c r="U23" s="4">
        <v>5.68660363815696</v>
      </c>
      <c r="V23" s="4">
        <v>239.1</v>
      </c>
      <c r="W23" s="4">
        <v>0.17105451423665763</v>
      </c>
    </row>
    <row r="24" spans="1:23" x14ac:dyDescent="0.75">
      <c r="A24" s="3" t="s">
        <v>55</v>
      </c>
      <c r="B24" s="4">
        <v>16.399999999999999</v>
      </c>
      <c r="C24" s="4">
        <v>17.3</v>
      </c>
      <c r="D24" s="4">
        <v>13.9</v>
      </c>
      <c r="E24" s="4">
        <v>3.4</v>
      </c>
      <c r="F24" s="4">
        <v>31.3</v>
      </c>
      <c r="G24" s="4">
        <v>31.5</v>
      </c>
      <c r="H24" s="4">
        <v>4.9000000000000004</v>
      </c>
      <c r="I24" s="4">
        <v>20.399999999999999</v>
      </c>
      <c r="J24" s="4">
        <v>-1.9</v>
      </c>
      <c r="K24" s="4">
        <v>6.7</v>
      </c>
      <c r="L24" s="4">
        <v>14</v>
      </c>
      <c r="M24" s="4">
        <v>10.3</v>
      </c>
      <c r="N24" s="4">
        <v>12.6</v>
      </c>
      <c r="O24" s="4">
        <v>14.8</v>
      </c>
      <c r="P24" s="4">
        <v>25.9</v>
      </c>
      <c r="Q24" s="4">
        <v>20.3</v>
      </c>
      <c r="R24" s="4">
        <v>-1.9</v>
      </c>
      <c r="S24" s="4">
        <v>31.5</v>
      </c>
      <c r="T24" s="4">
        <v>15.112500000000001</v>
      </c>
      <c r="U24" s="4">
        <v>9.1590716642026546</v>
      </c>
      <c r="V24" s="4">
        <v>241.8</v>
      </c>
      <c r="W24" s="4">
        <v>0.17298612104736019</v>
      </c>
    </row>
    <row r="25" spans="1:23" x14ac:dyDescent="0.75">
      <c r="A25" s="3" t="s">
        <v>56</v>
      </c>
      <c r="B25" s="4">
        <v>3</v>
      </c>
      <c r="C25" s="4">
        <v>9.5</v>
      </c>
      <c r="D25" s="4">
        <v>19.399999999999999</v>
      </c>
      <c r="E25" s="4">
        <v>16.5</v>
      </c>
      <c r="F25" s="4">
        <v>15.8</v>
      </c>
      <c r="G25" s="4">
        <v>5.4</v>
      </c>
      <c r="H25" s="4">
        <v>10.1</v>
      </c>
      <c r="I25" s="4">
        <v>6.3</v>
      </c>
      <c r="J25" s="4">
        <v>15.1</v>
      </c>
      <c r="K25" s="4">
        <v>11.8</v>
      </c>
      <c r="L25" s="4">
        <v>14.6</v>
      </c>
      <c r="M25" s="4">
        <v>8.6999999999999993</v>
      </c>
      <c r="N25" s="4">
        <v>2.2000000000000002</v>
      </c>
      <c r="O25" s="4">
        <v>12.9</v>
      </c>
      <c r="P25" s="4">
        <v>12.8</v>
      </c>
      <c r="Q25" s="4">
        <v>13.6</v>
      </c>
      <c r="R25" s="4">
        <v>2.2000000000000002</v>
      </c>
      <c r="S25" s="4">
        <v>19.399999999999999</v>
      </c>
      <c r="T25" s="4">
        <v>11.106249999999999</v>
      </c>
      <c r="U25" s="4">
        <v>4.8148817158368518</v>
      </c>
      <c r="V25" s="4">
        <v>177.7</v>
      </c>
      <c r="W25" s="4">
        <v>0.12712834454142224</v>
      </c>
    </row>
    <row r="26" spans="1:23" x14ac:dyDescent="0.75">
      <c r="A26" s="3" t="s">
        <v>57</v>
      </c>
      <c r="B26" s="4">
        <v>16.399999999999999</v>
      </c>
      <c r="C26" s="4">
        <v>4.5</v>
      </c>
      <c r="D26" s="4">
        <v>15.3</v>
      </c>
      <c r="E26" s="4">
        <v>4.5999999999999996</v>
      </c>
      <c r="F26" s="4">
        <v>7.3</v>
      </c>
      <c r="G26" s="4">
        <v>19.100000000000001</v>
      </c>
      <c r="H26" s="4">
        <v>2.2000000000000002</v>
      </c>
      <c r="I26" s="4">
        <v>10.1</v>
      </c>
      <c r="J26" s="4">
        <v>14.8</v>
      </c>
      <c r="K26" s="4">
        <v>18.7</v>
      </c>
      <c r="L26" s="4">
        <v>4.7</v>
      </c>
      <c r="M26" s="4">
        <v>4</v>
      </c>
      <c r="N26" s="4">
        <v>10.9</v>
      </c>
      <c r="O26" s="4">
        <v>18.5</v>
      </c>
      <c r="P26" s="4">
        <v>4.8</v>
      </c>
      <c r="Q26" s="4">
        <v>2.9</v>
      </c>
      <c r="R26" s="4">
        <v>2.2000000000000002</v>
      </c>
      <c r="S26" s="4">
        <v>19.100000000000001</v>
      </c>
      <c r="T26" s="4">
        <v>9.9250000000000007</v>
      </c>
      <c r="U26" s="4">
        <v>6.086100968600503</v>
      </c>
      <c r="V26" s="4">
        <v>158.80000000000001</v>
      </c>
      <c r="W26" s="4">
        <v>0.11360709686650454</v>
      </c>
    </row>
    <row r="27" spans="1:23" x14ac:dyDescent="0.75">
      <c r="A27" s="3" t="s">
        <v>58</v>
      </c>
      <c r="B27" s="4">
        <v>6.2</v>
      </c>
      <c r="C27" s="4">
        <v>19.899999999999999</v>
      </c>
      <c r="D27" s="4">
        <v>7.5</v>
      </c>
      <c r="E27" s="4">
        <v>8.3000000000000007</v>
      </c>
      <c r="F27" s="4">
        <v>22.1</v>
      </c>
      <c r="G27" s="4">
        <v>13.9</v>
      </c>
      <c r="H27" s="4">
        <v>0</v>
      </c>
      <c r="I27" s="4">
        <v>7.8</v>
      </c>
      <c r="J27" s="4">
        <v>13.9</v>
      </c>
      <c r="K27" s="4">
        <v>16.5</v>
      </c>
      <c r="L27" s="4">
        <v>10.5</v>
      </c>
      <c r="M27" s="4">
        <v>10.6</v>
      </c>
      <c r="N27" s="4">
        <v>15.4</v>
      </c>
      <c r="O27" s="4">
        <v>4.2</v>
      </c>
      <c r="P27" s="4">
        <v>6.5</v>
      </c>
      <c r="Q27" s="4">
        <v>7.6</v>
      </c>
      <c r="R27" s="4">
        <v>0</v>
      </c>
      <c r="S27" s="4">
        <v>22.1</v>
      </c>
      <c r="T27" s="4">
        <v>10.68125</v>
      </c>
      <c r="U27" s="4">
        <v>5.6981596535635974</v>
      </c>
      <c r="V27" s="4">
        <v>170.89999999999998</v>
      </c>
      <c r="W27" s="4">
        <v>0.12226355701817142</v>
      </c>
    </row>
    <row r="28" spans="1:23" x14ac:dyDescent="0.75">
      <c r="A28" s="3" t="s">
        <v>59</v>
      </c>
      <c r="B28" s="4">
        <v>4.3</v>
      </c>
      <c r="C28" s="4">
        <v>20.6</v>
      </c>
      <c r="D28" s="4">
        <v>18.899999999999999</v>
      </c>
      <c r="E28" s="4">
        <v>10</v>
      </c>
      <c r="F28" s="4">
        <v>0</v>
      </c>
      <c r="G28" s="4">
        <v>23.3</v>
      </c>
      <c r="H28" s="4">
        <v>6.6</v>
      </c>
      <c r="I28" s="4">
        <v>14.2</v>
      </c>
      <c r="J28" s="4">
        <v>0</v>
      </c>
      <c r="K28" s="4">
        <v>9.4</v>
      </c>
      <c r="L28" s="4">
        <v>5.2</v>
      </c>
      <c r="M28" s="4">
        <v>22.7</v>
      </c>
      <c r="N28" s="4">
        <v>19.2</v>
      </c>
      <c r="O28" s="4">
        <v>0.8</v>
      </c>
      <c r="P28" s="4">
        <v>0</v>
      </c>
      <c r="Q28" s="4">
        <v>15.2</v>
      </c>
      <c r="R28" s="4">
        <v>0</v>
      </c>
      <c r="S28" s="4">
        <v>23.3</v>
      </c>
      <c r="T28" s="4">
        <v>10.65</v>
      </c>
      <c r="U28" s="4">
        <v>8.3081285497998874</v>
      </c>
      <c r="V28" s="4">
        <v>170.39999999999998</v>
      </c>
      <c r="W28" s="4">
        <v>0.1219058520532265</v>
      </c>
    </row>
    <row r="29" spans="1:23" x14ac:dyDescent="0.75">
      <c r="A29" s="3" t="s">
        <v>60</v>
      </c>
      <c r="B29" s="4">
        <v>8.3000000000000007</v>
      </c>
      <c r="C29" s="4">
        <v>4</v>
      </c>
      <c r="D29" s="4">
        <v>2</v>
      </c>
      <c r="E29" s="4">
        <v>2.2000000000000002</v>
      </c>
      <c r="F29" s="4">
        <v>0</v>
      </c>
      <c r="G29" s="4">
        <v>1.6</v>
      </c>
      <c r="H29" s="4">
        <v>5.7</v>
      </c>
      <c r="I29" s="4">
        <v>2.9</v>
      </c>
      <c r="J29" s="4">
        <v>13.2</v>
      </c>
      <c r="K29" s="4">
        <v>11.1</v>
      </c>
      <c r="L29" s="4">
        <v>5.0999999999999996</v>
      </c>
      <c r="M29" s="4">
        <v>16.2</v>
      </c>
      <c r="N29" s="4">
        <v>11.3</v>
      </c>
      <c r="O29" s="4">
        <v>9.6</v>
      </c>
      <c r="P29" s="4">
        <v>2.4</v>
      </c>
      <c r="Q29" s="4">
        <v>10.5</v>
      </c>
      <c r="R29" s="4">
        <v>0</v>
      </c>
      <c r="S29" s="4">
        <v>16.2</v>
      </c>
      <c r="T29" s="4">
        <v>6.6312499999999996</v>
      </c>
      <c r="U29" s="4">
        <v>4.7128439861192089</v>
      </c>
      <c r="V29" s="4">
        <v>106.1</v>
      </c>
      <c r="W29" s="4">
        <v>7.5904993561310641E-2</v>
      </c>
    </row>
    <row r="30" spans="1:23" x14ac:dyDescent="0.75">
      <c r="A30" s="3" t="s">
        <v>61</v>
      </c>
      <c r="B30" s="4">
        <v>6</v>
      </c>
      <c r="C30" s="4">
        <v>9</v>
      </c>
      <c r="D30" s="4">
        <v>-4</v>
      </c>
      <c r="E30" s="4">
        <v>22</v>
      </c>
      <c r="F30" s="4">
        <v>12</v>
      </c>
      <c r="G30" s="4">
        <v>9</v>
      </c>
      <c r="H30" s="4">
        <v>9</v>
      </c>
      <c r="I30" s="4">
        <v>8</v>
      </c>
      <c r="J30" s="4">
        <v>13</v>
      </c>
      <c r="K30" s="4">
        <v>11</v>
      </c>
      <c r="L30" s="4">
        <v>4</v>
      </c>
      <c r="M30" s="4">
        <v>10</v>
      </c>
      <c r="N30" s="4">
        <v>5</v>
      </c>
      <c r="O30" s="4">
        <v>-2</v>
      </c>
      <c r="P30" s="4">
        <v>0</v>
      </c>
      <c r="Q30" s="4">
        <v>21</v>
      </c>
      <c r="R30" s="4">
        <v>-4</v>
      </c>
      <c r="S30" s="4">
        <v>22</v>
      </c>
      <c r="T30" s="4">
        <v>8.3125</v>
      </c>
      <c r="U30" s="4">
        <v>6.8803956099922043</v>
      </c>
      <c r="V30" s="4">
        <v>133</v>
      </c>
      <c r="W30" s="4">
        <v>9.5149520675346988E-2</v>
      </c>
    </row>
    <row r="31" spans="1:23" x14ac:dyDescent="0.7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D35E1-613A-4AF4-916A-CD8BAA52D7AE}">
  <sheetPr codeName="Sheet9"/>
  <dimension ref="A1:W30"/>
  <sheetViews>
    <sheetView workbookViewId="0">
      <selection activeCell="A2" sqref="A2:W31"/>
    </sheetView>
  </sheetViews>
  <sheetFormatPr defaultRowHeight="14.75" x14ac:dyDescent="0.75"/>
  <cols>
    <col min="1" max="1" width="27.90625" bestFit="1" customWidth="1"/>
    <col min="2" max="22" width="11.6796875" bestFit="1" customWidth="1"/>
    <col min="23" max="23" width="12.26953125" bestFit="1" customWidth="1"/>
  </cols>
  <sheetData>
    <row r="1" spans="1:23" x14ac:dyDescent="0.75">
      <c r="A1" s="2" t="s">
        <v>29</v>
      </c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26</v>
      </c>
      <c r="P1" s="2" t="s">
        <v>27</v>
      </c>
      <c r="Q1" s="2" t="s">
        <v>28</v>
      </c>
      <c r="R1" s="2" t="s">
        <v>30</v>
      </c>
      <c r="S1" s="2" t="s">
        <v>31</v>
      </c>
      <c r="T1" s="2" t="s">
        <v>32</v>
      </c>
      <c r="U1" s="2" t="s">
        <v>33</v>
      </c>
      <c r="V1" s="2" t="s">
        <v>34</v>
      </c>
      <c r="W1" s="2" t="s">
        <v>35</v>
      </c>
    </row>
    <row r="2" spans="1:23" x14ac:dyDescent="0.75">
      <c r="A2" s="2" t="s">
        <v>36</v>
      </c>
      <c r="B2" s="2">
        <v>90.799999999999983</v>
      </c>
      <c r="C2" s="2">
        <v>82.9</v>
      </c>
      <c r="D2" s="2">
        <v>80.699999999999989</v>
      </c>
      <c r="E2" s="2">
        <v>146.5</v>
      </c>
      <c r="F2" s="2">
        <v>112.9</v>
      </c>
      <c r="G2" s="2">
        <v>79.100000000000023</v>
      </c>
      <c r="H2" s="2">
        <v>57.2</v>
      </c>
      <c r="I2" s="2">
        <v>71.400000000000006</v>
      </c>
      <c r="J2" s="2">
        <v>69.800000000000011</v>
      </c>
      <c r="K2" s="2">
        <v>74.900000000000006</v>
      </c>
      <c r="L2" s="2">
        <v>103.3</v>
      </c>
      <c r="M2" s="2">
        <v>75.8</v>
      </c>
      <c r="N2" s="2">
        <v>110.8</v>
      </c>
      <c r="O2" s="2">
        <v>80.8</v>
      </c>
      <c r="P2" s="2">
        <v>69.499999999999986</v>
      </c>
      <c r="Q2" s="2">
        <v>82.1</v>
      </c>
      <c r="R2" s="2">
        <v>57.2</v>
      </c>
      <c r="S2" s="2">
        <v>146.5</v>
      </c>
      <c r="T2" s="2">
        <v>86.781249999999986</v>
      </c>
      <c r="U2" s="2">
        <v>21.277283037021029</v>
      </c>
      <c r="V2" s="2">
        <v>1388.4999999999998</v>
      </c>
      <c r="W2" s="2">
        <v>0.7058973055414336</v>
      </c>
    </row>
    <row r="3" spans="1:23" x14ac:dyDescent="0.75">
      <c r="A3" s="2" t="s">
        <v>37</v>
      </c>
      <c r="B3" s="2">
        <v>32.999999999999993</v>
      </c>
      <c r="C3" s="2">
        <v>33.200000000000003</v>
      </c>
      <c r="D3" s="2">
        <v>13.2</v>
      </c>
      <c r="E3" s="2">
        <v>52.2</v>
      </c>
      <c r="F3" s="2">
        <v>26.700000000000003</v>
      </c>
      <c r="G3" s="2">
        <v>34.200000000000003</v>
      </c>
      <c r="H3" s="2">
        <v>35.900000000000006</v>
      </c>
      <c r="I3" s="2">
        <v>15.1</v>
      </c>
      <c r="J3" s="2">
        <v>21.6</v>
      </c>
      <c r="K3" s="2">
        <v>34.799999999999997</v>
      </c>
      <c r="L3" s="2">
        <v>56.7</v>
      </c>
      <c r="M3" s="2">
        <v>59.3</v>
      </c>
      <c r="N3" s="2">
        <v>32.4</v>
      </c>
      <c r="O3" s="2">
        <v>66.3</v>
      </c>
      <c r="P3" s="2">
        <v>31.2</v>
      </c>
      <c r="Q3" s="2">
        <v>32.700000000000003</v>
      </c>
      <c r="R3" s="2">
        <v>13.2</v>
      </c>
      <c r="S3" s="2">
        <v>66.3</v>
      </c>
      <c r="T3" s="2">
        <v>36.156250000000007</v>
      </c>
      <c r="U3" s="2">
        <v>14.727608799037927</v>
      </c>
      <c r="V3" s="2">
        <v>578.50000000000011</v>
      </c>
      <c r="W3" s="2">
        <v>0.2941026944585664</v>
      </c>
    </row>
    <row r="4" spans="1:23" x14ac:dyDescent="0.75">
      <c r="A4" s="2" t="s">
        <v>38</v>
      </c>
      <c r="B4" s="2">
        <v>123.79999999999998</v>
      </c>
      <c r="C4" s="2">
        <v>116.1</v>
      </c>
      <c r="D4" s="2">
        <v>93.899999999999977</v>
      </c>
      <c r="E4" s="2">
        <v>198.7</v>
      </c>
      <c r="F4" s="2">
        <v>139.60000000000002</v>
      </c>
      <c r="G4" s="2">
        <v>113.3</v>
      </c>
      <c r="H4" s="2">
        <v>93.100000000000023</v>
      </c>
      <c r="I4" s="2">
        <v>86.5</v>
      </c>
      <c r="J4" s="2">
        <v>91.4</v>
      </c>
      <c r="K4" s="2">
        <v>109.7</v>
      </c>
      <c r="L4" s="2">
        <v>160</v>
      </c>
      <c r="M4" s="2">
        <v>135.1</v>
      </c>
      <c r="N4" s="2">
        <v>143.19999999999999</v>
      </c>
      <c r="O4" s="2">
        <v>147.1</v>
      </c>
      <c r="P4" s="2">
        <v>100.7</v>
      </c>
      <c r="Q4" s="2">
        <v>114.8</v>
      </c>
      <c r="R4" s="2">
        <v>86.5</v>
      </c>
      <c r="S4" s="2">
        <v>198.7</v>
      </c>
      <c r="T4" s="2">
        <v>122.9375</v>
      </c>
      <c r="U4" s="2">
        <v>29.01038337819752</v>
      </c>
      <c r="V4" s="2">
        <v>1967</v>
      </c>
      <c r="W4" s="2" t="s">
        <v>39</v>
      </c>
    </row>
    <row r="5" spans="1:23" x14ac:dyDescent="0.75">
      <c r="A5" s="2" t="s">
        <v>40</v>
      </c>
      <c r="B5" s="2" t="s">
        <v>39</v>
      </c>
      <c r="C5" s="2">
        <v>1</v>
      </c>
      <c r="D5" s="2">
        <v>2</v>
      </c>
      <c r="E5" s="2">
        <v>4</v>
      </c>
      <c r="F5" s="2">
        <v>4</v>
      </c>
      <c r="G5" s="2">
        <v>3</v>
      </c>
      <c r="H5" s="2">
        <v>3</v>
      </c>
      <c r="I5" s="2">
        <v>3</v>
      </c>
      <c r="J5" s="2">
        <v>3</v>
      </c>
      <c r="K5" s="2">
        <v>4</v>
      </c>
      <c r="L5" s="2">
        <v>3</v>
      </c>
      <c r="M5" s="2">
        <v>2</v>
      </c>
      <c r="N5" s="2">
        <v>3</v>
      </c>
      <c r="O5" s="2">
        <v>4</v>
      </c>
      <c r="P5" s="2">
        <v>5</v>
      </c>
      <c r="Q5" s="2">
        <v>3</v>
      </c>
      <c r="R5" s="2">
        <v>1</v>
      </c>
      <c r="S5" s="2">
        <v>5</v>
      </c>
      <c r="T5" s="2">
        <v>3.1333333333333333</v>
      </c>
      <c r="U5" s="2">
        <v>0.95684667296048831</v>
      </c>
      <c r="V5" s="2">
        <v>47</v>
      </c>
      <c r="W5" s="2" t="s">
        <v>39</v>
      </c>
    </row>
    <row r="6" spans="1:23" x14ac:dyDescent="0.75">
      <c r="A6" s="2" t="s">
        <v>41</v>
      </c>
      <c r="B6" s="2" t="s">
        <v>39</v>
      </c>
      <c r="C6" s="2">
        <v>2</v>
      </c>
      <c r="D6" s="2">
        <v>2</v>
      </c>
      <c r="E6" s="2">
        <v>4</v>
      </c>
      <c r="F6" s="2">
        <v>2</v>
      </c>
      <c r="G6" s="2">
        <v>1</v>
      </c>
      <c r="H6" s="2">
        <v>1</v>
      </c>
      <c r="I6" s="2">
        <v>0</v>
      </c>
      <c r="J6" s="2">
        <v>2</v>
      </c>
      <c r="K6" s="2">
        <v>1</v>
      </c>
      <c r="L6" s="2">
        <v>2</v>
      </c>
      <c r="M6" s="2">
        <v>0</v>
      </c>
      <c r="N6" s="2">
        <v>1</v>
      </c>
      <c r="O6" s="2">
        <v>1</v>
      </c>
      <c r="P6" s="2">
        <v>2</v>
      </c>
      <c r="Q6" s="2">
        <v>0</v>
      </c>
      <c r="R6" s="2">
        <v>0</v>
      </c>
      <c r="S6" s="2">
        <v>4</v>
      </c>
      <c r="T6" s="2">
        <v>1.4</v>
      </c>
      <c r="U6" s="2">
        <v>1.019803902718557</v>
      </c>
      <c r="V6" s="2">
        <v>21</v>
      </c>
      <c r="W6" s="2" t="s">
        <v>39</v>
      </c>
    </row>
    <row r="7" spans="1:23" x14ac:dyDescent="0.75">
      <c r="A7" s="2" t="s">
        <v>42</v>
      </c>
      <c r="B7" s="2">
        <v>3</v>
      </c>
      <c r="C7" s="2">
        <v>3</v>
      </c>
      <c r="D7" s="2">
        <v>2</v>
      </c>
      <c r="E7" s="2">
        <v>1</v>
      </c>
      <c r="F7" s="2">
        <v>1</v>
      </c>
      <c r="G7" s="2">
        <v>2</v>
      </c>
      <c r="H7" s="2">
        <v>4</v>
      </c>
      <c r="I7" s="2">
        <v>2</v>
      </c>
      <c r="J7" s="2">
        <v>4</v>
      </c>
      <c r="K7" s="2">
        <v>3</v>
      </c>
      <c r="L7" s="2">
        <v>2</v>
      </c>
      <c r="M7" s="2">
        <v>3</v>
      </c>
      <c r="N7" s="2">
        <v>1</v>
      </c>
      <c r="O7" s="2">
        <v>5</v>
      </c>
      <c r="P7" s="2">
        <v>3</v>
      </c>
      <c r="Q7" s="2">
        <v>3</v>
      </c>
      <c r="R7" s="2">
        <v>1</v>
      </c>
      <c r="S7" s="2">
        <v>5</v>
      </c>
      <c r="T7" s="2">
        <v>2.625</v>
      </c>
      <c r="U7" s="2">
        <v>1.1110243021644486</v>
      </c>
      <c r="V7" s="2">
        <v>42</v>
      </c>
      <c r="W7" s="2" t="s">
        <v>39</v>
      </c>
    </row>
    <row r="8" spans="1:23" x14ac:dyDescent="0.75">
      <c r="A8" s="2" t="s">
        <v>43</v>
      </c>
      <c r="B8" s="2">
        <v>108</v>
      </c>
      <c r="C8" s="2">
        <v>103.7</v>
      </c>
      <c r="D8" s="2">
        <v>88.5</v>
      </c>
      <c r="E8" s="2">
        <v>151.5</v>
      </c>
      <c r="F8" s="2">
        <v>121.6</v>
      </c>
      <c r="G8" s="2">
        <v>86</v>
      </c>
      <c r="H8" s="2">
        <v>69.600000000000009</v>
      </c>
      <c r="I8" s="2">
        <v>72.599999999999994</v>
      </c>
      <c r="J8" s="2">
        <v>84.1</v>
      </c>
      <c r="K8" s="2">
        <v>91.5</v>
      </c>
      <c r="L8" s="2">
        <v>125.4</v>
      </c>
      <c r="M8" s="2">
        <v>103.2</v>
      </c>
      <c r="N8" s="2">
        <v>112</v>
      </c>
      <c r="O8" s="2">
        <v>114.5</v>
      </c>
      <c r="P8" s="2">
        <v>82.5</v>
      </c>
      <c r="Q8" s="2">
        <v>87.100000000000023</v>
      </c>
      <c r="R8" s="2">
        <v>69.600000000000009</v>
      </c>
      <c r="S8" s="2">
        <v>151.5</v>
      </c>
      <c r="T8" s="2">
        <v>100.1125</v>
      </c>
      <c r="U8" s="2">
        <v>20.926713639508748</v>
      </c>
      <c r="V8" s="2">
        <v>1601.8</v>
      </c>
      <c r="W8" s="2" t="s">
        <v>39</v>
      </c>
    </row>
    <row r="9" spans="1:23" x14ac:dyDescent="0.75">
      <c r="A9" t="s">
        <v>44</v>
      </c>
      <c r="B9">
        <v>0.84074074074074068</v>
      </c>
      <c r="C9">
        <v>0.79942140790742533</v>
      </c>
      <c r="D9">
        <v>0.91186440677966085</v>
      </c>
      <c r="E9">
        <v>0.96699669966996704</v>
      </c>
      <c r="F9">
        <v>0.92845394736842113</v>
      </c>
      <c r="G9">
        <v>0.91976744186046533</v>
      </c>
      <c r="H9">
        <v>0.82183908045977005</v>
      </c>
      <c r="I9">
        <v>0.98347107438016546</v>
      </c>
      <c r="J9">
        <v>0.8299643281807374</v>
      </c>
      <c r="K9">
        <v>0.81857923497267771</v>
      </c>
      <c r="L9">
        <v>0.8237639553429027</v>
      </c>
      <c r="M9">
        <v>0.73449612403100772</v>
      </c>
      <c r="N9">
        <v>0.98928571428571421</v>
      </c>
      <c r="O9">
        <v>0.70567685589519646</v>
      </c>
      <c r="P9">
        <v>0.8424242424242423</v>
      </c>
      <c r="Q9">
        <v>0.94259471871412159</v>
      </c>
      <c r="R9">
        <v>0.70567685589519646</v>
      </c>
      <c r="S9">
        <v>0.98928571428571421</v>
      </c>
      <c r="T9">
        <v>0.86620874831332595</v>
      </c>
      <c r="U9" t="s">
        <v>39</v>
      </c>
      <c r="V9">
        <v>0.86683730802846781</v>
      </c>
      <c r="W9">
        <v>0</v>
      </c>
    </row>
    <row r="11" spans="1:23" x14ac:dyDescent="0.75">
      <c r="A11" t="s">
        <v>45</v>
      </c>
      <c r="B11" t="s">
        <v>13</v>
      </c>
      <c r="C11" t="s">
        <v>14</v>
      </c>
      <c r="D11" t="s">
        <v>15</v>
      </c>
      <c r="E11" t="s">
        <v>16</v>
      </c>
      <c r="F11" t="s">
        <v>17</v>
      </c>
      <c r="G11" t="s">
        <v>18</v>
      </c>
      <c r="H11" t="s">
        <v>19</v>
      </c>
      <c r="I11" t="s">
        <v>20</v>
      </c>
      <c r="J11" t="s">
        <v>21</v>
      </c>
      <c r="K11" t="s">
        <v>22</v>
      </c>
      <c r="L11" t="s">
        <v>23</v>
      </c>
      <c r="M11" t="s">
        <v>24</v>
      </c>
      <c r="N11" t="s">
        <v>25</v>
      </c>
      <c r="O11" t="s">
        <v>26</v>
      </c>
      <c r="P11" t="s">
        <v>27</v>
      </c>
      <c r="Q11" t="s">
        <v>28</v>
      </c>
      <c r="R11" t="s">
        <v>30</v>
      </c>
      <c r="S11" t="s">
        <v>31</v>
      </c>
      <c r="T11" t="s">
        <v>32</v>
      </c>
      <c r="U11" t="s">
        <v>33</v>
      </c>
      <c r="V11" t="s">
        <v>34</v>
      </c>
      <c r="W11" t="s">
        <v>35</v>
      </c>
    </row>
    <row r="12" spans="1:23" x14ac:dyDescent="0.75">
      <c r="A12" t="s">
        <v>46</v>
      </c>
      <c r="B12">
        <v>3</v>
      </c>
      <c r="C12">
        <v>5</v>
      </c>
      <c r="D12">
        <v>6</v>
      </c>
      <c r="E12">
        <v>9</v>
      </c>
      <c r="F12">
        <v>8</v>
      </c>
      <c r="G12">
        <v>4</v>
      </c>
      <c r="H12">
        <v>2</v>
      </c>
      <c r="I12">
        <v>2</v>
      </c>
      <c r="J12">
        <v>3</v>
      </c>
      <c r="K12">
        <v>4</v>
      </c>
      <c r="L12">
        <v>4</v>
      </c>
      <c r="M12">
        <v>2</v>
      </c>
      <c r="N12">
        <v>7</v>
      </c>
      <c r="O12">
        <v>5</v>
      </c>
      <c r="P12">
        <v>4</v>
      </c>
      <c r="Q12">
        <v>3</v>
      </c>
      <c r="R12">
        <v>2</v>
      </c>
      <c r="S12">
        <v>9</v>
      </c>
      <c r="T12">
        <v>4.4375</v>
      </c>
      <c r="U12">
        <v>2.060605190229317</v>
      </c>
      <c r="V12">
        <v>71</v>
      </c>
      <c r="W12">
        <v>0.73195876288659789</v>
      </c>
    </row>
    <row r="13" spans="1:23" x14ac:dyDescent="0.75">
      <c r="A13" t="s">
        <v>47</v>
      </c>
      <c r="B13">
        <v>1</v>
      </c>
      <c r="C13">
        <v>0</v>
      </c>
      <c r="D13">
        <v>0</v>
      </c>
      <c r="E13">
        <v>2</v>
      </c>
      <c r="F13">
        <v>1</v>
      </c>
      <c r="G13">
        <v>2</v>
      </c>
      <c r="H13">
        <v>2</v>
      </c>
      <c r="I13">
        <v>0</v>
      </c>
      <c r="J13">
        <v>0</v>
      </c>
      <c r="K13">
        <v>3</v>
      </c>
      <c r="L13">
        <v>3</v>
      </c>
      <c r="M13">
        <v>3</v>
      </c>
      <c r="N13">
        <v>2</v>
      </c>
      <c r="O13">
        <v>4</v>
      </c>
      <c r="P13">
        <v>2</v>
      </c>
      <c r="Q13">
        <v>1</v>
      </c>
      <c r="R13">
        <v>0</v>
      </c>
      <c r="S13">
        <v>4</v>
      </c>
      <c r="T13">
        <v>1.625</v>
      </c>
      <c r="U13">
        <v>1.2183492931011204</v>
      </c>
      <c r="V13">
        <v>26</v>
      </c>
      <c r="W13">
        <v>0.26804123711340205</v>
      </c>
    </row>
    <row r="14" spans="1:23" x14ac:dyDescent="0.75">
      <c r="A14" t="s">
        <v>48</v>
      </c>
      <c r="B14">
        <v>4</v>
      </c>
      <c r="C14">
        <v>5</v>
      </c>
      <c r="D14">
        <v>6</v>
      </c>
      <c r="E14">
        <v>11</v>
      </c>
      <c r="F14">
        <v>9</v>
      </c>
      <c r="G14">
        <v>6</v>
      </c>
      <c r="H14">
        <v>4</v>
      </c>
      <c r="I14">
        <v>2</v>
      </c>
      <c r="J14">
        <v>3</v>
      </c>
      <c r="K14">
        <v>7</v>
      </c>
      <c r="L14">
        <v>7</v>
      </c>
      <c r="M14">
        <v>5</v>
      </c>
      <c r="N14">
        <v>9</v>
      </c>
      <c r="O14">
        <v>9</v>
      </c>
      <c r="P14">
        <v>6</v>
      </c>
      <c r="Q14">
        <v>4</v>
      </c>
      <c r="R14">
        <v>2</v>
      </c>
      <c r="S14">
        <v>11</v>
      </c>
      <c r="T14">
        <v>6.0625</v>
      </c>
      <c r="U14">
        <v>2.4101024355823553</v>
      </c>
      <c r="V14">
        <v>97</v>
      </c>
    </row>
    <row r="15" spans="1:23" x14ac:dyDescent="0.75">
      <c r="A15" t="s">
        <v>49</v>
      </c>
      <c r="B15">
        <v>0.19823788546255511</v>
      </c>
      <c r="C15">
        <v>0.36188178528347398</v>
      </c>
      <c r="D15">
        <v>0.44609665427509299</v>
      </c>
      <c r="E15">
        <v>0.36860068259385664</v>
      </c>
      <c r="F15">
        <v>0.42515500442869802</v>
      </c>
      <c r="G15">
        <v>0.30341340075853346</v>
      </c>
      <c r="H15">
        <v>0.20979020979020979</v>
      </c>
      <c r="I15">
        <v>0.16806722689075629</v>
      </c>
      <c r="J15">
        <v>0.25787965616045844</v>
      </c>
      <c r="K15">
        <v>0.32042723631508674</v>
      </c>
      <c r="L15">
        <v>0.23233301064859632</v>
      </c>
      <c r="M15">
        <v>0.15831134564643801</v>
      </c>
      <c r="N15">
        <v>0.37906137184115518</v>
      </c>
      <c r="O15">
        <v>0.37128712871287128</v>
      </c>
      <c r="P15">
        <v>0.34532374100719432</v>
      </c>
      <c r="Q15">
        <v>0.21924482338611451</v>
      </c>
      <c r="R15">
        <v>0.15831134564643801</v>
      </c>
      <c r="S15">
        <v>0.44609665427509299</v>
      </c>
      <c r="T15">
        <v>0.30680590565358307</v>
      </c>
    </row>
    <row r="16" spans="1:23" x14ac:dyDescent="0.75">
      <c r="A16" t="s">
        <v>50</v>
      </c>
      <c r="B16">
        <v>0.80176211453744495</v>
      </c>
      <c r="C16">
        <v>0.63811821471652597</v>
      </c>
      <c r="D16">
        <v>0.55390334572490696</v>
      </c>
      <c r="E16">
        <v>0.63139931740614341</v>
      </c>
      <c r="F16">
        <v>0.57484499557130198</v>
      </c>
      <c r="G16">
        <v>0.6965865992414666</v>
      </c>
      <c r="H16">
        <v>0.79020979020979021</v>
      </c>
      <c r="I16">
        <v>0.83193277310924363</v>
      </c>
      <c r="J16">
        <v>0.74212034383954162</v>
      </c>
      <c r="K16">
        <v>0.67957276368491326</v>
      </c>
      <c r="L16">
        <v>0.76766698935140365</v>
      </c>
      <c r="M16">
        <v>0.84168865435356188</v>
      </c>
      <c r="N16">
        <v>0.62093862815884471</v>
      </c>
      <c r="O16">
        <v>0.62871287128712872</v>
      </c>
      <c r="P16">
        <v>0.65467625899280568</v>
      </c>
      <c r="Q16">
        <v>0.78075517661388549</v>
      </c>
      <c r="R16">
        <v>0.55390334572490696</v>
      </c>
      <c r="S16">
        <v>0.84168865435356188</v>
      </c>
      <c r="T16">
        <v>0.69319409434641699</v>
      </c>
    </row>
    <row r="17" spans="1:23" x14ac:dyDescent="0.75">
      <c r="A17" t="s">
        <v>51</v>
      </c>
      <c r="B17">
        <v>0.18181818181818185</v>
      </c>
      <c r="C17">
        <v>0</v>
      </c>
      <c r="D17">
        <v>0</v>
      </c>
      <c r="E17">
        <v>0.22988505747126436</v>
      </c>
      <c r="F17">
        <v>0.22471910112359547</v>
      </c>
      <c r="G17">
        <v>0.35087719298245612</v>
      </c>
      <c r="H17">
        <v>0.33426183844011137</v>
      </c>
      <c r="I17">
        <v>0</v>
      </c>
      <c r="J17">
        <v>0</v>
      </c>
      <c r="K17">
        <v>0.51724137931034486</v>
      </c>
      <c r="L17">
        <v>0.31746031746031744</v>
      </c>
      <c r="M17">
        <v>0.30354131534569984</v>
      </c>
      <c r="N17">
        <v>0.37037037037037041</v>
      </c>
      <c r="O17">
        <v>0.36199095022624433</v>
      </c>
      <c r="P17">
        <v>0.38461538461538464</v>
      </c>
      <c r="Q17">
        <v>0.18348623853211007</v>
      </c>
      <c r="R17">
        <v>0</v>
      </c>
      <c r="S17">
        <v>0.51724137931034486</v>
      </c>
      <c r="T17">
        <v>0.26966292134831454</v>
      </c>
    </row>
    <row r="18" spans="1:23" x14ac:dyDescent="0.75">
      <c r="A18" t="s">
        <v>52</v>
      </c>
      <c r="B18">
        <v>0.81818181818181812</v>
      </c>
      <c r="C18">
        <v>1</v>
      </c>
      <c r="D18">
        <v>1</v>
      </c>
      <c r="E18">
        <v>0.77011494252873569</v>
      </c>
      <c r="F18">
        <v>0.7752808988764045</v>
      </c>
      <c r="G18">
        <v>0.64912280701754388</v>
      </c>
      <c r="H18">
        <v>0.66573816155988863</v>
      </c>
      <c r="I18">
        <v>1</v>
      </c>
      <c r="J18">
        <v>1</v>
      </c>
      <c r="K18">
        <v>0.48275862068965514</v>
      </c>
      <c r="L18">
        <v>0.68253968253968256</v>
      </c>
      <c r="M18">
        <v>0.69645868465430016</v>
      </c>
      <c r="N18">
        <v>0.62962962962962954</v>
      </c>
      <c r="O18">
        <v>0.63800904977375561</v>
      </c>
      <c r="P18">
        <v>0.61538461538461542</v>
      </c>
      <c r="Q18">
        <v>0.8165137614678899</v>
      </c>
      <c r="R18">
        <v>0.48275862068965514</v>
      </c>
      <c r="S18">
        <v>1</v>
      </c>
      <c r="T18">
        <v>0.7303370786516854</v>
      </c>
    </row>
    <row r="19" spans="1:23" x14ac:dyDescent="0.75">
      <c r="A19" t="s">
        <v>53</v>
      </c>
      <c r="B19">
        <v>0.19386106623586433</v>
      </c>
      <c r="C19">
        <v>0.25839793281653745</v>
      </c>
      <c r="D19">
        <v>0.3833865814696486</v>
      </c>
      <c r="E19">
        <v>0.33215903371917466</v>
      </c>
      <c r="F19">
        <v>0.38681948424068763</v>
      </c>
      <c r="G19">
        <v>0.31774051191526914</v>
      </c>
      <c r="H19">
        <v>0.25778732545649835</v>
      </c>
      <c r="I19">
        <v>0.13872832369942195</v>
      </c>
      <c r="J19">
        <v>0.19693654266958424</v>
      </c>
      <c r="K19">
        <v>0.38286235186873285</v>
      </c>
      <c r="L19">
        <v>0.26250000000000001</v>
      </c>
      <c r="M19">
        <v>0.2220577350111029</v>
      </c>
      <c r="N19">
        <v>0.37709497206703912</v>
      </c>
      <c r="O19">
        <v>0.36709721278042151</v>
      </c>
      <c r="P19">
        <v>0.35749751737835156</v>
      </c>
      <c r="Q19">
        <v>0.20905923344947736</v>
      </c>
      <c r="R19">
        <v>0.13872832369942195</v>
      </c>
      <c r="S19">
        <v>0.38681948424068763</v>
      </c>
      <c r="T19">
        <v>0.29588205388917133</v>
      </c>
    </row>
    <row r="20" spans="1:23" x14ac:dyDescent="0.75">
      <c r="A20" t="s">
        <v>54</v>
      </c>
      <c r="B20">
        <v>0.8061389337641357</v>
      </c>
      <c r="C20">
        <v>0.74160206718346255</v>
      </c>
      <c r="D20">
        <v>0.61661341853035134</v>
      </c>
      <c r="E20">
        <v>0.66784096628082534</v>
      </c>
      <c r="F20">
        <v>0.61318051575931243</v>
      </c>
      <c r="G20">
        <v>0.6822594880847308</v>
      </c>
      <c r="H20">
        <v>0.74221267454350159</v>
      </c>
      <c r="I20">
        <v>0.8612716763005781</v>
      </c>
      <c r="J20">
        <v>0.80306345733041573</v>
      </c>
      <c r="K20">
        <v>0.61713764813126715</v>
      </c>
      <c r="L20">
        <v>0.73750000000000004</v>
      </c>
      <c r="M20">
        <v>0.77794226498889707</v>
      </c>
      <c r="N20">
        <v>0.62290502793296088</v>
      </c>
      <c r="O20">
        <v>0.63290278721957849</v>
      </c>
      <c r="P20">
        <v>0.64250248262164844</v>
      </c>
      <c r="Q20">
        <v>0.79094076655052259</v>
      </c>
      <c r="R20">
        <v>0.61318051575931243</v>
      </c>
      <c r="S20">
        <v>0.8612716763005781</v>
      </c>
      <c r="T20">
        <v>0.70411794611082867</v>
      </c>
    </row>
    <row r="22" spans="1:23" x14ac:dyDescent="0.75">
      <c r="A22" t="s">
        <v>29</v>
      </c>
      <c r="B22" t="s">
        <v>13</v>
      </c>
      <c r="C22" t="s">
        <v>14</v>
      </c>
      <c r="D22" t="s">
        <v>15</v>
      </c>
      <c r="E22" t="s">
        <v>16</v>
      </c>
      <c r="F22" t="s">
        <v>17</v>
      </c>
      <c r="G22" t="s">
        <v>18</v>
      </c>
      <c r="H22" t="s">
        <v>19</v>
      </c>
      <c r="I22" t="s">
        <v>20</v>
      </c>
      <c r="J22" t="s">
        <v>21</v>
      </c>
      <c r="K22" t="s">
        <v>22</v>
      </c>
      <c r="L22" t="s">
        <v>23</v>
      </c>
      <c r="M22" t="s">
        <v>24</v>
      </c>
      <c r="N22" t="s">
        <v>25</v>
      </c>
      <c r="O22" t="s">
        <v>26</v>
      </c>
      <c r="P22" t="s">
        <v>27</v>
      </c>
      <c r="Q22" t="s">
        <v>28</v>
      </c>
      <c r="R22" t="s">
        <v>30</v>
      </c>
      <c r="S22" t="s">
        <v>31</v>
      </c>
      <c r="T22" t="s">
        <v>32</v>
      </c>
      <c r="U22" t="s">
        <v>33</v>
      </c>
      <c r="V22" t="s">
        <v>34</v>
      </c>
      <c r="W22" t="s">
        <v>35</v>
      </c>
    </row>
    <row r="23" spans="1:23" x14ac:dyDescent="0.75">
      <c r="A23" t="s">
        <v>0</v>
      </c>
      <c r="B23">
        <v>17.600000000000001</v>
      </c>
      <c r="C23">
        <v>26.2</v>
      </c>
      <c r="D23">
        <v>26.8</v>
      </c>
      <c r="E23">
        <v>23</v>
      </c>
      <c r="F23">
        <v>26.8</v>
      </c>
      <c r="G23">
        <v>15.5</v>
      </c>
      <c r="H23">
        <v>21.1</v>
      </c>
      <c r="I23">
        <v>12.5</v>
      </c>
      <c r="J23">
        <v>22.7</v>
      </c>
      <c r="K23">
        <v>14</v>
      </c>
      <c r="L23">
        <v>25.6</v>
      </c>
      <c r="M23">
        <v>16.3</v>
      </c>
      <c r="N23">
        <v>19.600000000000001</v>
      </c>
      <c r="O23">
        <v>21</v>
      </c>
      <c r="P23">
        <v>21.1</v>
      </c>
      <c r="Q23">
        <v>17.600000000000001</v>
      </c>
      <c r="R23">
        <v>12.5</v>
      </c>
      <c r="S23">
        <v>26.8</v>
      </c>
      <c r="T23">
        <v>20.462499999999999</v>
      </c>
      <c r="U23">
        <v>4.4471725568050475</v>
      </c>
      <c r="V23">
        <v>327.40000000000003</v>
      </c>
      <c r="W23">
        <v>0.23579402232625135</v>
      </c>
    </row>
    <row r="24" spans="1:23" x14ac:dyDescent="0.75">
      <c r="A24" t="s">
        <v>55</v>
      </c>
      <c r="B24">
        <v>19.899999999999999</v>
      </c>
      <c r="C24">
        <v>13.1</v>
      </c>
      <c r="D24">
        <v>15.5</v>
      </c>
      <c r="E24">
        <v>22.5</v>
      </c>
      <c r="F24">
        <v>30.9</v>
      </c>
      <c r="G24">
        <v>20.8</v>
      </c>
      <c r="H24">
        <v>0</v>
      </c>
      <c r="I24">
        <v>5.3</v>
      </c>
      <c r="J24">
        <v>10.199999999999999</v>
      </c>
      <c r="K24">
        <v>5.6</v>
      </c>
      <c r="L24">
        <v>10.5</v>
      </c>
      <c r="M24">
        <v>5.7</v>
      </c>
      <c r="N24">
        <v>15.4</v>
      </c>
      <c r="O24">
        <v>19.899999999999999</v>
      </c>
      <c r="P24">
        <v>10.4</v>
      </c>
      <c r="Q24">
        <v>14.5</v>
      </c>
      <c r="R24">
        <v>0</v>
      </c>
      <c r="S24">
        <v>30.9</v>
      </c>
      <c r="T24">
        <v>13.762499999999999</v>
      </c>
      <c r="U24">
        <v>7.6193729236729171</v>
      </c>
      <c r="V24">
        <v>220.2</v>
      </c>
      <c r="W24">
        <v>0.15858840475333091</v>
      </c>
    </row>
    <row r="25" spans="1:23" x14ac:dyDescent="0.75">
      <c r="A25" t="s">
        <v>56</v>
      </c>
      <c r="B25">
        <v>5.6</v>
      </c>
      <c r="C25">
        <v>8.6</v>
      </c>
      <c r="D25">
        <v>1.1000000000000001</v>
      </c>
      <c r="E25">
        <v>27</v>
      </c>
      <c r="F25">
        <v>5.3</v>
      </c>
      <c r="G25">
        <v>14.9</v>
      </c>
      <c r="H25">
        <v>9</v>
      </c>
      <c r="I25">
        <v>8</v>
      </c>
      <c r="J25">
        <v>0.7</v>
      </c>
      <c r="K25">
        <v>2.1</v>
      </c>
      <c r="L25">
        <v>5.4</v>
      </c>
      <c r="M25">
        <v>5.8</v>
      </c>
      <c r="N25">
        <v>12</v>
      </c>
      <c r="O25">
        <v>10</v>
      </c>
      <c r="P25">
        <v>6.3</v>
      </c>
      <c r="Q25">
        <v>20.5</v>
      </c>
      <c r="R25">
        <v>0.7</v>
      </c>
      <c r="S25">
        <v>27</v>
      </c>
      <c r="T25">
        <v>8.8937500000000007</v>
      </c>
      <c r="U25">
        <v>6.7855055771475135</v>
      </c>
      <c r="V25">
        <v>142.30000000000001</v>
      </c>
      <c r="W25">
        <v>0.10248469571480016</v>
      </c>
    </row>
    <row r="26" spans="1:23" x14ac:dyDescent="0.75">
      <c r="A26" t="s">
        <v>57</v>
      </c>
      <c r="B26">
        <v>17.399999999999999</v>
      </c>
      <c r="C26">
        <v>0</v>
      </c>
      <c r="D26">
        <v>20.2</v>
      </c>
      <c r="E26">
        <v>21.5</v>
      </c>
      <c r="F26">
        <v>9.4</v>
      </c>
      <c r="G26">
        <v>9</v>
      </c>
      <c r="H26">
        <v>1.8</v>
      </c>
      <c r="I26">
        <v>14.9</v>
      </c>
      <c r="J26">
        <v>2</v>
      </c>
      <c r="K26">
        <v>2.1</v>
      </c>
      <c r="L26">
        <v>5.7</v>
      </c>
      <c r="M26">
        <v>0.2</v>
      </c>
      <c r="N26">
        <v>8.6999999999999993</v>
      </c>
      <c r="O26">
        <v>13.4</v>
      </c>
      <c r="P26">
        <v>4.3</v>
      </c>
      <c r="Q26">
        <v>2.6</v>
      </c>
      <c r="R26">
        <v>0</v>
      </c>
      <c r="S26">
        <v>21.5</v>
      </c>
      <c r="T26">
        <v>8.3250000000000011</v>
      </c>
      <c r="U26">
        <v>6.9830598594026085</v>
      </c>
      <c r="V26">
        <v>133.20000000000002</v>
      </c>
      <c r="W26">
        <v>9.5930860640979485E-2</v>
      </c>
    </row>
    <row r="27" spans="1:23" x14ac:dyDescent="0.75">
      <c r="A27" t="s">
        <v>58</v>
      </c>
      <c r="B27">
        <v>9.6</v>
      </c>
      <c r="C27">
        <v>4.0999999999999996</v>
      </c>
      <c r="D27">
        <v>2.9</v>
      </c>
      <c r="E27">
        <v>14.5</v>
      </c>
      <c r="F27">
        <v>14.8</v>
      </c>
      <c r="G27">
        <v>5.0999999999999996</v>
      </c>
      <c r="H27">
        <v>6.1</v>
      </c>
      <c r="I27">
        <v>2.1</v>
      </c>
      <c r="J27">
        <v>11.1</v>
      </c>
      <c r="K27">
        <v>23.7</v>
      </c>
      <c r="L27">
        <v>8.1</v>
      </c>
      <c r="M27">
        <v>14.3</v>
      </c>
      <c r="N27">
        <v>14</v>
      </c>
      <c r="O27">
        <v>2.8</v>
      </c>
      <c r="P27">
        <v>2.4</v>
      </c>
      <c r="Q27">
        <v>2.6</v>
      </c>
      <c r="R27">
        <v>2.1</v>
      </c>
      <c r="S27">
        <v>23.7</v>
      </c>
      <c r="T27">
        <v>8.6374999999999993</v>
      </c>
      <c r="U27">
        <v>6.0825441839743339</v>
      </c>
      <c r="V27">
        <v>138.19999999999999</v>
      </c>
      <c r="W27">
        <v>9.9531868923298517E-2</v>
      </c>
    </row>
    <row r="28" spans="1:23" x14ac:dyDescent="0.75">
      <c r="A28" t="s">
        <v>59</v>
      </c>
      <c r="B28">
        <v>11.1</v>
      </c>
      <c r="C28">
        <v>1.7</v>
      </c>
      <c r="D28">
        <v>5.0999999999999996</v>
      </c>
      <c r="E28">
        <v>5.5</v>
      </c>
      <c r="F28">
        <v>4</v>
      </c>
      <c r="G28">
        <v>3.4</v>
      </c>
      <c r="H28">
        <v>3.9</v>
      </c>
      <c r="I28">
        <v>0</v>
      </c>
      <c r="J28">
        <v>7.6</v>
      </c>
      <c r="K28">
        <v>9.3000000000000007</v>
      </c>
      <c r="L28">
        <v>12.2</v>
      </c>
      <c r="M28">
        <v>14.3</v>
      </c>
      <c r="N28">
        <v>14.8</v>
      </c>
      <c r="O28">
        <v>6.7</v>
      </c>
      <c r="P28">
        <v>10.199999999999999</v>
      </c>
      <c r="Q28">
        <v>4.8</v>
      </c>
      <c r="R28">
        <v>0</v>
      </c>
      <c r="S28">
        <v>14.8</v>
      </c>
      <c r="T28">
        <v>7.1624999999999996</v>
      </c>
      <c r="U28">
        <v>4.2785621124391788</v>
      </c>
      <c r="V28">
        <v>114.6</v>
      </c>
      <c r="W28">
        <v>8.2535109830752615E-2</v>
      </c>
    </row>
    <row r="29" spans="1:23" x14ac:dyDescent="0.75">
      <c r="A29" t="s">
        <v>60</v>
      </c>
      <c r="B29">
        <v>2.6</v>
      </c>
      <c r="C29">
        <v>14.2</v>
      </c>
      <c r="D29">
        <v>10.1</v>
      </c>
      <c r="E29">
        <v>22.5</v>
      </c>
      <c r="F29">
        <v>14.7</v>
      </c>
      <c r="G29">
        <v>5.4</v>
      </c>
      <c r="H29">
        <v>9.3000000000000007</v>
      </c>
      <c r="I29">
        <v>7.6</v>
      </c>
      <c r="J29">
        <v>5.5</v>
      </c>
      <c r="K29">
        <v>5.0999999999999996</v>
      </c>
      <c r="L29">
        <v>12.8</v>
      </c>
      <c r="M29">
        <v>6.2</v>
      </c>
      <c r="N29">
        <v>16.3</v>
      </c>
      <c r="O29">
        <v>0</v>
      </c>
      <c r="P29">
        <v>2.8</v>
      </c>
      <c r="Q29">
        <v>6.5</v>
      </c>
      <c r="R29">
        <v>0</v>
      </c>
      <c r="S29">
        <v>22.5</v>
      </c>
      <c r="T29">
        <v>8.85</v>
      </c>
      <c r="U29">
        <v>5.7408623045671483</v>
      </c>
      <c r="V29">
        <v>141.6</v>
      </c>
      <c r="W29">
        <v>0.10198055455527548</v>
      </c>
    </row>
    <row r="30" spans="1:23" x14ac:dyDescent="0.75">
      <c r="A30" t="s">
        <v>61</v>
      </c>
      <c r="B30">
        <v>7</v>
      </c>
      <c r="C30">
        <v>15</v>
      </c>
      <c r="D30">
        <v>-1</v>
      </c>
      <c r="E30">
        <v>10</v>
      </c>
      <c r="F30">
        <v>7</v>
      </c>
      <c r="G30">
        <v>5</v>
      </c>
      <c r="H30">
        <v>6</v>
      </c>
      <c r="I30">
        <v>21</v>
      </c>
      <c r="J30">
        <v>10</v>
      </c>
      <c r="K30">
        <v>13</v>
      </c>
      <c r="L30">
        <v>23</v>
      </c>
      <c r="M30">
        <v>13</v>
      </c>
      <c r="N30">
        <v>10</v>
      </c>
      <c r="O30">
        <v>7</v>
      </c>
      <c r="P30">
        <v>12</v>
      </c>
      <c r="Q30">
        <v>13</v>
      </c>
      <c r="R30">
        <v>-1</v>
      </c>
      <c r="S30">
        <v>23</v>
      </c>
      <c r="T30">
        <v>10.6875</v>
      </c>
      <c r="U30">
        <v>5.7415018723327087</v>
      </c>
      <c r="V30">
        <v>171</v>
      </c>
      <c r="W30">
        <v>0.12315448325531148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D4BBD-45E8-4F22-A1C0-4E5007703C83}">
  <sheetPr codeName="Sheet10"/>
  <dimension ref="A1:W31"/>
  <sheetViews>
    <sheetView workbookViewId="0">
      <selection activeCell="A2" sqref="A2:W31"/>
    </sheetView>
  </sheetViews>
  <sheetFormatPr defaultRowHeight="14.75" x14ac:dyDescent="0.75"/>
  <cols>
    <col min="1" max="1" width="27.90625" bestFit="1" customWidth="1"/>
    <col min="2" max="10" width="11.6796875" bestFit="1" customWidth="1"/>
    <col min="11" max="17" width="12.453125" bestFit="1" customWidth="1"/>
    <col min="18" max="19" width="11.6796875" bestFit="1" customWidth="1"/>
    <col min="20" max="20" width="12.08984375" bestFit="1" customWidth="1"/>
    <col min="21" max="22" width="11.6796875" bestFit="1" customWidth="1"/>
    <col min="23" max="23" width="14.54296875" bestFit="1" customWidth="1"/>
  </cols>
  <sheetData>
    <row r="1" spans="1:23" x14ac:dyDescent="0.75">
      <c r="A1" s="3" t="s">
        <v>29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27</v>
      </c>
      <c r="Q1" s="3" t="s">
        <v>28</v>
      </c>
      <c r="R1" s="3" t="s">
        <v>30</v>
      </c>
      <c r="S1" s="3" t="s">
        <v>31</v>
      </c>
      <c r="T1" s="3" t="s">
        <v>32</v>
      </c>
      <c r="U1" s="3" t="s">
        <v>33</v>
      </c>
      <c r="V1" s="3" t="s">
        <v>34</v>
      </c>
      <c r="W1" s="3" t="s">
        <v>35</v>
      </c>
    </row>
    <row r="2" spans="1:23" x14ac:dyDescent="0.75">
      <c r="A2" s="3" t="s">
        <v>36</v>
      </c>
      <c r="B2" s="3">
        <v>61.1</v>
      </c>
      <c r="C2" s="3">
        <v>92.199999999999989</v>
      </c>
      <c r="D2" s="3">
        <v>137.9</v>
      </c>
      <c r="E2" s="3">
        <v>76.100000000000023</v>
      </c>
      <c r="F2" s="3">
        <v>80.900000000000006</v>
      </c>
      <c r="G2" s="3">
        <v>101.6</v>
      </c>
      <c r="H2" s="3">
        <v>79.600000000000023</v>
      </c>
      <c r="I2" s="3">
        <v>101.1</v>
      </c>
      <c r="J2" s="3">
        <v>108.1</v>
      </c>
      <c r="K2" s="3">
        <v>66.7</v>
      </c>
      <c r="L2" s="3">
        <v>87.100000000000023</v>
      </c>
      <c r="M2" s="3">
        <v>96.600000000000023</v>
      </c>
      <c r="N2" s="3">
        <v>86.899999999999977</v>
      </c>
      <c r="O2" s="3">
        <v>108.1</v>
      </c>
      <c r="P2" s="3">
        <v>96.399999999999977</v>
      </c>
      <c r="Q2" s="3">
        <v>86.9</v>
      </c>
      <c r="R2" s="3">
        <v>61.1</v>
      </c>
      <c r="S2" s="3">
        <v>137.9</v>
      </c>
      <c r="T2" s="3">
        <v>91.706250000000026</v>
      </c>
      <c r="U2" s="3">
        <v>17.748396714562563</v>
      </c>
      <c r="V2" s="3">
        <v>1467.3000000000004</v>
      </c>
      <c r="W2" s="3">
        <v>0.63153137643109269</v>
      </c>
    </row>
    <row r="3" spans="1:23" x14ac:dyDescent="0.75">
      <c r="A3" s="3" t="s">
        <v>37</v>
      </c>
      <c r="B3" s="3">
        <v>93.4</v>
      </c>
      <c r="C3" s="3">
        <v>72.300000000000011</v>
      </c>
      <c r="D3" s="3">
        <v>107.8</v>
      </c>
      <c r="E3" s="3">
        <v>54.4</v>
      </c>
      <c r="F3" s="3">
        <v>28.4</v>
      </c>
      <c r="G3" s="3">
        <v>32.200000000000003</v>
      </c>
      <c r="H3" s="3">
        <v>34.6</v>
      </c>
      <c r="I3" s="3">
        <v>46.4</v>
      </c>
      <c r="J3" s="3">
        <v>63.8</v>
      </c>
      <c r="K3" s="3">
        <v>70.900000000000006</v>
      </c>
      <c r="L3" s="3">
        <v>42.1</v>
      </c>
      <c r="M3" s="3">
        <v>25.9</v>
      </c>
      <c r="N3" s="3">
        <v>29.9</v>
      </c>
      <c r="O3" s="3">
        <v>34.099999999999994</v>
      </c>
      <c r="P3" s="3">
        <v>76.099999999999994</v>
      </c>
      <c r="Q3" s="3">
        <v>43.8</v>
      </c>
      <c r="R3" s="3">
        <v>25.9</v>
      </c>
      <c r="S3" s="3">
        <v>107.8</v>
      </c>
      <c r="T3" s="3">
        <v>53.506249999999994</v>
      </c>
      <c r="U3" s="3">
        <v>24.011467800563572</v>
      </c>
      <c r="V3" s="3">
        <v>856.0999999999998</v>
      </c>
      <c r="W3" s="3">
        <v>0.36846862356890769</v>
      </c>
    </row>
    <row r="4" spans="1:23" x14ac:dyDescent="0.75">
      <c r="A4" s="3" t="s">
        <v>38</v>
      </c>
      <c r="B4" s="3">
        <v>154.5</v>
      </c>
      <c r="C4" s="3">
        <v>164.5</v>
      </c>
      <c r="D4" s="3">
        <v>245.7</v>
      </c>
      <c r="E4" s="3">
        <v>130.5</v>
      </c>
      <c r="F4" s="3">
        <v>109.3</v>
      </c>
      <c r="G4" s="3">
        <v>133.80000000000001</v>
      </c>
      <c r="H4" s="3">
        <v>114.20000000000002</v>
      </c>
      <c r="I4" s="3">
        <v>147.5</v>
      </c>
      <c r="J4" s="3">
        <v>171.89999999999998</v>
      </c>
      <c r="K4" s="3">
        <v>137.60000000000002</v>
      </c>
      <c r="L4" s="3">
        <v>129.20000000000002</v>
      </c>
      <c r="M4" s="3">
        <v>122.5</v>
      </c>
      <c r="N4" s="3">
        <v>116.8</v>
      </c>
      <c r="O4" s="3">
        <v>142.19999999999999</v>
      </c>
      <c r="P4" s="3">
        <v>172.5</v>
      </c>
      <c r="Q4" s="3">
        <v>130.69999999999999</v>
      </c>
      <c r="R4" s="3">
        <v>109.3</v>
      </c>
      <c r="S4" s="3">
        <v>245.7</v>
      </c>
      <c r="T4" s="3">
        <v>145.21249999999998</v>
      </c>
      <c r="U4" s="3">
        <v>32.087202959279672</v>
      </c>
      <c r="V4" s="3">
        <v>2323.3999999999996</v>
      </c>
      <c r="W4" s="3" t="s">
        <v>39</v>
      </c>
    </row>
    <row r="5" spans="1:23" x14ac:dyDescent="0.75">
      <c r="A5" s="3" t="s">
        <v>40</v>
      </c>
      <c r="B5" s="3" t="s">
        <v>39</v>
      </c>
      <c r="C5" s="3">
        <v>0</v>
      </c>
      <c r="D5" s="3">
        <v>3</v>
      </c>
      <c r="E5" s="3">
        <v>1</v>
      </c>
      <c r="F5" s="3">
        <v>4</v>
      </c>
      <c r="G5" s="3">
        <v>3</v>
      </c>
      <c r="H5" s="3">
        <v>1</v>
      </c>
      <c r="I5" s="3">
        <v>1</v>
      </c>
      <c r="J5" s="3">
        <v>1</v>
      </c>
      <c r="K5" s="3">
        <v>1</v>
      </c>
      <c r="L5" s="3">
        <v>3</v>
      </c>
      <c r="M5" s="3">
        <v>3</v>
      </c>
      <c r="N5" s="3">
        <v>2</v>
      </c>
      <c r="O5" s="3">
        <v>1</v>
      </c>
      <c r="P5" s="3">
        <v>1</v>
      </c>
      <c r="Q5" s="3">
        <v>1</v>
      </c>
      <c r="R5" s="3">
        <v>0</v>
      </c>
      <c r="S5" s="3">
        <v>4</v>
      </c>
      <c r="T5" s="3">
        <v>1.7333333333333334</v>
      </c>
      <c r="U5" s="3">
        <v>1.1234866364235143</v>
      </c>
      <c r="V5" s="3">
        <v>26</v>
      </c>
      <c r="W5" s="3" t="s">
        <v>39</v>
      </c>
    </row>
    <row r="6" spans="1:23" x14ac:dyDescent="0.75">
      <c r="A6" s="3" t="s">
        <v>41</v>
      </c>
      <c r="B6" s="3" t="s">
        <v>39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1</v>
      </c>
      <c r="M6" s="3">
        <v>1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</v>
      </c>
      <c r="T6" s="3">
        <v>0.13333333333333333</v>
      </c>
      <c r="U6" s="3">
        <v>0.33993463423951897</v>
      </c>
      <c r="V6" s="3">
        <v>2</v>
      </c>
      <c r="W6" s="3" t="s">
        <v>39</v>
      </c>
    </row>
    <row r="7" spans="1:23" x14ac:dyDescent="0.75">
      <c r="A7" s="3" t="s">
        <v>42</v>
      </c>
      <c r="B7" s="3">
        <v>6</v>
      </c>
      <c r="C7" s="3">
        <v>3</v>
      </c>
      <c r="D7" s="3">
        <v>4</v>
      </c>
      <c r="E7" s="3">
        <v>6</v>
      </c>
      <c r="F7" s="3">
        <v>2</v>
      </c>
      <c r="G7" s="3">
        <v>1</v>
      </c>
      <c r="H7" s="3">
        <v>4</v>
      </c>
      <c r="I7" s="3">
        <v>3</v>
      </c>
      <c r="J7" s="3">
        <v>4</v>
      </c>
      <c r="K7" s="3">
        <v>5</v>
      </c>
      <c r="L7" s="3">
        <v>2</v>
      </c>
      <c r="M7" s="3">
        <v>2</v>
      </c>
      <c r="N7" s="3">
        <v>2</v>
      </c>
      <c r="O7" s="3">
        <v>2</v>
      </c>
      <c r="P7" s="3">
        <v>4</v>
      </c>
      <c r="Q7" s="3">
        <v>2</v>
      </c>
      <c r="R7" s="3">
        <v>1</v>
      </c>
      <c r="S7" s="3">
        <v>6</v>
      </c>
      <c r="T7" s="3">
        <v>3.25</v>
      </c>
      <c r="U7" s="3">
        <v>1.479019945774904</v>
      </c>
      <c r="V7" s="3">
        <v>52</v>
      </c>
      <c r="W7" s="3" t="s">
        <v>39</v>
      </c>
    </row>
    <row r="8" spans="1:23" x14ac:dyDescent="0.75">
      <c r="A8" s="3" t="s">
        <v>43</v>
      </c>
      <c r="B8" s="3">
        <v>106</v>
      </c>
      <c r="C8" s="3">
        <v>119.9</v>
      </c>
      <c r="D8" s="3">
        <v>171</v>
      </c>
      <c r="E8" s="3">
        <v>102.2</v>
      </c>
      <c r="F8" s="3">
        <v>92.1</v>
      </c>
      <c r="G8" s="3">
        <v>115</v>
      </c>
      <c r="H8" s="3">
        <v>99.2</v>
      </c>
      <c r="I8" s="3">
        <v>111.6</v>
      </c>
      <c r="J8" s="3">
        <v>118.8</v>
      </c>
      <c r="K8" s="3">
        <v>97.8</v>
      </c>
      <c r="L8" s="3">
        <v>105.7</v>
      </c>
      <c r="M8" s="3">
        <v>96.8</v>
      </c>
      <c r="N8" s="3">
        <v>90.5</v>
      </c>
      <c r="O8" s="3">
        <v>108.5</v>
      </c>
      <c r="P8" s="3">
        <v>138.6</v>
      </c>
      <c r="Q8" s="3">
        <v>97.4</v>
      </c>
      <c r="R8" s="3">
        <v>90.5</v>
      </c>
      <c r="S8" s="3">
        <v>171</v>
      </c>
      <c r="T8" s="3">
        <v>110.69374999999999</v>
      </c>
      <c r="U8" s="3">
        <v>19.575158643993209</v>
      </c>
      <c r="V8" s="3">
        <v>1771.1</v>
      </c>
      <c r="W8" s="3" t="s">
        <v>39</v>
      </c>
    </row>
    <row r="9" spans="1:23" x14ac:dyDescent="0.75">
      <c r="A9" s="3" t="s">
        <v>44</v>
      </c>
      <c r="B9" s="4">
        <v>0.57641509433962268</v>
      </c>
      <c r="C9" s="4">
        <v>0.76897414512093387</v>
      </c>
      <c r="D9" s="4">
        <v>0.80643274853801172</v>
      </c>
      <c r="E9" s="4">
        <v>0.74461839530332685</v>
      </c>
      <c r="F9" s="4">
        <v>0.87839305103148768</v>
      </c>
      <c r="G9" s="4">
        <v>0.88347826086956516</v>
      </c>
      <c r="H9" s="4">
        <v>0.80241935483870974</v>
      </c>
      <c r="I9" s="4">
        <v>0.90591397849462363</v>
      </c>
      <c r="J9" s="4">
        <v>0.90993265993266004</v>
      </c>
      <c r="K9" s="4">
        <v>0.6820040899795502</v>
      </c>
      <c r="L9" s="4">
        <v>0.82403027436140019</v>
      </c>
      <c r="M9" s="4">
        <v>0.99793388429752061</v>
      </c>
      <c r="N9" s="4">
        <v>0.96022099447513787</v>
      </c>
      <c r="O9" s="4">
        <v>0.99631336405529947</v>
      </c>
      <c r="P9" s="4">
        <v>0.69552669552669555</v>
      </c>
      <c r="Q9" s="4">
        <v>0.8921971252566735</v>
      </c>
      <c r="R9" s="4">
        <v>0.57641509433962268</v>
      </c>
      <c r="S9" s="4">
        <v>0.99793388429752061</v>
      </c>
      <c r="T9" s="4">
        <v>0.83280025727632612</v>
      </c>
      <c r="U9" s="4" t="s">
        <v>39</v>
      </c>
      <c r="V9" s="4">
        <v>0.82846818361470309</v>
      </c>
      <c r="W9" s="4">
        <v>0</v>
      </c>
    </row>
    <row r="10" spans="1:23" x14ac:dyDescent="0.7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75">
      <c r="A11" s="3" t="s">
        <v>45</v>
      </c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  <c r="I11" s="4" t="s">
        <v>20</v>
      </c>
      <c r="J11" s="4" t="s">
        <v>21</v>
      </c>
      <c r="K11" s="4" t="s">
        <v>22</v>
      </c>
      <c r="L11" s="4" t="s">
        <v>23</v>
      </c>
      <c r="M11" s="4" t="s">
        <v>24</v>
      </c>
      <c r="N11" s="4" t="s">
        <v>25</v>
      </c>
      <c r="O11" s="4" t="s">
        <v>26</v>
      </c>
      <c r="P11" s="4" t="s">
        <v>27</v>
      </c>
      <c r="Q11" s="4" t="s">
        <v>28</v>
      </c>
      <c r="R11" s="4" t="s">
        <v>30</v>
      </c>
      <c r="S11" s="4" t="s">
        <v>31</v>
      </c>
      <c r="T11" s="4" t="s">
        <v>32</v>
      </c>
      <c r="U11" s="4" t="s">
        <v>33</v>
      </c>
      <c r="V11" s="4" t="s">
        <v>34</v>
      </c>
      <c r="W11" s="4" t="s">
        <v>35</v>
      </c>
    </row>
    <row r="12" spans="1:23" x14ac:dyDescent="0.75">
      <c r="A12" s="3" t="s">
        <v>46</v>
      </c>
      <c r="B12" s="4">
        <v>2</v>
      </c>
      <c r="C12" s="4">
        <v>4</v>
      </c>
      <c r="D12" s="4">
        <v>6</v>
      </c>
      <c r="E12" s="4">
        <v>4</v>
      </c>
      <c r="F12" s="4">
        <v>2</v>
      </c>
      <c r="G12" s="4">
        <v>5</v>
      </c>
      <c r="H12" s="4">
        <v>3</v>
      </c>
      <c r="I12" s="4">
        <v>5</v>
      </c>
      <c r="J12" s="4">
        <v>5</v>
      </c>
      <c r="K12" s="4">
        <v>3</v>
      </c>
      <c r="L12" s="4">
        <v>5</v>
      </c>
      <c r="M12" s="4">
        <v>6</v>
      </c>
      <c r="N12" s="4">
        <v>5</v>
      </c>
      <c r="O12" s="4">
        <v>7</v>
      </c>
      <c r="P12" s="4">
        <v>3</v>
      </c>
      <c r="Q12" s="4">
        <v>4</v>
      </c>
      <c r="R12" s="4">
        <v>2</v>
      </c>
      <c r="S12" s="4">
        <v>7</v>
      </c>
      <c r="T12" s="4">
        <v>4.3125</v>
      </c>
      <c r="U12" s="4">
        <v>1.4017288432503627</v>
      </c>
      <c r="V12" s="4">
        <v>69</v>
      </c>
      <c r="W12" s="4">
        <v>0.59482758620689657</v>
      </c>
    </row>
    <row r="13" spans="1:23" x14ac:dyDescent="0.75">
      <c r="A13" s="3" t="s">
        <v>47</v>
      </c>
      <c r="B13" s="4">
        <v>7</v>
      </c>
      <c r="C13" s="4">
        <v>5</v>
      </c>
      <c r="D13" s="4">
        <v>8</v>
      </c>
      <c r="E13" s="4">
        <v>0</v>
      </c>
      <c r="F13" s="4">
        <v>2</v>
      </c>
      <c r="G13" s="4">
        <v>0</v>
      </c>
      <c r="H13" s="4">
        <v>2</v>
      </c>
      <c r="I13" s="4">
        <v>1</v>
      </c>
      <c r="J13" s="4">
        <v>3</v>
      </c>
      <c r="K13" s="4">
        <v>3</v>
      </c>
      <c r="L13" s="4">
        <v>3</v>
      </c>
      <c r="M13" s="4">
        <v>2</v>
      </c>
      <c r="N13" s="4">
        <v>2</v>
      </c>
      <c r="O13" s="4">
        <v>2</v>
      </c>
      <c r="P13" s="4">
        <v>5</v>
      </c>
      <c r="Q13" s="4">
        <v>2</v>
      </c>
      <c r="R13" s="4">
        <v>0</v>
      </c>
      <c r="S13" s="4">
        <v>8</v>
      </c>
      <c r="T13" s="4">
        <v>2.9375</v>
      </c>
      <c r="U13" s="4">
        <v>2.1928505991061038</v>
      </c>
      <c r="V13" s="4">
        <v>47</v>
      </c>
      <c r="W13" s="4">
        <v>0.40517241379310343</v>
      </c>
    </row>
    <row r="14" spans="1:23" x14ac:dyDescent="0.75">
      <c r="A14" s="3" t="s">
        <v>48</v>
      </c>
      <c r="B14" s="4">
        <v>9</v>
      </c>
      <c r="C14" s="4">
        <v>9</v>
      </c>
      <c r="D14" s="4">
        <v>14</v>
      </c>
      <c r="E14" s="4">
        <v>4</v>
      </c>
      <c r="F14" s="4">
        <v>4</v>
      </c>
      <c r="G14" s="4">
        <v>5</v>
      </c>
      <c r="H14" s="4">
        <v>5</v>
      </c>
      <c r="I14" s="4">
        <v>6</v>
      </c>
      <c r="J14" s="4">
        <v>8</v>
      </c>
      <c r="K14" s="4">
        <v>6</v>
      </c>
      <c r="L14" s="4">
        <v>8</v>
      </c>
      <c r="M14" s="4">
        <v>8</v>
      </c>
      <c r="N14" s="4">
        <v>7</v>
      </c>
      <c r="O14" s="4">
        <v>9</v>
      </c>
      <c r="P14" s="4">
        <v>8</v>
      </c>
      <c r="Q14" s="4">
        <v>6</v>
      </c>
      <c r="R14" s="4">
        <v>4</v>
      </c>
      <c r="S14" s="4">
        <v>14</v>
      </c>
      <c r="T14" s="4">
        <v>7.25</v>
      </c>
      <c r="U14" s="4">
        <v>2.4109126902482387</v>
      </c>
      <c r="V14" s="4">
        <v>116</v>
      </c>
      <c r="W14" s="4"/>
    </row>
    <row r="15" spans="1:23" x14ac:dyDescent="0.75">
      <c r="A15" s="3" t="s">
        <v>49</v>
      </c>
      <c r="B15" s="4">
        <v>0.19639934533551551</v>
      </c>
      <c r="C15" s="4">
        <v>0.26030368763557488</v>
      </c>
      <c r="D15" s="4">
        <v>0.2610587382160986</v>
      </c>
      <c r="E15" s="4">
        <v>0.3153745072273324</v>
      </c>
      <c r="F15" s="4">
        <v>0.14833127317676142</v>
      </c>
      <c r="G15" s="4">
        <v>0.29527559055118113</v>
      </c>
      <c r="H15" s="4">
        <v>0.22613065326633164</v>
      </c>
      <c r="I15" s="4">
        <v>0.29673590504451036</v>
      </c>
      <c r="J15" s="4">
        <v>0.27752081406105461</v>
      </c>
      <c r="K15" s="4">
        <v>0.26986506746626687</v>
      </c>
      <c r="L15" s="4">
        <v>0.34443168771526977</v>
      </c>
      <c r="M15" s="4">
        <v>0.37267080745341619</v>
      </c>
      <c r="N15" s="4">
        <v>0.3452243958573073</v>
      </c>
      <c r="O15" s="4">
        <v>0.38852913968547642</v>
      </c>
      <c r="P15" s="4">
        <v>0.18672199170124479</v>
      </c>
      <c r="Q15" s="4">
        <v>0.27617951668584578</v>
      </c>
      <c r="R15" s="4">
        <v>0.14833127317676142</v>
      </c>
      <c r="S15" s="4">
        <v>0.38852913968547642</v>
      </c>
      <c r="T15" s="4">
        <v>0.282150889388673</v>
      </c>
      <c r="U15" s="4"/>
      <c r="V15" s="4"/>
      <c r="W15" s="4"/>
    </row>
    <row r="16" spans="1:23" x14ac:dyDescent="0.75">
      <c r="A16" s="3" t="s">
        <v>50</v>
      </c>
      <c r="B16" s="4">
        <v>0.80360065466448449</v>
      </c>
      <c r="C16" s="4">
        <v>0.73969631236442512</v>
      </c>
      <c r="D16" s="4">
        <v>0.7389412617839014</v>
      </c>
      <c r="E16" s="4">
        <v>0.6846254927726676</v>
      </c>
      <c r="F16" s="4">
        <v>0.85166872682323858</v>
      </c>
      <c r="G16" s="4">
        <v>0.70472440944881887</v>
      </c>
      <c r="H16" s="4">
        <v>0.77386934673366836</v>
      </c>
      <c r="I16" s="4">
        <v>0.70326409495548958</v>
      </c>
      <c r="J16" s="4">
        <v>0.72247918593894545</v>
      </c>
      <c r="K16" s="4">
        <v>0.73013493253373307</v>
      </c>
      <c r="L16" s="4">
        <v>0.65556831228473023</v>
      </c>
      <c r="M16" s="4">
        <v>0.62732919254658381</v>
      </c>
      <c r="N16" s="4">
        <v>0.65477560414269265</v>
      </c>
      <c r="O16" s="4">
        <v>0.61147086031452358</v>
      </c>
      <c r="P16" s="4">
        <v>0.81327800829875518</v>
      </c>
      <c r="Q16" s="4">
        <v>0.72382048331415427</v>
      </c>
      <c r="R16" s="4">
        <v>0.61147086031452358</v>
      </c>
      <c r="S16" s="4">
        <v>0.85166872682323858</v>
      </c>
      <c r="T16" s="4">
        <v>0.71784911061132695</v>
      </c>
      <c r="U16" s="4"/>
      <c r="V16" s="4"/>
      <c r="W16" s="4"/>
    </row>
    <row r="17" spans="1:23" x14ac:dyDescent="0.75">
      <c r="A17" s="3" t="s">
        <v>51</v>
      </c>
      <c r="B17" s="4">
        <v>0.449678800856531</v>
      </c>
      <c r="C17" s="4">
        <v>0.4149377593360995</v>
      </c>
      <c r="D17" s="4">
        <v>0.44526901669758817</v>
      </c>
      <c r="E17" s="4">
        <v>0</v>
      </c>
      <c r="F17" s="4">
        <v>0.42253521126760568</v>
      </c>
      <c r="G17" s="4">
        <v>0</v>
      </c>
      <c r="H17" s="4">
        <v>0.34682080924855491</v>
      </c>
      <c r="I17" s="4">
        <v>0.12931034482758622</v>
      </c>
      <c r="J17" s="4">
        <v>0.2821316614420063</v>
      </c>
      <c r="K17" s="4">
        <v>0.25387870239774329</v>
      </c>
      <c r="L17" s="4">
        <v>0.42755344418052255</v>
      </c>
      <c r="M17" s="4">
        <v>0.46332046332046334</v>
      </c>
      <c r="N17" s="4">
        <v>0.40133779264214042</v>
      </c>
      <c r="O17" s="4">
        <v>0.35190615835777134</v>
      </c>
      <c r="P17" s="4">
        <v>0.39421813403416561</v>
      </c>
      <c r="Q17" s="4">
        <v>0.27397260273972607</v>
      </c>
      <c r="R17" s="4">
        <v>0</v>
      </c>
      <c r="S17" s="4">
        <v>0.46332046332046334</v>
      </c>
      <c r="T17" s="4">
        <v>0.3294007709379746</v>
      </c>
      <c r="U17" s="4"/>
      <c r="V17" s="4"/>
      <c r="W17" s="4"/>
    </row>
    <row r="18" spans="1:23" x14ac:dyDescent="0.75">
      <c r="A18" s="3" t="s">
        <v>52</v>
      </c>
      <c r="B18" s="4">
        <v>0.550321199143469</v>
      </c>
      <c r="C18" s="4">
        <v>0.58506224066390056</v>
      </c>
      <c r="D18" s="4">
        <v>0.55473098330241188</v>
      </c>
      <c r="E18" s="4">
        <v>1</v>
      </c>
      <c r="F18" s="4">
        <v>0.57746478873239426</v>
      </c>
      <c r="G18" s="4">
        <v>1</v>
      </c>
      <c r="H18" s="4">
        <v>0.65317919075144504</v>
      </c>
      <c r="I18" s="4">
        <v>0.87068965517241381</v>
      </c>
      <c r="J18" s="4">
        <v>0.7178683385579937</v>
      </c>
      <c r="K18" s="4">
        <v>0.74612129760225665</v>
      </c>
      <c r="L18" s="4">
        <v>0.57244655581947745</v>
      </c>
      <c r="M18" s="4">
        <v>0.53667953667953672</v>
      </c>
      <c r="N18" s="4">
        <v>0.59866220735785958</v>
      </c>
      <c r="O18" s="4">
        <v>0.64809384164222861</v>
      </c>
      <c r="P18" s="4">
        <v>0.60578186596583439</v>
      </c>
      <c r="Q18" s="4">
        <v>0.72602739726027388</v>
      </c>
      <c r="R18" s="4">
        <v>0.53667953667953672</v>
      </c>
      <c r="S18" s="4">
        <v>1</v>
      </c>
      <c r="T18" s="4">
        <v>0.6705992290620254</v>
      </c>
      <c r="U18" s="4"/>
      <c r="V18" s="4"/>
      <c r="W18" s="4"/>
    </row>
    <row r="19" spans="1:23" x14ac:dyDescent="0.75">
      <c r="A19" s="3" t="s">
        <v>53</v>
      </c>
      <c r="B19" s="4">
        <v>0.34951456310679613</v>
      </c>
      <c r="C19" s="4">
        <v>0.32826747720364741</v>
      </c>
      <c r="D19" s="4">
        <v>0.34188034188034189</v>
      </c>
      <c r="E19" s="4">
        <v>0.18390804597701149</v>
      </c>
      <c r="F19" s="4">
        <v>0.21957913998170173</v>
      </c>
      <c r="G19" s="4">
        <v>0.22421524663677128</v>
      </c>
      <c r="H19" s="4">
        <v>0.26269702276707529</v>
      </c>
      <c r="I19" s="4">
        <v>0.2440677966101695</v>
      </c>
      <c r="J19" s="4">
        <v>0.27923211169284473</v>
      </c>
      <c r="K19" s="4">
        <v>0.26162790697674415</v>
      </c>
      <c r="L19" s="4">
        <v>0.37151702786377705</v>
      </c>
      <c r="M19" s="4">
        <v>0.39183673469387753</v>
      </c>
      <c r="N19" s="4">
        <v>0.3595890410958904</v>
      </c>
      <c r="O19" s="4">
        <v>0.379746835443038</v>
      </c>
      <c r="P19" s="4">
        <v>0.27826086956521739</v>
      </c>
      <c r="Q19" s="4">
        <v>0.27543993879112472</v>
      </c>
      <c r="R19" s="4">
        <v>0.18390804597701149</v>
      </c>
      <c r="S19" s="4">
        <v>0.39183673469387753</v>
      </c>
      <c r="T19" s="4">
        <v>0.29956098820693816</v>
      </c>
      <c r="U19" s="4"/>
      <c r="V19" s="4"/>
      <c r="W19" s="4"/>
    </row>
    <row r="20" spans="1:23" x14ac:dyDescent="0.75">
      <c r="A20" s="3" t="s">
        <v>54</v>
      </c>
      <c r="B20" s="4">
        <v>0.65048543689320382</v>
      </c>
      <c r="C20" s="4">
        <v>0.67173252279635265</v>
      </c>
      <c r="D20" s="4">
        <v>0.65811965811965811</v>
      </c>
      <c r="E20" s="4">
        <v>0.81609195402298851</v>
      </c>
      <c r="F20" s="4">
        <v>0.78042086001829825</v>
      </c>
      <c r="G20" s="4">
        <v>0.77578475336322883</v>
      </c>
      <c r="H20" s="4">
        <v>0.73730297723292459</v>
      </c>
      <c r="I20" s="4">
        <v>0.75593220338983036</v>
      </c>
      <c r="J20" s="4">
        <v>0.72076788830715532</v>
      </c>
      <c r="K20" s="4">
        <v>0.73837209302325579</v>
      </c>
      <c r="L20" s="4">
        <v>0.62848297213622295</v>
      </c>
      <c r="M20" s="4">
        <v>0.60816326530612241</v>
      </c>
      <c r="N20" s="4">
        <v>0.6404109589041096</v>
      </c>
      <c r="O20" s="4">
        <v>0.620253164556962</v>
      </c>
      <c r="P20" s="4">
        <v>0.72173913043478277</v>
      </c>
      <c r="Q20" s="4">
        <v>0.72456006120887517</v>
      </c>
      <c r="R20" s="4">
        <v>0.60816326530612241</v>
      </c>
      <c r="S20" s="4">
        <v>0.81609195402298851</v>
      </c>
      <c r="T20" s="4">
        <v>0.70043901179306189</v>
      </c>
      <c r="U20" s="4"/>
      <c r="V20" s="4"/>
      <c r="W20" s="4"/>
    </row>
    <row r="21" spans="1:23" x14ac:dyDescent="0.7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75">
      <c r="A22" s="3" t="s">
        <v>29</v>
      </c>
      <c r="B22" s="4" t="s">
        <v>13</v>
      </c>
      <c r="C22" s="4" t="s">
        <v>14</v>
      </c>
      <c r="D22" s="4" t="s">
        <v>15</v>
      </c>
      <c r="E22" s="4" t="s">
        <v>16</v>
      </c>
      <c r="F22" s="4" t="s">
        <v>17</v>
      </c>
      <c r="G22" s="4" t="s">
        <v>18</v>
      </c>
      <c r="H22" s="4" t="s">
        <v>19</v>
      </c>
      <c r="I22" s="4" t="s">
        <v>20</v>
      </c>
      <c r="J22" s="4" t="s">
        <v>21</v>
      </c>
      <c r="K22" s="4" t="s">
        <v>22</v>
      </c>
      <c r="L22" s="4" t="s">
        <v>23</v>
      </c>
      <c r="M22" s="4" t="s">
        <v>24</v>
      </c>
      <c r="N22" s="4" t="s">
        <v>25</v>
      </c>
      <c r="O22" s="4" t="s">
        <v>26</v>
      </c>
      <c r="P22" s="4" t="s">
        <v>27</v>
      </c>
      <c r="Q22" s="4" t="s">
        <v>28</v>
      </c>
      <c r="R22" s="4" t="s">
        <v>30</v>
      </c>
      <c r="S22" s="4" t="s">
        <v>31</v>
      </c>
      <c r="T22" s="4" t="s">
        <v>32</v>
      </c>
      <c r="U22" s="4" t="s">
        <v>33</v>
      </c>
      <c r="V22" s="4" t="s">
        <v>34</v>
      </c>
      <c r="W22" s="4" t="s">
        <v>35</v>
      </c>
    </row>
    <row r="23" spans="1:23" x14ac:dyDescent="0.75">
      <c r="A23" s="3" t="s">
        <v>0</v>
      </c>
      <c r="B23" s="4">
        <v>8.3000000000000007</v>
      </c>
      <c r="C23" s="4">
        <v>17.3</v>
      </c>
      <c r="D23" s="4">
        <v>18.5</v>
      </c>
      <c r="E23" s="4">
        <v>31.6</v>
      </c>
      <c r="F23" s="4">
        <v>19.2</v>
      </c>
      <c r="G23" s="4">
        <v>20.9</v>
      </c>
      <c r="H23" s="4">
        <v>32.4</v>
      </c>
      <c r="I23" s="4">
        <v>43.1</v>
      </c>
      <c r="J23" s="4">
        <v>27.6</v>
      </c>
      <c r="K23" s="4">
        <v>23.4</v>
      </c>
      <c r="L23" s="4">
        <v>34.9</v>
      </c>
      <c r="M23" s="4">
        <v>27.6</v>
      </c>
      <c r="N23" s="4">
        <v>30.2</v>
      </c>
      <c r="O23" s="4">
        <v>27.8</v>
      </c>
      <c r="P23" s="4">
        <v>13.6</v>
      </c>
      <c r="Q23" s="4">
        <v>18.600000000000001</v>
      </c>
      <c r="R23" s="4">
        <v>8.3000000000000007</v>
      </c>
      <c r="S23" s="4">
        <v>43.1</v>
      </c>
      <c r="T23" s="4">
        <v>24.687500000000004</v>
      </c>
      <c r="U23" s="4">
        <v>8.5700696467414765</v>
      </c>
      <c r="V23" s="4">
        <v>395.00000000000006</v>
      </c>
      <c r="W23" s="4">
        <v>0.26920193552784027</v>
      </c>
    </row>
    <row r="24" spans="1:23" x14ac:dyDescent="0.75">
      <c r="A24" s="3" t="s">
        <v>55</v>
      </c>
      <c r="B24" s="4">
        <v>10.9</v>
      </c>
      <c r="C24" s="4">
        <v>23</v>
      </c>
      <c r="D24" s="4">
        <v>21.3</v>
      </c>
      <c r="E24" s="4">
        <v>14.8</v>
      </c>
      <c r="F24" s="4">
        <v>2.2999999999999998</v>
      </c>
      <c r="G24" s="4">
        <v>8.9</v>
      </c>
      <c r="H24" s="4">
        <v>10.5</v>
      </c>
      <c r="I24" s="4">
        <v>6.6</v>
      </c>
      <c r="J24" s="4">
        <v>8.4</v>
      </c>
      <c r="K24" s="4">
        <v>0.3</v>
      </c>
      <c r="L24" s="4">
        <v>5.7</v>
      </c>
      <c r="M24" s="4">
        <v>10.3</v>
      </c>
      <c r="N24" s="4">
        <v>8.6</v>
      </c>
      <c r="O24" s="4">
        <v>15.1</v>
      </c>
      <c r="P24" s="4">
        <v>27.9</v>
      </c>
      <c r="Q24" s="4">
        <v>4.5999999999999996</v>
      </c>
      <c r="R24" s="4">
        <v>0.3</v>
      </c>
      <c r="S24" s="4">
        <v>27.9</v>
      </c>
      <c r="T24" s="4">
        <v>11.2</v>
      </c>
      <c r="U24" s="4">
        <v>7.3424280725111615</v>
      </c>
      <c r="V24" s="4">
        <v>179.2</v>
      </c>
      <c r="W24" s="4">
        <v>0.12212908062427584</v>
      </c>
    </row>
    <row r="25" spans="1:23" x14ac:dyDescent="0.75">
      <c r="A25" s="3" t="s">
        <v>56</v>
      </c>
      <c r="B25" s="4">
        <v>10.7</v>
      </c>
      <c r="C25" s="4">
        <v>15.8</v>
      </c>
      <c r="D25" s="4">
        <v>22.9</v>
      </c>
      <c r="E25" s="4">
        <v>12</v>
      </c>
      <c r="F25" s="4">
        <v>10.1</v>
      </c>
      <c r="G25" s="4">
        <v>22</v>
      </c>
      <c r="H25" s="4">
        <v>10.8</v>
      </c>
      <c r="I25" s="4">
        <v>6.7</v>
      </c>
      <c r="J25" s="4">
        <v>17</v>
      </c>
      <c r="K25" s="4">
        <v>11.4</v>
      </c>
      <c r="L25" s="4">
        <v>9.8000000000000007</v>
      </c>
      <c r="M25" s="4">
        <v>14.9</v>
      </c>
      <c r="N25" s="4">
        <v>8.1</v>
      </c>
      <c r="O25" s="4">
        <v>13.8</v>
      </c>
      <c r="P25" s="4">
        <v>4.9000000000000004</v>
      </c>
      <c r="Q25" s="4">
        <v>14.8</v>
      </c>
      <c r="R25" s="4">
        <v>4.9000000000000004</v>
      </c>
      <c r="S25" s="4">
        <v>22.9</v>
      </c>
      <c r="T25" s="4">
        <v>12.856250000000005</v>
      </c>
      <c r="U25" s="4">
        <v>4.8196173019753292</v>
      </c>
      <c r="V25" s="4">
        <v>205.70000000000005</v>
      </c>
      <c r="W25" s="4">
        <v>0.14018946364070062</v>
      </c>
    </row>
    <row r="26" spans="1:23" x14ac:dyDescent="0.75">
      <c r="A26" s="3" t="s">
        <v>57</v>
      </c>
      <c r="B26" s="4">
        <v>5.2</v>
      </c>
      <c r="C26" s="4">
        <v>6.9</v>
      </c>
      <c r="D26" s="4">
        <v>24.8</v>
      </c>
      <c r="E26" s="4">
        <v>4.5</v>
      </c>
      <c r="F26" s="4">
        <v>21.2</v>
      </c>
      <c r="G26" s="4">
        <v>2.4</v>
      </c>
      <c r="H26" s="4">
        <v>3.7</v>
      </c>
      <c r="I26" s="4">
        <v>2.5</v>
      </c>
      <c r="J26" s="4">
        <v>32</v>
      </c>
      <c r="K26" s="4">
        <v>3.3</v>
      </c>
      <c r="L26" s="4">
        <v>14.9</v>
      </c>
      <c r="M26" s="4">
        <v>2.5</v>
      </c>
      <c r="N26" s="4">
        <v>12.6</v>
      </c>
      <c r="O26" s="4">
        <v>3</v>
      </c>
      <c r="P26" s="4">
        <v>6.6</v>
      </c>
      <c r="Q26" s="4">
        <v>13</v>
      </c>
      <c r="R26" s="4">
        <v>2.4</v>
      </c>
      <c r="S26" s="4">
        <v>32</v>
      </c>
      <c r="T26" s="4">
        <v>9.9437500000000014</v>
      </c>
      <c r="U26" s="4">
        <v>8.8264495091457889</v>
      </c>
      <c r="V26" s="4">
        <v>159.10000000000002</v>
      </c>
      <c r="W26" s="4">
        <v>0.10843045048728958</v>
      </c>
    </row>
    <row r="27" spans="1:23" x14ac:dyDescent="0.75">
      <c r="A27" s="3" t="s">
        <v>58</v>
      </c>
      <c r="B27" s="4">
        <v>9.1999999999999993</v>
      </c>
      <c r="C27" s="4">
        <v>10.1</v>
      </c>
      <c r="D27" s="4">
        <v>12.8</v>
      </c>
      <c r="E27" s="4">
        <v>1.6</v>
      </c>
      <c r="F27" s="4">
        <v>4.5999999999999996</v>
      </c>
      <c r="G27" s="4">
        <v>8.9</v>
      </c>
      <c r="H27" s="4">
        <v>5.5</v>
      </c>
      <c r="I27" s="4">
        <v>9.1</v>
      </c>
      <c r="J27" s="4">
        <v>17</v>
      </c>
      <c r="K27" s="4">
        <v>12.9</v>
      </c>
      <c r="L27" s="4">
        <v>3.3</v>
      </c>
      <c r="M27" s="4">
        <v>4.3</v>
      </c>
      <c r="N27" s="4">
        <v>3.7</v>
      </c>
      <c r="O27" s="4">
        <v>19.3</v>
      </c>
      <c r="P27" s="4">
        <v>9.4</v>
      </c>
      <c r="Q27" s="4">
        <v>7.2</v>
      </c>
      <c r="R27" s="4">
        <v>1.6</v>
      </c>
      <c r="S27" s="4">
        <v>19.3</v>
      </c>
      <c r="T27" s="4">
        <v>8.6812499999999986</v>
      </c>
      <c r="U27" s="4">
        <v>4.8206870296151783</v>
      </c>
      <c r="V27" s="4">
        <v>138.89999999999998</v>
      </c>
      <c r="W27" s="4">
        <v>9.4663667961562031E-2</v>
      </c>
    </row>
    <row r="28" spans="1:23" x14ac:dyDescent="0.75">
      <c r="A28" s="3" t="s">
        <v>59</v>
      </c>
      <c r="B28" s="4">
        <v>10.1</v>
      </c>
      <c r="C28" s="4">
        <v>6.5</v>
      </c>
      <c r="D28" s="4">
        <v>0.8</v>
      </c>
      <c r="E28" s="4">
        <v>1.4</v>
      </c>
      <c r="F28" s="4">
        <v>8.1</v>
      </c>
      <c r="G28" s="4">
        <v>7.2</v>
      </c>
      <c r="H28" s="4">
        <v>6.8</v>
      </c>
      <c r="I28" s="4">
        <v>11.7</v>
      </c>
      <c r="J28" s="4">
        <v>1</v>
      </c>
      <c r="K28" s="4">
        <v>6.2</v>
      </c>
      <c r="L28" s="4">
        <v>8.3000000000000007</v>
      </c>
      <c r="M28" s="4">
        <v>20.3</v>
      </c>
      <c r="N28" s="4">
        <v>11.6</v>
      </c>
      <c r="O28" s="4">
        <v>11.6</v>
      </c>
      <c r="P28" s="4">
        <v>6.7</v>
      </c>
      <c r="Q28" s="4">
        <v>1.1000000000000001</v>
      </c>
      <c r="R28" s="4">
        <v>0.8</v>
      </c>
      <c r="S28" s="4">
        <v>20.3</v>
      </c>
      <c r="T28" s="4">
        <v>7.4624999999999986</v>
      </c>
      <c r="U28" s="4">
        <v>4.9501104785651027</v>
      </c>
      <c r="V28" s="4">
        <v>119.39999999999998</v>
      </c>
      <c r="W28" s="4">
        <v>8.1373952157023074E-2</v>
      </c>
    </row>
    <row r="29" spans="1:23" x14ac:dyDescent="0.75">
      <c r="A29" s="3" t="s">
        <v>60</v>
      </c>
      <c r="B29" s="4">
        <v>5.7</v>
      </c>
      <c r="C29" s="4">
        <v>10.6</v>
      </c>
      <c r="D29" s="4">
        <v>27.8</v>
      </c>
      <c r="E29" s="4">
        <v>1.2</v>
      </c>
      <c r="F29" s="4">
        <v>7.4</v>
      </c>
      <c r="G29" s="4">
        <v>16.3</v>
      </c>
      <c r="H29" s="4">
        <v>1.9</v>
      </c>
      <c r="I29" s="4">
        <v>11.4</v>
      </c>
      <c r="J29" s="4">
        <v>5.0999999999999996</v>
      </c>
      <c r="K29" s="4">
        <v>8.1999999999999993</v>
      </c>
      <c r="L29" s="4">
        <v>1.2</v>
      </c>
      <c r="M29" s="4">
        <v>7.7</v>
      </c>
      <c r="N29" s="4">
        <v>7.1</v>
      </c>
      <c r="O29" s="4">
        <v>14.5</v>
      </c>
      <c r="P29" s="4">
        <v>8.3000000000000007</v>
      </c>
      <c r="Q29" s="4">
        <v>15.6</v>
      </c>
      <c r="R29" s="4">
        <v>1.2</v>
      </c>
      <c r="S29" s="4">
        <v>27.8</v>
      </c>
      <c r="T29" s="4">
        <v>9.375</v>
      </c>
      <c r="U29" s="4">
        <v>6.5849734243958817</v>
      </c>
      <c r="V29" s="4">
        <v>150</v>
      </c>
      <c r="W29" s="4">
        <v>0.10222858311183804</v>
      </c>
    </row>
    <row r="30" spans="1:23" x14ac:dyDescent="0.75">
      <c r="A30" s="3" t="s">
        <v>61</v>
      </c>
      <c r="B30" s="4">
        <v>1</v>
      </c>
      <c r="C30" s="4">
        <v>2</v>
      </c>
      <c r="D30" s="4">
        <v>9</v>
      </c>
      <c r="E30" s="4">
        <v>9</v>
      </c>
      <c r="F30" s="4">
        <v>8</v>
      </c>
      <c r="G30" s="4">
        <v>15</v>
      </c>
      <c r="H30" s="4">
        <v>8</v>
      </c>
      <c r="I30" s="4">
        <v>10</v>
      </c>
      <c r="J30" s="4">
        <v>0</v>
      </c>
      <c r="K30" s="4">
        <v>1</v>
      </c>
      <c r="L30" s="4">
        <v>9</v>
      </c>
      <c r="M30" s="4">
        <v>9</v>
      </c>
      <c r="N30" s="4">
        <v>5</v>
      </c>
      <c r="O30" s="4">
        <v>3</v>
      </c>
      <c r="P30" s="4">
        <v>19</v>
      </c>
      <c r="Q30" s="4">
        <v>12</v>
      </c>
      <c r="R30" s="4">
        <v>0</v>
      </c>
      <c r="S30" s="4">
        <v>19</v>
      </c>
      <c r="T30" s="4">
        <v>7.5</v>
      </c>
      <c r="U30" s="4">
        <v>5.1356596460435346</v>
      </c>
      <c r="V30" s="4">
        <v>120</v>
      </c>
      <c r="W30" s="4">
        <v>8.1782866489470446E-2</v>
      </c>
    </row>
    <row r="31" spans="1:23" x14ac:dyDescent="0.7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49E61-CB5A-40A9-88BD-F49FE6CA73BB}">
  <sheetPr codeName="Sheet11"/>
  <dimension ref="A1:W31"/>
  <sheetViews>
    <sheetView workbookViewId="0">
      <selection activeCell="A2" sqref="A2:W31"/>
    </sheetView>
  </sheetViews>
  <sheetFormatPr defaultRowHeight="14.75" x14ac:dyDescent="0.75"/>
  <cols>
    <col min="1" max="1" width="27.90625" bestFit="1" customWidth="1"/>
    <col min="2" max="10" width="11.6796875" bestFit="1" customWidth="1"/>
    <col min="11" max="17" width="12.453125" bestFit="1" customWidth="1"/>
    <col min="18" max="19" width="11.6796875" bestFit="1" customWidth="1"/>
    <col min="20" max="20" width="12.08984375" bestFit="1" customWidth="1"/>
    <col min="21" max="22" width="11.6796875" bestFit="1" customWidth="1"/>
    <col min="23" max="23" width="14.54296875" bestFit="1" customWidth="1"/>
  </cols>
  <sheetData>
    <row r="1" spans="1:23" x14ac:dyDescent="0.75">
      <c r="A1" s="3" t="s">
        <v>29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27</v>
      </c>
      <c r="Q1" s="3" t="s">
        <v>28</v>
      </c>
      <c r="R1" s="3" t="s">
        <v>30</v>
      </c>
      <c r="S1" s="3" t="s">
        <v>31</v>
      </c>
      <c r="T1" s="3" t="s">
        <v>32</v>
      </c>
      <c r="U1" s="3" t="s">
        <v>33</v>
      </c>
      <c r="V1" s="3" t="s">
        <v>34</v>
      </c>
      <c r="W1" s="3" t="s">
        <v>35</v>
      </c>
    </row>
    <row r="2" spans="1:23" x14ac:dyDescent="0.75">
      <c r="A2" s="3" t="s">
        <v>36</v>
      </c>
      <c r="B2" s="3">
        <v>93.6</v>
      </c>
      <c r="C2" s="3">
        <v>79.300000000000011</v>
      </c>
      <c r="D2" s="3">
        <v>92</v>
      </c>
      <c r="E2" s="3">
        <v>81</v>
      </c>
      <c r="F2" s="3">
        <v>103.9</v>
      </c>
      <c r="G2" s="3">
        <v>79.699999999999989</v>
      </c>
      <c r="H2" s="3">
        <v>105.8</v>
      </c>
      <c r="I2" s="3">
        <v>74.899999999999977</v>
      </c>
      <c r="J2" s="3">
        <v>90</v>
      </c>
      <c r="K2" s="3">
        <v>98.500000000000014</v>
      </c>
      <c r="L2" s="3">
        <v>103.8</v>
      </c>
      <c r="M2" s="3">
        <v>98.2</v>
      </c>
      <c r="N2" s="3">
        <v>139.1</v>
      </c>
      <c r="O2" s="3">
        <v>62.1</v>
      </c>
      <c r="P2" s="3">
        <v>93.8</v>
      </c>
      <c r="Q2" s="3">
        <v>98.5</v>
      </c>
      <c r="R2" s="3">
        <v>62.1</v>
      </c>
      <c r="S2" s="3">
        <v>139.1</v>
      </c>
      <c r="T2" s="3">
        <v>93.387499999999989</v>
      </c>
      <c r="U2" s="3">
        <v>16.605039709377412</v>
      </c>
      <c r="V2" s="3">
        <v>1494.1999999999998</v>
      </c>
      <c r="W2" s="3">
        <v>0.68793738489871081</v>
      </c>
    </row>
    <row r="3" spans="1:23" x14ac:dyDescent="0.75">
      <c r="A3" s="3" t="s">
        <v>37</v>
      </c>
      <c r="B3" s="3">
        <v>19.8</v>
      </c>
      <c r="C3" s="3">
        <v>31.700000000000003</v>
      </c>
      <c r="D3" s="3">
        <v>40.5</v>
      </c>
      <c r="E3" s="3">
        <v>38.700000000000003</v>
      </c>
      <c r="F3" s="3">
        <v>43.4</v>
      </c>
      <c r="G3" s="3">
        <v>56.9</v>
      </c>
      <c r="H3" s="3">
        <v>19.5</v>
      </c>
      <c r="I3" s="3">
        <v>71.900000000000006</v>
      </c>
      <c r="J3" s="3">
        <v>37</v>
      </c>
      <c r="K3" s="3">
        <v>37</v>
      </c>
      <c r="L3" s="3">
        <v>42.1</v>
      </c>
      <c r="M3" s="3">
        <v>55.2</v>
      </c>
      <c r="N3" s="3">
        <v>60.6</v>
      </c>
      <c r="O3" s="3">
        <v>47.9</v>
      </c>
      <c r="P3" s="3">
        <v>32.700000000000003</v>
      </c>
      <c r="Q3" s="3">
        <v>42.9</v>
      </c>
      <c r="R3" s="3">
        <v>19.5</v>
      </c>
      <c r="S3" s="3">
        <v>71.900000000000006</v>
      </c>
      <c r="T3" s="3">
        <v>42.362499999999997</v>
      </c>
      <c r="U3" s="3">
        <v>13.524324151320847</v>
      </c>
      <c r="V3" s="3">
        <v>677.8</v>
      </c>
      <c r="W3" s="3">
        <v>0.31206261510128913</v>
      </c>
    </row>
    <row r="4" spans="1:23" x14ac:dyDescent="0.75">
      <c r="A4" s="3" t="s">
        <v>38</v>
      </c>
      <c r="B4" s="3">
        <v>113.4</v>
      </c>
      <c r="C4" s="3">
        <v>111</v>
      </c>
      <c r="D4" s="3">
        <v>132.5</v>
      </c>
      <c r="E4" s="3">
        <v>119.7</v>
      </c>
      <c r="F4" s="3">
        <v>147.29999999999998</v>
      </c>
      <c r="G4" s="3">
        <v>136.6</v>
      </c>
      <c r="H4" s="3">
        <v>125.3</v>
      </c>
      <c r="I4" s="3">
        <v>146.80000000000001</v>
      </c>
      <c r="J4" s="3">
        <v>127</v>
      </c>
      <c r="K4" s="3">
        <v>135.5</v>
      </c>
      <c r="L4" s="3">
        <v>145.9</v>
      </c>
      <c r="M4" s="3">
        <v>153.4</v>
      </c>
      <c r="N4" s="3">
        <v>199.7</v>
      </c>
      <c r="O4" s="3">
        <v>110</v>
      </c>
      <c r="P4" s="3">
        <v>126.5</v>
      </c>
      <c r="Q4" s="3">
        <v>141.4</v>
      </c>
      <c r="R4" s="3">
        <v>110</v>
      </c>
      <c r="S4" s="3">
        <v>199.7</v>
      </c>
      <c r="T4" s="3">
        <v>135.75</v>
      </c>
      <c r="U4" s="3">
        <v>21.075756214190751</v>
      </c>
      <c r="V4" s="3">
        <v>2172</v>
      </c>
      <c r="W4" s="3" t="s">
        <v>39</v>
      </c>
    </row>
    <row r="5" spans="1:23" x14ac:dyDescent="0.75">
      <c r="A5" s="3" t="s">
        <v>40</v>
      </c>
      <c r="B5" s="3" t="s">
        <v>39</v>
      </c>
      <c r="C5" s="3">
        <v>2</v>
      </c>
      <c r="D5" s="3">
        <v>4</v>
      </c>
      <c r="E5" s="3">
        <v>3</v>
      </c>
      <c r="F5" s="3">
        <v>2</v>
      </c>
      <c r="G5" s="3">
        <v>4</v>
      </c>
      <c r="H5" s="3">
        <v>3</v>
      </c>
      <c r="I5" s="3">
        <v>3</v>
      </c>
      <c r="J5" s="3">
        <v>4</v>
      </c>
      <c r="K5" s="3">
        <v>4</v>
      </c>
      <c r="L5" s="3">
        <v>4</v>
      </c>
      <c r="M5" s="3">
        <v>2</v>
      </c>
      <c r="N5" s="3">
        <v>0</v>
      </c>
      <c r="O5" s="3">
        <v>0</v>
      </c>
      <c r="P5" s="3">
        <v>3</v>
      </c>
      <c r="Q5" s="3">
        <v>2</v>
      </c>
      <c r="R5" s="3">
        <v>0</v>
      </c>
      <c r="S5" s="3">
        <v>4</v>
      </c>
      <c r="T5" s="3">
        <v>2.6666666666666665</v>
      </c>
      <c r="U5" s="3">
        <v>1.2995725793078621</v>
      </c>
      <c r="V5" s="3">
        <v>40</v>
      </c>
      <c r="W5" s="3" t="s">
        <v>39</v>
      </c>
    </row>
    <row r="6" spans="1:23" x14ac:dyDescent="0.75">
      <c r="A6" s="3" t="s">
        <v>41</v>
      </c>
      <c r="B6" s="3" t="s">
        <v>39</v>
      </c>
      <c r="C6" s="3">
        <v>3</v>
      </c>
      <c r="D6" s="3">
        <v>3</v>
      </c>
      <c r="E6" s="3">
        <v>6</v>
      </c>
      <c r="F6" s="3">
        <v>2</v>
      </c>
      <c r="G6" s="3">
        <v>5</v>
      </c>
      <c r="H6" s="3">
        <v>0</v>
      </c>
      <c r="I6" s="3">
        <v>5</v>
      </c>
      <c r="J6" s="3">
        <v>1</v>
      </c>
      <c r="K6" s="3">
        <v>0</v>
      </c>
      <c r="L6" s="3">
        <v>1</v>
      </c>
      <c r="M6" s="3">
        <v>0</v>
      </c>
      <c r="N6" s="3">
        <v>1</v>
      </c>
      <c r="O6" s="3">
        <v>1</v>
      </c>
      <c r="P6" s="3">
        <v>2</v>
      </c>
      <c r="Q6" s="3">
        <v>0</v>
      </c>
      <c r="R6" s="3">
        <v>0</v>
      </c>
      <c r="S6" s="3">
        <v>6</v>
      </c>
      <c r="T6" s="3">
        <v>2</v>
      </c>
      <c r="U6" s="3">
        <v>1.932183566158592</v>
      </c>
      <c r="V6" s="3">
        <v>30</v>
      </c>
      <c r="W6" s="3" t="s">
        <v>39</v>
      </c>
    </row>
    <row r="7" spans="1:23" x14ac:dyDescent="0.75">
      <c r="A7" s="3" t="s">
        <v>42</v>
      </c>
      <c r="B7" s="3">
        <v>1</v>
      </c>
      <c r="C7" s="3">
        <v>1</v>
      </c>
      <c r="D7" s="3">
        <v>3</v>
      </c>
      <c r="E7" s="3">
        <v>4</v>
      </c>
      <c r="F7" s="3">
        <v>3</v>
      </c>
      <c r="G7" s="3">
        <v>5</v>
      </c>
      <c r="H7" s="3">
        <v>1</v>
      </c>
      <c r="I7" s="3">
        <v>4</v>
      </c>
      <c r="J7" s="3">
        <v>3</v>
      </c>
      <c r="K7" s="3">
        <v>3</v>
      </c>
      <c r="L7" s="3">
        <v>2</v>
      </c>
      <c r="M7" s="3">
        <v>3</v>
      </c>
      <c r="N7" s="3">
        <v>1</v>
      </c>
      <c r="O7" s="3">
        <v>5</v>
      </c>
      <c r="P7" s="3">
        <v>2</v>
      </c>
      <c r="Q7" s="3">
        <v>1</v>
      </c>
      <c r="R7" s="3">
        <v>1</v>
      </c>
      <c r="S7" s="3">
        <v>5</v>
      </c>
      <c r="T7" s="3">
        <v>2.625</v>
      </c>
      <c r="U7" s="3">
        <v>1.3635890143294642</v>
      </c>
      <c r="V7" s="3">
        <v>42</v>
      </c>
      <c r="W7" s="3" t="s">
        <v>39</v>
      </c>
    </row>
    <row r="8" spans="1:23" x14ac:dyDescent="0.75">
      <c r="A8" s="3" t="s">
        <v>43</v>
      </c>
      <c r="B8" s="3">
        <v>105.2</v>
      </c>
      <c r="C8" s="3">
        <v>91.8</v>
      </c>
      <c r="D8" s="3">
        <v>116</v>
      </c>
      <c r="E8" s="3">
        <v>91.6</v>
      </c>
      <c r="F8" s="3">
        <v>81.2</v>
      </c>
      <c r="G8" s="3">
        <v>109.5</v>
      </c>
      <c r="H8" s="3">
        <v>111.5</v>
      </c>
      <c r="I8" s="3">
        <v>118.4</v>
      </c>
      <c r="J8" s="3">
        <v>102.6</v>
      </c>
      <c r="K8" s="3">
        <v>123.8</v>
      </c>
      <c r="L8" s="3">
        <v>123.9</v>
      </c>
      <c r="M8" s="3">
        <v>109.9</v>
      </c>
      <c r="N8" s="3">
        <v>147.1</v>
      </c>
      <c r="O8" s="3">
        <v>83</v>
      </c>
      <c r="P8" s="3">
        <v>108.8</v>
      </c>
      <c r="Q8" s="3">
        <v>105.1</v>
      </c>
      <c r="R8" s="3">
        <v>81.2</v>
      </c>
      <c r="S8" s="3">
        <v>147.1</v>
      </c>
      <c r="T8" s="3">
        <v>108.08750000000001</v>
      </c>
      <c r="U8" s="3">
        <v>16.089782277893132</v>
      </c>
      <c r="V8" s="3">
        <v>1729.4</v>
      </c>
      <c r="W8" s="3" t="s">
        <v>39</v>
      </c>
    </row>
    <row r="9" spans="1:23" x14ac:dyDescent="0.75">
      <c r="A9" s="3" t="s">
        <v>44</v>
      </c>
      <c r="B9" s="4">
        <v>0.88973384030418246</v>
      </c>
      <c r="C9" s="4">
        <v>0.86383442265795218</v>
      </c>
      <c r="D9" s="4">
        <v>0.7931034482758621</v>
      </c>
      <c r="E9" s="4">
        <v>0.88427947598253276</v>
      </c>
      <c r="F9" s="4">
        <v>1.2795566502463052</v>
      </c>
      <c r="G9" s="4">
        <v>0.72785388127853867</v>
      </c>
      <c r="H9" s="4">
        <v>0.94887892376681615</v>
      </c>
      <c r="I9" s="4">
        <v>0.6326013513513512</v>
      </c>
      <c r="J9" s="4">
        <v>0.87719298245614052</v>
      </c>
      <c r="K9" s="4">
        <v>0.79563812600969308</v>
      </c>
      <c r="L9" s="4">
        <v>0.83777239709443108</v>
      </c>
      <c r="M9" s="4">
        <v>0.89353958143767054</v>
      </c>
      <c r="N9" s="4">
        <v>0.94561522773623397</v>
      </c>
      <c r="O9" s="4">
        <v>0.74819277108433724</v>
      </c>
      <c r="P9" s="4">
        <v>0.86213235294117652</v>
      </c>
      <c r="Q9" s="4">
        <v>0.93720266412940045</v>
      </c>
      <c r="R9" s="4">
        <v>0.6326013513513512</v>
      </c>
      <c r="S9" s="4">
        <v>1.2795566502463052</v>
      </c>
      <c r="T9" s="4">
        <v>0.86982050604703909</v>
      </c>
      <c r="U9" s="4" t="s">
        <v>39</v>
      </c>
      <c r="V9" s="4">
        <v>0.86399907482363825</v>
      </c>
      <c r="W9" s="4">
        <v>0</v>
      </c>
    </row>
    <row r="10" spans="1:23" x14ac:dyDescent="0.7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75">
      <c r="A11" s="3" t="s">
        <v>45</v>
      </c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  <c r="I11" s="4" t="s">
        <v>20</v>
      </c>
      <c r="J11" s="4" t="s">
        <v>21</v>
      </c>
      <c r="K11" s="4" t="s">
        <v>22</v>
      </c>
      <c r="L11" s="4" t="s">
        <v>23</v>
      </c>
      <c r="M11" s="4" t="s">
        <v>24</v>
      </c>
      <c r="N11" s="4" t="s">
        <v>25</v>
      </c>
      <c r="O11" s="4" t="s">
        <v>26</v>
      </c>
      <c r="P11" s="4" t="s">
        <v>27</v>
      </c>
      <c r="Q11" s="4" t="s">
        <v>28</v>
      </c>
      <c r="R11" s="4" t="s">
        <v>30</v>
      </c>
      <c r="S11" s="4" t="s">
        <v>31</v>
      </c>
      <c r="T11" s="4" t="s">
        <v>32</v>
      </c>
      <c r="U11" s="4" t="s">
        <v>33</v>
      </c>
      <c r="V11" s="4" t="s">
        <v>34</v>
      </c>
      <c r="W11" s="4" t="s">
        <v>35</v>
      </c>
    </row>
    <row r="12" spans="1:23" x14ac:dyDescent="0.75">
      <c r="A12" s="3" t="s">
        <v>46</v>
      </c>
      <c r="B12" s="4">
        <v>5</v>
      </c>
      <c r="C12" s="4">
        <v>3</v>
      </c>
      <c r="D12" s="4">
        <v>5</v>
      </c>
      <c r="E12" s="4">
        <v>2</v>
      </c>
      <c r="F12" s="4">
        <v>6</v>
      </c>
      <c r="G12" s="4">
        <v>4</v>
      </c>
      <c r="H12" s="4">
        <v>5</v>
      </c>
      <c r="I12" s="4">
        <v>5</v>
      </c>
      <c r="J12" s="4">
        <v>4</v>
      </c>
      <c r="K12" s="4">
        <v>8</v>
      </c>
      <c r="L12" s="4">
        <v>4</v>
      </c>
      <c r="M12" s="4">
        <v>5</v>
      </c>
      <c r="N12" s="4">
        <v>10</v>
      </c>
      <c r="O12" s="4">
        <v>0</v>
      </c>
      <c r="P12" s="4">
        <v>4</v>
      </c>
      <c r="Q12" s="4">
        <v>4</v>
      </c>
      <c r="R12" s="4">
        <v>0</v>
      </c>
      <c r="S12" s="4">
        <v>10</v>
      </c>
      <c r="T12" s="4">
        <v>4.625</v>
      </c>
      <c r="U12" s="4">
        <v>2.1758618981911515</v>
      </c>
      <c r="V12" s="4">
        <v>74</v>
      </c>
      <c r="W12" s="4">
        <v>0.71844660194174759</v>
      </c>
    </row>
    <row r="13" spans="1:23" x14ac:dyDescent="0.75">
      <c r="A13" s="3" t="s">
        <v>47</v>
      </c>
      <c r="B13" s="4">
        <v>1</v>
      </c>
      <c r="C13" s="4">
        <v>1</v>
      </c>
      <c r="D13" s="4">
        <v>1</v>
      </c>
      <c r="E13" s="4">
        <v>0</v>
      </c>
      <c r="F13" s="4">
        <v>2</v>
      </c>
      <c r="G13" s="4">
        <v>2</v>
      </c>
      <c r="H13" s="4">
        <v>0</v>
      </c>
      <c r="I13" s="4">
        <v>3</v>
      </c>
      <c r="J13" s="4">
        <v>2</v>
      </c>
      <c r="K13" s="4">
        <v>3</v>
      </c>
      <c r="L13" s="4">
        <v>3</v>
      </c>
      <c r="M13" s="4">
        <v>2</v>
      </c>
      <c r="N13" s="4">
        <v>3</v>
      </c>
      <c r="O13" s="4">
        <v>4</v>
      </c>
      <c r="P13" s="4">
        <v>0</v>
      </c>
      <c r="Q13" s="4">
        <v>2</v>
      </c>
      <c r="R13" s="4">
        <v>0</v>
      </c>
      <c r="S13" s="4">
        <v>4</v>
      </c>
      <c r="T13" s="4">
        <v>1.8125</v>
      </c>
      <c r="U13" s="4">
        <v>1.184205957593526</v>
      </c>
      <c r="V13" s="4">
        <v>29</v>
      </c>
      <c r="W13" s="4">
        <v>0.28155339805825241</v>
      </c>
    </row>
    <row r="14" spans="1:23" x14ac:dyDescent="0.75">
      <c r="A14" s="3" t="s">
        <v>48</v>
      </c>
      <c r="B14" s="4">
        <v>6</v>
      </c>
      <c r="C14" s="4">
        <v>4</v>
      </c>
      <c r="D14" s="4">
        <v>6</v>
      </c>
      <c r="E14" s="4">
        <v>2</v>
      </c>
      <c r="F14" s="4">
        <v>8</v>
      </c>
      <c r="G14" s="4">
        <v>6</v>
      </c>
      <c r="H14" s="4">
        <v>5</v>
      </c>
      <c r="I14" s="4">
        <v>8</v>
      </c>
      <c r="J14" s="4">
        <v>6</v>
      </c>
      <c r="K14" s="4">
        <v>11</v>
      </c>
      <c r="L14" s="4">
        <v>7</v>
      </c>
      <c r="M14" s="4">
        <v>7</v>
      </c>
      <c r="N14" s="4">
        <v>13</v>
      </c>
      <c r="O14" s="4">
        <v>4</v>
      </c>
      <c r="P14" s="4">
        <v>4</v>
      </c>
      <c r="Q14" s="4">
        <v>6</v>
      </c>
      <c r="R14" s="4">
        <v>2</v>
      </c>
      <c r="S14" s="4">
        <v>13</v>
      </c>
      <c r="T14" s="4">
        <v>6.4375</v>
      </c>
      <c r="U14" s="4">
        <v>2.6212771219388462</v>
      </c>
      <c r="V14" s="4">
        <v>103</v>
      </c>
      <c r="W14" s="4"/>
    </row>
    <row r="15" spans="1:23" x14ac:dyDescent="0.75">
      <c r="A15" s="3" t="s">
        <v>49</v>
      </c>
      <c r="B15" s="4">
        <v>0.32051282051282054</v>
      </c>
      <c r="C15" s="4">
        <v>0.22698612862547285</v>
      </c>
      <c r="D15" s="4">
        <v>0.32608695652173914</v>
      </c>
      <c r="E15" s="4">
        <v>0.14814814814814814</v>
      </c>
      <c r="F15" s="4">
        <v>0.34648700673724736</v>
      </c>
      <c r="G15" s="4">
        <v>0.30112923462986202</v>
      </c>
      <c r="H15" s="4">
        <v>0.28355387523629488</v>
      </c>
      <c r="I15" s="4">
        <v>0.40053404539385851</v>
      </c>
      <c r="J15" s="4">
        <v>0.26666666666666666</v>
      </c>
      <c r="K15" s="4">
        <v>0.48730964467005061</v>
      </c>
      <c r="L15" s="4">
        <v>0.23121387283236991</v>
      </c>
      <c r="M15" s="4">
        <v>0.30549898167006106</v>
      </c>
      <c r="N15" s="4">
        <v>0.43134435657800146</v>
      </c>
      <c r="O15" s="4">
        <v>0</v>
      </c>
      <c r="P15" s="4">
        <v>0.25586353944562901</v>
      </c>
      <c r="Q15" s="4">
        <v>0.24365482233502539</v>
      </c>
      <c r="R15" s="4">
        <v>0</v>
      </c>
      <c r="S15" s="4">
        <v>0.48730964467005061</v>
      </c>
      <c r="T15" s="4">
        <v>0.29714897604069068</v>
      </c>
      <c r="U15" s="4"/>
      <c r="V15" s="4"/>
      <c r="W15" s="4"/>
    </row>
    <row r="16" spans="1:23" x14ac:dyDescent="0.75">
      <c r="A16" s="3" t="s">
        <v>50</v>
      </c>
      <c r="B16" s="4">
        <v>0.67948717948717952</v>
      </c>
      <c r="C16" s="4">
        <v>0.77301387137452715</v>
      </c>
      <c r="D16" s="4">
        <v>0.67391304347826086</v>
      </c>
      <c r="E16" s="4">
        <v>0.85185185185185186</v>
      </c>
      <c r="F16" s="4">
        <v>0.65351299326275258</v>
      </c>
      <c r="G16" s="4">
        <v>0.69887076537013804</v>
      </c>
      <c r="H16" s="4">
        <v>0.71644612476370506</v>
      </c>
      <c r="I16" s="4">
        <v>0.59946595460614149</v>
      </c>
      <c r="J16" s="4">
        <v>0.73333333333333339</v>
      </c>
      <c r="K16" s="4">
        <v>0.51269035532994933</v>
      </c>
      <c r="L16" s="4">
        <v>0.76878612716763006</v>
      </c>
      <c r="M16" s="4">
        <v>0.69450101832993894</v>
      </c>
      <c r="N16" s="4">
        <v>0.56865564342199848</v>
      </c>
      <c r="O16" s="4">
        <v>1</v>
      </c>
      <c r="P16" s="4">
        <v>0.74413646055437099</v>
      </c>
      <c r="Q16" s="4">
        <v>0.75634517766497456</v>
      </c>
      <c r="R16" s="4">
        <v>0.51269035532994933</v>
      </c>
      <c r="S16" s="4">
        <v>1</v>
      </c>
      <c r="T16" s="4">
        <v>0.70285102395930932</v>
      </c>
      <c r="U16" s="4"/>
      <c r="V16" s="4"/>
      <c r="W16" s="4"/>
    </row>
    <row r="17" spans="1:23" x14ac:dyDescent="0.75">
      <c r="A17" s="3" t="s">
        <v>51</v>
      </c>
      <c r="B17" s="4">
        <v>0.30303030303030304</v>
      </c>
      <c r="C17" s="4">
        <v>0.1892744479495268</v>
      </c>
      <c r="D17" s="4">
        <v>0.14814814814814814</v>
      </c>
      <c r="E17" s="4">
        <v>0</v>
      </c>
      <c r="F17" s="4">
        <v>0.27649769585253459</v>
      </c>
      <c r="G17" s="4">
        <v>0.210896309314587</v>
      </c>
      <c r="H17" s="4">
        <v>0</v>
      </c>
      <c r="I17" s="4">
        <v>0.25034770514603616</v>
      </c>
      <c r="J17" s="4">
        <v>0.32432432432432434</v>
      </c>
      <c r="K17" s="4">
        <v>0.48648648648648646</v>
      </c>
      <c r="L17" s="4">
        <v>0.42755344418052255</v>
      </c>
      <c r="M17" s="4">
        <v>0.21739130434782611</v>
      </c>
      <c r="N17" s="4">
        <v>0.29702970297029702</v>
      </c>
      <c r="O17" s="4">
        <v>0.5010438413361169</v>
      </c>
      <c r="P17" s="4">
        <v>0</v>
      </c>
      <c r="Q17" s="4">
        <v>0.27972027972027974</v>
      </c>
      <c r="R17" s="4">
        <v>0</v>
      </c>
      <c r="S17" s="4">
        <v>0.5010438413361169</v>
      </c>
      <c r="T17" s="4">
        <v>0.2567128946591915</v>
      </c>
      <c r="U17" s="4"/>
      <c r="V17" s="4"/>
      <c r="W17" s="4"/>
    </row>
    <row r="18" spans="1:23" x14ac:dyDescent="0.75">
      <c r="A18" s="3" t="s">
        <v>52</v>
      </c>
      <c r="B18" s="4">
        <v>0.69696969696969702</v>
      </c>
      <c r="C18" s="4">
        <v>0.81072555205047325</v>
      </c>
      <c r="D18" s="4">
        <v>0.85185185185185186</v>
      </c>
      <c r="E18" s="4">
        <v>1</v>
      </c>
      <c r="F18" s="4">
        <v>0.72350230414746541</v>
      </c>
      <c r="G18" s="4">
        <v>0.78910369068541297</v>
      </c>
      <c r="H18" s="4">
        <v>1</v>
      </c>
      <c r="I18" s="4">
        <v>0.7496522948539639</v>
      </c>
      <c r="J18" s="4">
        <v>0.67567567567567566</v>
      </c>
      <c r="K18" s="4">
        <v>0.51351351351351349</v>
      </c>
      <c r="L18" s="4">
        <v>0.57244655581947745</v>
      </c>
      <c r="M18" s="4">
        <v>0.78260869565217372</v>
      </c>
      <c r="N18" s="4">
        <v>0.70297029702970293</v>
      </c>
      <c r="O18" s="4">
        <v>0.4989561586638831</v>
      </c>
      <c r="P18" s="4">
        <v>1</v>
      </c>
      <c r="Q18" s="4">
        <v>0.7202797202797202</v>
      </c>
      <c r="R18" s="4">
        <v>0.4989561586638831</v>
      </c>
      <c r="S18" s="4">
        <v>1</v>
      </c>
      <c r="T18" s="4">
        <v>0.74328710534080844</v>
      </c>
      <c r="U18" s="4"/>
      <c r="V18" s="4"/>
      <c r="W18" s="4"/>
    </row>
    <row r="19" spans="1:23" x14ac:dyDescent="0.75">
      <c r="A19" s="3" t="s">
        <v>53</v>
      </c>
      <c r="B19" s="4">
        <v>0.3174603174603175</v>
      </c>
      <c r="C19" s="4">
        <v>0.2162162162162162</v>
      </c>
      <c r="D19" s="4">
        <v>0.27169811320754716</v>
      </c>
      <c r="E19" s="4">
        <v>0.10025062656641603</v>
      </c>
      <c r="F19" s="4">
        <v>0.32586558044806518</v>
      </c>
      <c r="G19" s="4">
        <v>0.26354319180087848</v>
      </c>
      <c r="H19" s="4">
        <v>0.2394253790901836</v>
      </c>
      <c r="I19" s="4">
        <v>0.32697547683923706</v>
      </c>
      <c r="J19" s="4">
        <v>0.28346456692913385</v>
      </c>
      <c r="K19" s="4">
        <v>0.4870848708487085</v>
      </c>
      <c r="L19" s="4">
        <v>0.28786840301576422</v>
      </c>
      <c r="M19" s="4">
        <v>0.27379400260756193</v>
      </c>
      <c r="N19" s="4">
        <v>0.39058587881822737</v>
      </c>
      <c r="O19" s="4">
        <v>0.21818181818181817</v>
      </c>
      <c r="P19" s="4">
        <v>0.18972332015810275</v>
      </c>
      <c r="Q19" s="4">
        <v>0.25459688826025456</v>
      </c>
      <c r="R19" s="4">
        <v>0.10025062656641603</v>
      </c>
      <c r="S19" s="4">
        <v>0.4870848708487085</v>
      </c>
      <c r="T19" s="4">
        <v>0.28453038674033149</v>
      </c>
      <c r="U19" s="4"/>
      <c r="V19" s="4"/>
      <c r="W19" s="4"/>
    </row>
    <row r="20" spans="1:23" x14ac:dyDescent="0.75">
      <c r="A20" s="3" t="s">
        <v>54</v>
      </c>
      <c r="B20" s="4">
        <v>0.68253968253968256</v>
      </c>
      <c r="C20" s="4">
        <v>0.78378378378378388</v>
      </c>
      <c r="D20" s="4">
        <v>0.728301886792453</v>
      </c>
      <c r="E20" s="4">
        <v>0.89974937343358397</v>
      </c>
      <c r="F20" s="4">
        <v>0.67413441955193476</v>
      </c>
      <c r="G20" s="4">
        <v>0.73645680819912163</v>
      </c>
      <c r="H20" s="4">
        <v>0.76057462090981653</v>
      </c>
      <c r="I20" s="4">
        <v>0.673024523160763</v>
      </c>
      <c r="J20" s="4">
        <v>0.7165354330708662</v>
      </c>
      <c r="K20" s="4">
        <v>0.51291512915129145</v>
      </c>
      <c r="L20" s="4">
        <v>0.71213159698423578</v>
      </c>
      <c r="M20" s="4">
        <v>0.72620599739243807</v>
      </c>
      <c r="N20" s="4">
        <v>0.60941412118177263</v>
      </c>
      <c r="O20" s="4">
        <v>0.78181818181818197</v>
      </c>
      <c r="P20" s="4">
        <v>0.81027667984189733</v>
      </c>
      <c r="Q20" s="4">
        <v>0.74540311173974549</v>
      </c>
      <c r="R20" s="4">
        <v>0.51291512915129145</v>
      </c>
      <c r="S20" s="4">
        <v>0.89974937343358397</v>
      </c>
      <c r="T20" s="4">
        <v>0.71546961325966851</v>
      </c>
      <c r="U20" s="4"/>
      <c r="V20" s="4"/>
      <c r="W20" s="4"/>
    </row>
    <row r="21" spans="1:23" x14ac:dyDescent="0.7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75">
      <c r="A22" s="3" t="s">
        <v>29</v>
      </c>
      <c r="B22" s="4" t="s">
        <v>13</v>
      </c>
      <c r="C22" s="4" t="s">
        <v>14</v>
      </c>
      <c r="D22" s="4" t="s">
        <v>15</v>
      </c>
      <c r="E22" s="4" t="s">
        <v>16</v>
      </c>
      <c r="F22" s="4" t="s">
        <v>17</v>
      </c>
      <c r="G22" s="4" t="s">
        <v>18</v>
      </c>
      <c r="H22" s="4" t="s">
        <v>19</v>
      </c>
      <c r="I22" s="4" t="s">
        <v>20</v>
      </c>
      <c r="J22" s="4" t="s">
        <v>21</v>
      </c>
      <c r="K22" s="4" t="s">
        <v>22</v>
      </c>
      <c r="L22" s="4" t="s">
        <v>23</v>
      </c>
      <c r="M22" s="4" t="s">
        <v>24</v>
      </c>
      <c r="N22" s="4" t="s">
        <v>25</v>
      </c>
      <c r="O22" s="4" t="s">
        <v>26</v>
      </c>
      <c r="P22" s="4" t="s">
        <v>27</v>
      </c>
      <c r="Q22" s="4" t="s">
        <v>28</v>
      </c>
      <c r="R22" s="4" t="s">
        <v>30</v>
      </c>
      <c r="S22" s="4" t="s">
        <v>31</v>
      </c>
      <c r="T22" s="4" t="s">
        <v>32</v>
      </c>
      <c r="U22" s="4" t="s">
        <v>33</v>
      </c>
      <c r="V22" s="4" t="s">
        <v>34</v>
      </c>
      <c r="W22" s="4" t="s">
        <v>35</v>
      </c>
    </row>
    <row r="23" spans="1:23" x14ac:dyDescent="0.75">
      <c r="A23" s="3" t="s">
        <v>0</v>
      </c>
      <c r="B23" s="4">
        <v>-3</v>
      </c>
      <c r="C23" s="4">
        <v>18.100000000000001</v>
      </c>
      <c r="D23" s="4">
        <v>19.100000000000001</v>
      </c>
      <c r="E23" s="4">
        <v>29.3</v>
      </c>
      <c r="F23" s="4">
        <v>32.9</v>
      </c>
      <c r="G23" s="4">
        <v>17.100000000000001</v>
      </c>
      <c r="H23" s="4">
        <v>31.7</v>
      </c>
      <c r="I23" s="4">
        <v>22.7</v>
      </c>
      <c r="J23" s="4">
        <v>22.4</v>
      </c>
      <c r="K23" s="4">
        <v>18.600000000000001</v>
      </c>
      <c r="L23" s="4">
        <v>7.9</v>
      </c>
      <c r="M23" s="4">
        <v>15.5</v>
      </c>
      <c r="N23" s="4">
        <v>45.6</v>
      </c>
      <c r="O23" s="4">
        <v>11.1</v>
      </c>
      <c r="P23" s="4">
        <v>22.5</v>
      </c>
      <c r="Q23" s="4">
        <v>19.5</v>
      </c>
      <c r="R23" s="4">
        <v>-3</v>
      </c>
      <c r="S23" s="4">
        <v>45.6</v>
      </c>
      <c r="T23" s="4">
        <v>20.6875</v>
      </c>
      <c r="U23" s="4">
        <v>10.74359547591029</v>
      </c>
      <c r="V23" s="4">
        <v>331</v>
      </c>
      <c r="W23" s="4">
        <v>0.22152322312943384</v>
      </c>
    </row>
    <row r="24" spans="1:23" x14ac:dyDescent="0.75">
      <c r="A24" s="3" t="s">
        <v>55</v>
      </c>
      <c r="B24" s="4">
        <v>7</v>
      </c>
      <c r="C24" s="4">
        <v>3.3</v>
      </c>
      <c r="D24" s="4">
        <v>16.2</v>
      </c>
      <c r="E24" s="4">
        <v>6.9</v>
      </c>
      <c r="F24" s="4">
        <v>6.9</v>
      </c>
      <c r="G24" s="4">
        <v>16.7</v>
      </c>
      <c r="H24" s="4">
        <v>8.1</v>
      </c>
      <c r="I24" s="4">
        <v>7.7</v>
      </c>
      <c r="J24" s="4">
        <v>5.0999999999999996</v>
      </c>
      <c r="K24" s="4">
        <v>18.5</v>
      </c>
      <c r="L24" s="4">
        <v>7.2</v>
      </c>
      <c r="M24" s="4">
        <v>11.7</v>
      </c>
      <c r="N24" s="4">
        <v>8.9</v>
      </c>
      <c r="O24" s="4">
        <v>5.7</v>
      </c>
      <c r="P24" s="4">
        <v>22.6</v>
      </c>
      <c r="Q24" s="4">
        <v>6.8</v>
      </c>
      <c r="R24" s="4">
        <v>3.3</v>
      </c>
      <c r="S24" s="4">
        <v>22.6</v>
      </c>
      <c r="T24" s="4">
        <v>9.9562500000000007</v>
      </c>
      <c r="U24" s="4">
        <v>5.36772399975073</v>
      </c>
      <c r="V24" s="4">
        <v>159.30000000000001</v>
      </c>
      <c r="W24" s="4">
        <v>0.10661223397135591</v>
      </c>
    </row>
    <row r="25" spans="1:23" x14ac:dyDescent="0.75">
      <c r="A25" s="3" t="s">
        <v>56</v>
      </c>
      <c r="B25" s="4">
        <v>9</v>
      </c>
      <c r="C25" s="4">
        <v>6.4</v>
      </c>
      <c r="D25" s="4">
        <v>2.6</v>
      </c>
      <c r="E25" s="4">
        <v>5.9</v>
      </c>
      <c r="F25" s="4">
        <v>6.9</v>
      </c>
      <c r="G25" s="4">
        <v>17.399999999999999</v>
      </c>
      <c r="H25" s="4">
        <v>3.4</v>
      </c>
      <c r="I25" s="4">
        <v>6.1</v>
      </c>
      <c r="J25" s="4">
        <v>17.899999999999999</v>
      </c>
      <c r="K25" s="4">
        <v>5.2</v>
      </c>
      <c r="L25" s="4">
        <v>10.6</v>
      </c>
      <c r="M25" s="4">
        <v>10.7</v>
      </c>
      <c r="N25" s="4">
        <v>13.4</v>
      </c>
      <c r="O25" s="4">
        <v>6.8</v>
      </c>
      <c r="P25" s="4">
        <v>9.9</v>
      </c>
      <c r="Q25" s="4">
        <v>12.3</v>
      </c>
      <c r="R25" s="4">
        <v>2.6</v>
      </c>
      <c r="S25" s="4">
        <v>17.899999999999999</v>
      </c>
      <c r="T25" s="4">
        <v>9.03125</v>
      </c>
      <c r="U25" s="4">
        <v>4.3807417679543699</v>
      </c>
      <c r="V25" s="4">
        <v>144.5</v>
      </c>
      <c r="W25" s="4">
        <v>9.6707268103332883E-2</v>
      </c>
    </row>
    <row r="26" spans="1:23" x14ac:dyDescent="0.75">
      <c r="A26" s="3" t="s">
        <v>57</v>
      </c>
      <c r="B26" s="4">
        <v>12</v>
      </c>
      <c r="C26" s="4">
        <v>14.5</v>
      </c>
      <c r="D26" s="4">
        <v>8.6</v>
      </c>
      <c r="E26" s="4">
        <v>16.3</v>
      </c>
      <c r="F26" s="4">
        <v>8.6999999999999993</v>
      </c>
      <c r="G26" s="4">
        <v>7</v>
      </c>
      <c r="H26" s="4">
        <v>5.6</v>
      </c>
      <c r="I26" s="4">
        <v>8.1</v>
      </c>
      <c r="J26" s="4">
        <v>14.3</v>
      </c>
      <c r="K26" s="4">
        <v>7.4</v>
      </c>
      <c r="L26" s="4">
        <v>34.200000000000003</v>
      </c>
      <c r="M26" s="4">
        <v>28.7</v>
      </c>
      <c r="N26" s="4">
        <v>21.5</v>
      </c>
      <c r="O26" s="4">
        <v>14.1</v>
      </c>
      <c r="P26" s="4">
        <v>7.9</v>
      </c>
      <c r="Q26" s="4">
        <v>8.8000000000000007</v>
      </c>
      <c r="R26" s="4">
        <v>5.6</v>
      </c>
      <c r="S26" s="4">
        <v>34.200000000000003</v>
      </c>
      <c r="T26" s="4">
        <v>13.606249999999999</v>
      </c>
      <c r="U26" s="4">
        <v>7.9331951909366252</v>
      </c>
      <c r="V26" s="4">
        <v>217.7</v>
      </c>
      <c r="W26" s="4">
        <v>0.14569669388301432</v>
      </c>
    </row>
    <row r="27" spans="1:23" x14ac:dyDescent="0.75">
      <c r="A27" s="3" t="s">
        <v>58</v>
      </c>
      <c r="B27" s="4">
        <v>23.3</v>
      </c>
      <c r="C27" s="4">
        <v>6.9</v>
      </c>
      <c r="D27" s="4">
        <v>17.5</v>
      </c>
      <c r="E27" s="4">
        <v>6</v>
      </c>
      <c r="F27" s="4">
        <v>14.8</v>
      </c>
      <c r="G27" s="4">
        <v>5</v>
      </c>
      <c r="H27" s="4">
        <v>22.2</v>
      </c>
      <c r="I27" s="4">
        <v>2.8</v>
      </c>
      <c r="J27" s="4">
        <v>5.6</v>
      </c>
      <c r="K27" s="4">
        <v>18.2</v>
      </c>
      <c r="L27" s="4">
        <v>6.7</v>
      </c>
      <c r="M27" s="4">
        <v>9.8000000000000007</v>
      </c>
      <c r="N27" s="4">
        <v>10.1</v>
      </c>
      <c r="O27" s="4">
        <v>4.9000000000000004</v>
      </c>
      <c r="P27" s="4">
        <v>7.2</v>
      </c>
      <c r="Q27" s="4">
        <v>16.5</v>
      </c>
      <c r="R27" s="4">
        <v>2.8</v>
      </c>
      <c r="S27" s="4">
        <v>23.3</v>
      </c>
      <c r="T27" s="4">
        <v>11.09375</v>
      </c>
      <c r="U27" s="4">
        <v>6.4321913791102316</v>
      </c>
      <c r="V27" s="4">
        <v>177.5</v>
      </c>
      <c r="W27" s="4">
        <v>0.11879266497122204</v>
      </c>
    </row>
    <row r="28" spans="1:23" x14ac:dyDescent="0.75">
      <c r="A28" s="3" t="s">
        <v>59</v>
      </c>
      <c r="B28" s="4">
        <v>2.2999999999999998</v>
      </c>
      <c r="C28" s="4">
        <v>0.6</v>
      </c>
      <c r="D28" s="4">
        <v>2.6</v>
      </c>
      <c r="E28" s="4">
        <v>8.1</v>
      </c>
      <c r="F28" s="4">
        <v>12.7</v>
      </c>
      <c r="G28" s="4">
        <v>12.5</v>
      </c>
      <c r="H28" s="4">
        <v>12.6</v>
      </c>
      <c r="I28" s="4">
        <v>17.899999999999999</v>
      </c>
      <c r="J28" s="4">
        <v>8.4</v>
      </c>
      <c r="K28" s="4">
        <v>17.7</v>
      </c>
      <c r="L28" s="4">
        <v>17.3</v>
      </c>
      <c r="M28" s="4">
        <v>10.9</v>
      </c>
      <c r="N28" s="4">
        <v>10.1</v>
      </c>
      <c r="O28" s="4">
        <v>0</v>
      </c>
      <c r="P28" s="4">
        <v>0.4</v>
      </c>
      <c r="Q28" s="4">
        <v>6.8</v>
      </c>
      <c r="R28" s="4">
        <v>0</v>
      </c>
      <c r="S28" s="4">
        <v>17.899999999999999</v>
      </c>
      <c r="T28" s="4">
        <v>8.8062500000000021</v>
      </c>
      <c r="U28" s="4">
        <v>6.0430196042624225</v>
      </c>
      <c r="V28" s="4">
        <v>140.90000000000003</v>
      </c>
      <c r="W28" s="4">
        <v>9.4297952081381364E-2</v>
      </c>
    </row>
    <row r="29" spans="1:23" x14ac:dyDescent="0.75">
      <c r="A29" s="3" t="s">
        <v>60</v>
      </c>
      <c r="B29" s="4">
        <v>14</v>
      </c>
      <c r="C29" s="4">
        <v>11.5</v>
      </c>
      <c r="D29" s="4">
        <v>24.4</v>
      </c>
      <c r="E29" s="4">
        <v>12.5</v>
      </c>
      <c r="F29" s="4">
        <v>19</v>
      </c>
      <c r="G29" s="4">
        <v>0</v>
      </c>
      <c r="H29" s="4">
        <v>9.1999999999999993</v>
      </c>
      <c r="I29" s="4">
        <v>6.6</v>
      </c>
      <c r="J29" s="4">
        <v>10.3</v>
      </c>
      <c r="K29" s="4">
        <v>1.9</v>
      </c>
      <c r="L29" s="4">
        <v>11.9</v>
      </c>
      <c r="M29" s="4">
        <v>8.9</v>
      </c>
      <c r="N29" s="4">
        <v>33.5</v>
      </c>
      <c r="O29" s="4">
        <v>9.5</v>
      </c>
      <c r="P29" s="4">
        <v>17.3</v>
      </c>
      <c r="Q29" s="4">
        <v>13.8</v>
      </c>
      <c r="R29" s="4">
        <v>0</v>
      </c>
      <c r="S29" s="4">
        <v>33.5</v>
      </c>
      <c r="T29" s="4">
        <v>12.768750000000002</v>
      </c>
      <c r="U29" s="4">
        <v>7.8785879723145777</v>
      </c>
      <c r="V29" s="4">
        <v>204.30000000000004</v>
      </c>
      <c r="W29" s="4">
        <v>0.13672868424575027</v>
      </c>
    </row>
    <row r="30" spans="1:23" x14ac:dyDescent="0.75">
      <c r="A30" s="3" t="s">
        <v>61</v>
      </c>
      <c r="B30" s="4">
        <v>29</v>
      </c>
      <c r="C30" s="4">
        <v>18</v>
      </c>
      <c r="D30" s="4">
        <v>1</v>
      </c>
      <c r="E30" s="4">
        <v>-4</v>
      </c>
      <c r="F30" s="4">
        <v>2</v>
      </c>
      <c r="G30" s="4">
        <v>4</v>
      </c>
      <c r="H30" s="4">
        <v>13</v>
      </c>
      <c r="I30" s="4">
        <v>3</v>
      </c>
      <c r="J30" s="4">
        <v>6</v>
      </c>
      <c r="K30" s="4">
        <v>11</v>
      </c>
      <c r="L30" s="4">
        <v>8</v>
      </c>
      <c r="M30" s="4">
        <v>2</v>
      </c>
      <c r="N30" s="4">
        <v>-4</v>
      </c>
      <c r="O30" s="4">
        <v>10</v>
      </c>
      <c r="P30" s="4">
        <v>6</v>
      </c>
      <c r="Q30" s="4">
        <v>14</v>
      </c>
      <c r="R30" s="4">
        <v>-4</v>
      </c>
      <c r="S30" s="4">
        <v>29</v>
      </c>
      <c r="T30" s="4">
        <v>7.4375</v>
      </c>
      <c r="U30" s="4">
        <v>8.1698282570688114</v>
      </c>
      <c r="V30" s="4">
        <v>119</v>
      </c>
      <c r="W30" s="4">
        <v>7.9641279614509439E-2</v>
      </c>
    </row>
    <row r="31" spans="1:23" x14ac:dyDescent="0.7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48E73-094E-4855-9AF8-D7ED05460B68}">
  <sheetPr codeName="Sheet12"/>
  <dimension ref="A1:W31"/>
  <sheetViews>
    <sheetView workbookViewId="0">
      <selection activeCell="A2" sqref="A2:W31"/>
    </sheetView>
  </sheetViews>
  <sheetFormatPr defaultRowHeight="14.75" x14ac:dyDescent="0.75"/>
  <cols>
    <col min="1" max="1" width="27.90625" bestFit="1" customWidth="1"/>
    <col min="2" max="10" width="11.6796875" bestFit="1" customWidth="1"/>
    <col min="11" max="17" width="12.453125" bestFit="1" customWidth="1"/>
    <col min="18" max="19" width="11.6796875" bestFit="1" customWidth="1"/>
    <col min="20" max="20" width="12.08984375" bestFit="1" customWidth="1"/>
    <col min="21" max="22" width="11.6796875" bestFit="1" customWidth="1"/>
    <col min="23" max="23" width="14.54296875" bestFit="1" customWidth="1"/>
  </cols>
  <sheetData>
    <row r="1" spans="1:23" x14ac:dyDescent="0.75">
      <c r="A1" s="3" t="s">
        <v>29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27</v>
      </c>
      <c r="Q1" s="3" t="s">
        <v>28</v>
      </c>
      <c r="R1" s="3" t="s">
        <v>30</v>
      </c>
      <c r="S1" s="3" t="s">
        <v>31</v>
      </c>
      <c r="T1" s="3" t="s">
        <v>32</v>
      </c>
      <c r="U1" s="3" t="s">
        <v>33</v>
      </c>
      <c r="V1" s="3" t="s">
        <v>34</v>
      </c>
      <c r="W1" s="3" t="s">
        <v>35</v>
      </c>
    </row>
    <row r="2" spans="1:23" x14ac:dyDescent="0.75">
      <c r="A2" s="3" t="s">
        <v>36</v>
      </c>
      <c r="B2" s="3">
        <v>86.5</v>
      </c>
      <c r="C2" s="3">
        <v>75.099999999999994</v>
      </c>
      <c r="D2" s="3">
        <v>129.80000000000001</v>
      </c>
      <c r="E2" s="3">
        <v>97.100000000000023</v>
      </c>
      <c r="F2" s="3">
        <v>70.900000000000006</v>
      </c>
      <c r="G2" s="3">
        <v>117.4</v>
      </c>
      <c r="H2" s="3">
        <v>110</v>
      </c>
      <c r="I2" s="3">
        <v>96.399999999999977</v>
      </c>
      <c r="J2" s="3">
        <v>99.8</v>
      </c>
      <c r="K2" s="3">
        <v>83.600000000000023</v>
      </c>
      <c r="L2" s="3">
        <v>116.5</v>
      </c>
      <c r="M2" s="3">
        <v>89</v>
      </c>
      <c r="N2" s="3">
        <v>121</v>
      </c>
      <c r="O2" s="3">
        <v>92.600000000000023</v>
      </c>
      <c r="P2" s="3">
        <v>75.599999999999994</v>
      </c>
      <c r="Q2" s="3">
        <v>70.300000000000011</v>
      </c>
      <c r="R2" s="3">
        <v>70.300000000000011</v>
      </c>
      <c r="S2" s="3">
        <v>129.80000000000001</v>
      </c>
      <c r="T2" s="3">
        <v>95.72499999999998</v>
      </c>
      <c r="U2" s="3">
        <v>18.207639193481462</v>
      </c>
      <c r="V2" s="3">
        <v>1531.5999999999997</v>
      </c>
      <c r="W2" s="3">
        <v>0.69403661410186679</v>
      </c>
    </row>
    <row r="3" spans="1:23" x14ac:dyDescent="0.75">
      <c r="A3" s="3" t="s">
        <v>37</v>
      </c>
      <c r="B3" s="3">
        <v>44.7</v>
      </c>
      <c r="C3" s="3">
        <v>46.2</v>
      </c>
      <c r="D3" s="3">
        <v>35.799999999999997</v>
      </c>
      <c r="E3" s="3">
        <v>22.4</v>
      </c>
      <c r="F3" s="3">
        <v>44.7</v>
      </c>
      <c r="G3" s="3">
        <v>44.599999999999994</v>
      </c>
      <c r="H3" s="3">
        <v>27.700000000000003</v>
      </c>
      <c r="I3" s="3">
        <v>15.8</v>
      </c>
      <c r="J3" s="3">
        <v>40</v>
      </c>
      <c r="K3" s="3">
        <v>38.700000000000003</v>
      </c>
      <c r="L3" s="3">
        <v>52.5</v>
      </c>
      <c r="M3" s="3">
        <v>113.4</v>
      </c>
      <c r="N3" s="3">
        <v>43</v>
      </c>
      <c r="O3" s="3">
        <v>22.9</v>
      </c>
      <c r="P3" s="3">
        <v>44.6</v>
      </c>
      <c r="Q3" s="3">
        <v>38.200000000000003</v>
      </c>
      <c r="R3" s="3">
        <v>15.8</v>
      </c>
      <c r="S3" s="3">
        <v>113.4</v>
      </c>
      <c r="T3" s="3">
        <v>42.2</v>
      </c>
      <c r="U3" s="3">
        <v>20.859620082829892</v>
      </c>
      <c r="V3" s="3">
        <v>675.2</v>
      </c>
      <c r="W3" s="3">
        <v>0.30596338589813304</v>
      </c>
    </row>
    <row r="4" spans="1:23" x14ac:dyDescent="0.75">
      <c r="A4" s="3" t="s">
        <v>38</v>
      </c>
      <c r="B4" s="3">
        <v>131.19999999999999</v>
      </c>
      <c r="C4" s="3">
        <v>121.3</v>
      </c>
      <c r="D4" s="3">
        <v>165.60000000000002</v>
      </c>
      <c r="E4" s="3">
        <v>119.5</v>
      </c>
      <c r="F4" s="3">
        <v>115.6</v>
      </c>
      <c r="G4" s="3">
        <v>162</v>
      </c>
      <c r="H4" s="3">
        <v>137.69999999999999</v>
      </c>
      <c r="I4" s="3">
        <v>112.2</v>
      </c>
      <c r="J4" s="3">
        <v>139.80000000000001</v>
      </c>
      <c r="K4" s="3">
        <v>122.3</v>
      </c>
      <c r="L4" s="3">
        <v>169</v>
      </c>
      <c r="M4" s="3">
        <v>202.4</v>
      </c>
      <c r="N4" s="3">
        <v>164</v>
      </c>
      <c r="O4" s="3">
        <v>115.50000000000004</v>
      </c>
      <c r="P4" s="3">
        <v>120.2</v>
      </c>
      <c r="Q4" s="3">
        <v>108.5</v>
      </c>
      <c r="R4" s="3">
        <v>108.5</v>
      </c>
      <c r="S4" s="3">
        <v>202.4</v>
      </c>
      <c r="T4" s="3">
        <v>137.92500000000001</v>
      </c>
      <c r="U4" s="3">
        <v>26.100730353765933</v>
      </c>
      <c r="V4" s="3">
        <v>2206.8000000000002</v>
      </c>
      <c r="W4" s="3" t="s">
        <v>39</v>
      </c>
    </row>
    <row r="5" spans="1:23" x14ac:dyDescent="0.75">
      <c r="A5" s="3" t="s">
        <v>40</v>
      </c>
      <c r="B5" s="3" t="s">
        <v>39</v>
      </c>
      <c r="C5" s="3">
        <v>2</v>
      </c>
      <c r="D5" s="3">
        <v>2</v>
      </c>
      <c r="E5" s="3">
        <v>2</v>
      </c>
      <c r="F5" s="3">
        <v>1</v>
      </c>
      <c r="G5" s="3">
        <v>3</v>
      </c>
      <c r="H5" s="3">
        <v>2</v>
      </c>
      <c r="I5" s="3">
        <v>4</v>
      </c>
      <c r="J5" s="3">
        <v>5</v>
      </c>
      <c r="K5" s="3">
        <v>3</v>
      </c>
      <c r="L5" s="3">
        <v>3</v>
      </c>
      <c r="M5" s="3">
        <v>1</v>
      </c>
      <c r="N5" s="3">
        <v>2</v>
      </c>
      <c r="O5" s="3">
        <v>0</v>
      </c>
      <c r="P5" s="3">
        <v>1</v>
      </c>
      <c r="Q5" s="3">
        <v>0</v>
      </c>
      <c r="R5" s="3">
        <v>0</v>
      </c>
      <c r="S5" s="3">
        <v>5</v>
      </c>
      <c r="T5" s="3">
        <v>2.0666666666666669</v>
      </c>
      <c r="U5" s="3">
        <v>1.3399834161494519</v>
      </c>
      <c r="V5" s="3">
        <v>31</v>
      </c>
      <c r="W5" s="3" t="s">
        <v>39</v>
      </c>
    </row>
    <row r="6" spans="1:23" x14ac:dyDescent="0.75">
      <c r="A6" s="3" t="s">
        <v>41</v>
      </c>
      <c r="B6" s="3" t="s">
        <v>39</v>
      </c>
      <c r="C6" s="3">
        <v>2</v>
      </c>
      <c r="D6" s="3">
        <v>0</v>
      </c>
      <c r="E6" s="3">
        <v>0</v>
      </c>
      <c r="F6" s="3">
        <v>1</v>
      </c>
      <c r="G6" s="3">
        <v>2</v>
      </c>
      <c r="H6" s="3">
        <v>0</v>
      </c>
      <c r="I6" s="3">
        <v>2</v>
      </c>
      <c r="J6" s="3">
        <v>1</v>
      </c>
      <c r="K6" s="3">
        <v>1</v>
      </c>
      <c r="L6" s="3">
        <v>2</v>
      </c>
      <c r="M6" s="3">
        <v>0</v>
      </c>
      <c r="N6" s="3">
        <v>0</v>
      </c>
      <c r="O6" s="3">
        <v>0</v>
      </c>
      <c r="P6" s="3">
        <v>1</v>
      </c>
      <c r="Q6" s="3">
        <v>0</v>
      </c>
      <c r="R6" s="3">
        <v>0</v>
      </c>
      <c r="S6" s="3">
        <v>2</v>
      </c>
      <c r="T6" s="3">
        <v>0.8</v>
      </c>
      <c r="U6" s="3">
        <v>0.83266639978645307</v>
      </c>
      <c r="V6" s="3">
        <v>12</v>
      </c>
      <c r="W6" s="3" t="s">
        <v>39</v>
      </c>
    </row>
    <row r="7" spans="1:23" x14ac:dyDescent="0.75">
      <c r="A7" s="3" t="s">
        <v>42</v>
      </c>
      <c r="B7" s="3">
        <v>4</v>
      </c>
      <c r="C7" s="3">
        <v>4</v>
      </c>
      <c r="D7" s="3">
        <v>3</v>
      </c>
      <c r="E7" s="3">
        <v>2</v>
      </c>
      <c r="F7" s="3">
        <v>5</v>
      </c>
      <c r="G7" s="3">
        <v>4</v>
      </c>
      <c r="H7" s="3">
        <v>4</v>
      </c>
      <c r="I7" s="3">
        <v>1</v>
      </c>
      <c r="J7" s="3">
        <v>2</v>
      </c>
      <c r="K7" s="3">
        <v>3</v>
      </c>
      <c r="L7" s="3">
        <v>3</v>
      </c>
      <c r="M7" s="3">
        <v>6</v>
      </c>
      <c r="N7" s="3">
        <v>2</v>
      </c>
      <c r="O7" s="3">
        <v>3</v>
      </c>
      <c r="P7" s="3">
        <v>3</v>
      </c>
      <c r="Q7" s="3">
        <v>5</v>
      </c>
      <c r="R7" s="3">
        <v>1</v>
      </c>
      <c r="S7" s="3">
        <v>6</v>
      </c>
      <c r="T7" s="3">
        <v>3.375</v>
      </c>
      <c r="U7" s="3">
        <v>1.2686114456365274</v>
      </c>
      <c r="V7" s="3">
        <v>54</v>
      </c>
      <c r="W7" s="3" t="s">
        <v>39</v>
      </c>
    </row>
    <row r="8" spans="1:23" x14ac:dyDescent="0.75">
      <c r="A8" s="3" t="s">
        <v>43</v>
      </c>
      <c r="B8" s="3">
        <v>107.1</v>
      </c>
      <c r="C8" s="3">
        <v>98.8</v>
      </c>
      <c r="D8" s="3">
        <v>146.6</v>
      </c>
      <c r="E8" s="3">
        <v>101.5</v>
      </c>
      <c r="F8" s="3">
        <v>102.4</v>
      </c>
      <c r="G8" s="3">
        <v>146.6</v>
      </c>
      <c r="H8" s="3">
        <v>125.8</v>
      </c>
      <c r="I8" s="3">
        <v>108.1</v>
      </c>
      <c r="J8" s="3">
        <v>119.4</v>
      </c>
      <c r="K8" s="3">
        <v>111.2</v>
      </c>
      <c r="L8" s="3">
        <v>135</v>
      </c>
      <c r="M8" s="3">
        <v>158.79999999999998</v>
      </c>
      <c r="N8" s="3">
        <v>140.9</v>
      </c>
      <c r="O8" s="3">
        <v>99.800000000000011</v>
      </c>
      <c r="P8" s="3">
        <v>106.1</v>
      </c>
      <c r="Q8" s="3">
        <v>84.3</v>
      </c>
      <c r="R8" s="3">
        <v>84.3</v>
      </c>
      <c r="S8" s="3">
        <v>158.79999999999998</v>
      </c>
      <c r="T8" s="3">
        <v>118.27500000000001</v>
      </c>
      <c r="U8" s="3">
        <v>20.813772483622522</v>
      </c>
      <c r="V8" s="3">
        <v>1892.4</v>
      </c>
      <c r="W8" s="3" t="s">
        <v>39</v>
      </c>
    </row>
    <row r="9" spans="1:23" x14ac:dyDescent="0.75">
      <c r="A9" s="3" t="s">
        <v>44</v>
      </c>
      <c r="B9" s="4">
        <v>0.80765639589169003</v>
      </c>
      <c r="C9" s="4">
        <v>0.76012145748987836</v>
      </c>
      <c r="D9" s="4">
        <v>0.88540245566166453</v>
      </c>
      <c r="E9" s="4">
        <v>0.95665024630541884</v>
      </c>
      <c r="F9" s="4">
        <v>0.6923828125</v>
      </c>
      <c r="G9" s="4">
        <v>0.80081855388813084</v>
      </c>
      <c r="H9" s="4">
        <v>0.87440381558028624</v>
      </c>
      <c r="I9" s="4">
        <v>0.89176688251618863</v>
      </c>
      <c r="J9" s="4">
        <v>0.83584589614740357</v>
      </c>
      <c r="K9" s="4">
        <v>0.75179856115107924</v>
      </c>
      <c r="L9" s="4">
        <v>0.86296296296296293</v>
      </c>
      <c r="M9" s="4">
        <v>0.56045340050377834</v>
      </c>
      <c r="N9" s="4">
        <v>0.858765081618169</v>
      </c>
      <c r="O9" s="4">
        <v>0.92785571142284573</v>
      </c>
      <c r="P9" s="4">
        <v>0.71253534401508012</v>
      </c>
      <c r="Q9" s="4">
        <v>0.8339264531435352</v>
      </c>
      <c r="R9" s="4">
        <v>0.56045340050377834</v>
      </c>
      <c r="S9" s="4">
        <v>0.95665024630541884</v>
      </c>
      <c r="T9" s="4">
        <v>0.81333412692488172</v>
      </c>
      <c r="U9" s="4" t="s">
        <v>39</v>
      </c>
      <c r="V9" s="4">
        <v>0.80934263369266524</v>
      </c>
      <c r="W9" s="4">
        <v>0</v>
      </c>
    </row>
    <row r="10" spans="1:23" x14ac:dyDescent="0.7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75">
      <c r="A11" s="3" t="s">
        <v>45</v>
      </c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  <c r="I11" s="4" t="s">
        <v>20</v>
      </c>
      <c r="J11" s="4" t="s">
        <v>21</v>
      </c>
      <c r="K11" s="4" t="s">
        <v>22</v>
      </c>
      <c r="L11" s="4" t="s">
        <v>23</v>
      </c>
      <c r="M11" s="4" t="s">
        <v>24</v>
      </c>
      <c r="N11" s="4" t="s">
        <v>25</v>
      </c>
      <c r="O11" s="4" t="s">
        <v>26</v>
      </c>
      <c r="P11" s="4" t="s">
        <v>27</v>
      </c>
      <c r="Q11" s="4" t="s">
        <v>28</v>
      </c>
      <c r="R11" s="4" t="s">
        <v>30</v>
      </c>
      <c r="S11" s="4" t="s">
        <v>31</v>
      </c>
      <c r="T11" s="4" t="s">
        <v>32</v>
      </c>
      <c r="U11" s="4" t="s">
        <v>33</v>
      </c>
      <c r="V11" s="4" t="s">
        <v>34</v>
      </c>
      <c r="W11" s="4" t="s">
        <v>35</v>
      </c>
    </row>
    <row r="12" spans="1:23" x14ac:dyDescent="0.75">
      <c r="A12" s="3" t="s">
        <v>46</v>
      </c>
      <c r="B12" s="4">
        <v>2</v>
      </c>
      <c r="C12" s="4">
        <v>4</v>
      </c>
      <c r="D12" s="4">
        <v>7</v>
      </c>
      <c r="E12" s="4">
        <v>4</v>
      </c>
      <c r="F12" s="4">
        <v>4</v>
      </c>
      <c r="G12" s="4">
        <v>8</v>
      </c>
      <c r="H12" s="4">
        <v>5</v>
      </c>
      <c r="I12" s="4">
        <v>3</v>
      </c>
      <c r="J12" s="4">
        <v>6</v>
      </c>
      <c r="K12" s="4">
        <v>5</v>
      </c>
      <c r="L12" s="4">
        <v>6</v>
      </c>
      <c r="M12" s="4">
        <v>8</v>
      </c>
      <c r="N12" s="4">
        <v>5</v>
      </c>
      <c r="O12" s="4">
        <v>4</v>
      </c>
      <c r="P12" s="4">
        <v>1</v>
      </c>
      <c r="Q12" s="4">
        <v>3</v>
      </c>
      <c r="R12" s="4">
        <v>1</v>
      </c>
      <c r="S12" s="4">
        <v>8</v>
      </c>
      <c r="T12" s="4">
        <v>4.6875</v>
      </c>
      <c r="U12" s="4">
        <v>1.9273929931386593</v>
      </c>
      <c r="V12" s="4">
        <v>75</v>
      </c>
      <c r="W12" s="4">
        <v>0.72115384615384603</v>
      </c>
    </row>
    <row r="13" spans="1:23" x14ac:dyDescent="0.75">
      <c r="A13" s="3" t="s">
        <v>47</v>
      </c>
      <c r="B13" s="4">
        <v>2</v>
      </c>
      <c r="C13" s="4">
        <v>3</v>
      </c>
      <c r="D13" s="4">
        <v>1</v>
      </c>
      <c r="E13" s="4">
        <v>0</v>
      </c>
      <c r="F13" s="4">
        <v>1</v>
      </c>
      <c r="G13" s="4">
        <v>3</v>
      </c>
      <c r="H13" s="4">
        <v>1</v>
      </c>
      <c r="I13" s="4">
        <v>0</v>
      </c>
      <c r="J13" s="4">
        <v>2</v>
      </c>
      <c r="K13" s="4">
        <v>2</v>
      </c>
      <c r="L13" s="4">
        <v>3</v>
      </c>
      <c r="M13" s="4">
        <v>7</v>
      </c>
      <c r="N13" s="4">
        <v>2</v>
      </c>
      <c r="O13" s="4">
        <v>0</v>
      </c>
      <c r="P13" s="4">
        <v>1</v>
      </c>
      <c r="Q13" s="4">
        <v>1</v>
      </c>
      <c r="R13" s="4">
        <v>0</v>
      </c>
      <c r="S13" s="4">
        <v>7</v>
      </c>
      <c r="T13" s="4">
        <v>1.8125</v>
      </c>
      <c r="U13" s="4">
        <v>1.6665364532466729</v>
      </c>
      <c r="V13" s="4">
        <v>29</v>
      </c>
      <c r="W13" s="4">
        <v>0.27884615384615385</v>
      </c>
    </row>
    <row r="14" spans="1:23" x14ac:dyDescent="0.75">
      <c r="A14" s="3" t="s">
        <v>48</v>
      </c>
      <c r="B14" s="4">
        <v>4</v>
      </c>
      <c r="C14" s="4">
        <v>7</v>
      </c>
      <c r="D14" s="4">
        <v>8</v>
      </c>
      <c r="E14" s="4">
        <v>4</v>
      </c>
      <c r="F14" s="4">
        <v>5</v>
      </c>
      <c r="G14" s="4">
        <v>11</v>
      </c>
      <c r="H14" s="4">
        <v>6</v>
      </c>
      <c r="I14" s="4">
        <v>3</v>
      </c>
      <c r="J14" s="4">
        <v>8</v>
      </c>
      <c r="K14" s="4">
        <v>7</v>
      </c>
      <c r="L14" s="4">
        <v>9</v>
      </c>
      <c r="M14" s="4">
        <v>15</v>
      </c>
      <c r="N14" s="4">
        <v>7</v>
      </c>
      <c r="O14" s="4">
        <v>4</v>
      </c>
      <c r="P14" s="4">
        <v>2</v>
      </c>
      <c r="Q14" s="4">
        <v>4</v>
      </c>
      <c r="R14" s="4">
        <v>2</v>
      </c>
      <c r="S14" s="4">
        <v>15</v>
      </c>
      <c r="T14" s="4">
        <v>6.5</v>
      </c>
      <c r="U14" s="4">
        <v>3.2015621187164243</v>
      </c>
      <c r="V14" s="4">
        <v>104</v>
      </c>
      <c r="W14" s="4"/>
    </row>
    <row r="15" spans="1:23" x14ac:dyDescent="0.75">
      <c r="A15" s="3" t="s">
        <v>49</v>
      </c>
      <c r="B15" s="4">
        <v>0.13872832369942195</v>
      </c>
      <c r="C15" s="4">
        <v>0.31957390146471376</v>
      </c>
      <c r="D15" s="4">
        <v>0.32357473035439133</v>
      </c>
      <c r="E15" s="4">
        <v>0.24716786817713696</v>
      </c>
      <c r="F15" s="4">
        <v>0.33850493653032437</v>
      </c>
      <c r="G15" s="4">
        <v>0.40885860306643951</v>
      </c>
      <c r="H15" s="4">
        <v>0.27272727272727271</v>
      </c>
      <c r="I15" s="4">
        <v>0.18672199170124479</v>
      </c>
      <c r="J15" s="4">
        <v>0.36072144288577163</v>
      </c>
      <c r="K15" s="4">
        <v>0.35885167464114831</v>
      </c>
      <c r="L15" s="4">
        <v>0.30901287553648071</v>
      </c>
      <c r="M15" s="4">
        <v>0.5393258426966292</v>
      </c>
      <c r="N15" s="4">
        <v>0.24793388429752067</v>
      </c>
      <c r="O15" s="4">
        <v>0.25917926565874722</v>
      </c>
      <c r="P15" s="4">
        <v>7.9365079365079375E-2</v>
      </c>
      <c r="Q15" s="4">
        <v>0.2560455192034139</v>
      </c>
      <c r="R15" s="4">
        <v>7.9365079365079375E-2</v>
      </c>
      <c r="S15" s="4">
        <v>0.5393258426966292</v>
      </c>
      <c r="T15" s="4">
        <v>0.29381039435884049</v>
      </c>
      <c r="U15" s="4"/>
      <c r="V15" s="4"/>
      <c r="W15" s="4"/>
    </row>
    <row r="16" spans="1:23" x14ac:dyDescent="0.75">
      <c r="A16" s="3" t="s">
        <v>50</v>
      </c>
      <c r="B16" s="4">
        <v>0.8612716763005781</v>
      </c>
      <c r="C16" s="4">
        <v>0.68042609853528624</v>
      </c>
      <c r="D16" s="4">
        <v>0.67642526964560867</v>
      </c>
      <c r="E16" s="4">
        <v>0.75283213182286302</v>
      </c>
      <c r="F16" s="4">
        <v>0.66149506346967568</v>
      </c>
      <c r="G16" s="4">
        <v>0.59114139693356038</v>
      </c>
      <c r="H16" s="4">
        <v>0.7272727272727274</v>
      </c>
      <c r="I16" s="4">
        <v>0.81327800829875518</v>
      </c>
      <c r="J16" s="4">
        <v>0.63927855711422843</v>
      </c>
      <c r="K16" s="4">
        <v>0.64114832535885169</v>
      </c>
      <c r="L16" s="4">
        <v>0.69098712446351929</v>
      </c>
      <c r="M16" s="4">
        <v>0.4606741573033708</v>
      </c>
      <c r="N16" s="4">
        <v>0.75206611570247939</v>
      </c>
      <c r="O16" s="4">
        <v>0.74082073434125284</v>
      </c>
      <c r="P16" s="4">
        <v>0.92063492063492069</v>
      </c>
      <c r="Q16" s="4">
        <v>0.7439544807965861</v>
      </c>
      <c r="R16" s="4">
        <v>0.4606741573033708</v>
      </c>
      <c r="S16" s="4">
        <v>0.92063492063492069</v>
      </c>
      <c r="T16" s="4">
        <v>0.70618960564115951</v>
      </c>
      <c r="U16" s="4"/>
      <c r="V16" s="4"/>
      <c r="W16" s="4"/>
    </row>
    <row r="17" spans="1:23" x14ac:dyDescent="0.75">
      <c r="A17" s="3" t="s">
        <v>51</v>
      </c>
      <c r="B17" s="4">
        <v>0.26845637583892618</v>
      </c>
      <c r="C17" s="4">
        <v>0.38961038961038957</v>
      </c>
      <c r="D17" s="4">
        <v>0.16759776536312851</v>
      </c>
      <c r="E17" s="4">
        <v>0</v>
      </c>
      <c r="F17" s="4">
        <v>0.13422818791946309</v>
      </c>
      <c r="G17" s="4">
        <v>0.4035874439461884</v>
      </c>
      <c r="H17" s="4">
        <v>0.21660649819494585</v>
      </c>
      <c r="I17" s="4">
        <v>0</v>
      </c>
      <c r="J17" s="4">
        <v>0.3</v>
      </c>
      <c r="K17" s="4">
        <v>0.31007751937984496</v>
      </c>
      <c r="L17" s="4">
        <v>0.34285714285714286</v>
      </c>
      <c r="M17" s="4">
        <v>0.37037037037037029</v>
      </c>
      <c r="N17" s="4">
        <v>0.27906976744186046</v>
      </c>
      <c r="O17" s="4">
        <v>0</v>
      </c>
      <c r="P17" s="4">
        <v>0.13452914798206278</v>
      </c>
      <c r="Q17" s="4">
        <v>0.15706806282722513</v>
      </c>
      <c r="R17" s="4">
        <v>0</v>
      </c>
      <c r="S17" s="4">
        <v>0.4035874439461884</v>
      </c>
      <c r="T17" s="4">
        <v>0.25770142180094785</v>
      </c>
      <c r="U17" s="4"/>
      <c r="V17" s="4"/>
      <c r="W17" s="4"/>
    </row>
    <row r="18" spans="1:23" x14ac:dyDescent="0.75">
      <c r="A18" s="3" t="s">
        <v>52</v>
      </c>
      <c r="B18" s="4">
        <v>0.73154362416107377</v>
      </c>
      <c r="C18" s="4">
        <v>0.61038961038961048</v>
      </c>
      <c r="D18" s="4">
        <v>0.83240223463687157</v>
      </c>
      <c r="E18" s="4">
        <v>1</v>
      </c>
      <c r="F18" s="4">
        <v>0.865771812080537</v>
      </c>
      <c r="G18" s="4">
        <v>0.5964125560538116</v>
      </c>
      <c r="H18" s="4">
        <v>0.78339350180505429</v>
      </c>
      <c r="I18" s="4">
        <v>1</v>
      </c>
      <c r="J18" s="4">
        <v>0.7</v>
      </c>
      <c r="K18" s="4">
        <v>0.68992248062015504</v>
      </c>
      <c r="L18" s="4">
        <v>0.65714285714285714</v>
      </c>
      <c r="M18" s="4">
        <v>0.62962962962962965</v>
      </c>
      <c r="N18" s="4">
        <v>0.72093023255813948</v>
      </c>
      <c r="O18" s="4">
        <v>1</v>
      </c>
      <c r="P18" s="4">
        <v>0.86547085201793728</v>
      </c>
      <c r="Q18" s="4">
        <v>0.84293193717277493</v>
      </c>
      <c r="R18" s="4">
        <v>0.5964125560538116</v>
      </c>
      <c r="S18" s="4">
        <v>1</v>
      </c>
      <c r="T18" s="4">
        <v>0.74229857819905221</v>
      </c>
      <c r="U18" s="4"/>
      <c r="V18" s="4"/>
      <c r="W18" s="4"/>
    </row>
    <row r="19" spans="1:23" x14ac:dyDescent="0.75">
      <c r="A19" s="3" t="s">
        <v>53</v>
      </c>
      <c r="B19" s="4">
        <v>0.18292682926829271</v>
      </c>
      <c r="C19" s="4">
        <v>0.34624896949711459</v>
      </c>
      <c r="D19" s="4">
        <v>0.28985507246376807</v>
      </c>
      <c r="E19" s="4">
        <v>0.20083682008368201</v>
      </c>
      <c r="F19" s="4">
        <v>0.25951557093425603</v>
      </c>
      <c r="G19" s="4">
        <v>0.40740740740740738</v>
      </c>
      <c r="H19" s="4">
        <v>0.26143790849673204</v>
      </c>
      <c r="I19" s="4">
        <v>0.16042780748663102</v>
      </c>
      <c r="J19" s="4">
        <v>0.34334763948497854</v>
      </c>
      <c r="K19" s="4">
        <v>0.34341782502044149</v>
      </c>
      <c r="L19" s="4">
        <v>0.31952662721893493</v>
      </c>
      <c r="M19" s="4">
        <v>0.44466403162055335</v>
      </c>
      <c r="N19" s="4">
        <v>0.25609756097560976</v>
      </c>
      <c r="O19" s="4">
        <v>0.20779220779220775</v>
      </c>
      <c r="P19" s="4">
        <v>9.9833610648918478E-2</v>
      </c>
      <c r="Q19" s="4">
        <v>0.22119815668202761</v>
      </c>
      <c r="R19" s="4">
        <v>9.9833610648918478E-2</v>
      </c>
      <c r="S19" s="4">
        <v>0.44466403162055335</v>
      </c>
      <c r="T19" s="4">
        <v>0.28276237085372485</v>
      </c>
      <c r="U19" s="4"/>
      <c r="V19" s="4"/>
      <c r="W19" s="4"/>
    </row>
    <row r="20" spans="1:23" x14ac:dyDescent="0.75">
      <c r="A20" s="3" t="s">
        <v>54</v>
      </c>
      <c r="B20" s="4">
        <v>0.81707317073170715</v>
      </c>
      <c r="C20" s="4">
        <v>0.65375103050288541</v>
      </c>
      <c r="D20" s="4">
        <v>0.71014492753623193</v>
      </c>
      <c r="E20" s="4">
        <v>0.79916317991631813</v>
      </c>
      <c r="F20" s="4">
        <v>0.74048442906574397</v>
      </c>
      <c r="G20" s="4">
        <v>0.59259259259259256</v>
      </c>
      <c r="H20" s="4">
        <v>0.73856209150326801</v>
      </c>
      <c r="I20" s="4">
        <v>0.83957219251336901</v>
      </c>
      <c r="J20" s="4">
        <v>0.6566523605150214</v>
      </c>
      <c r="K20" s="4">
        <v>0.65658217497955851</v>
      </c>
      <c r="L20" s="4">
        <v>0.68047337278106501</v>
      </c>
      <c r="M20" s="4">
        <v>0.55533596837944665</v>
      </c>
      <c r="N20" s="4">
        <v>0.74390243902439024</v>
      </c>
      <c r="O20" s="4">
        <v>0.79220779220779236</v>
      </c>
      <c r="P20" s="4">
        <v>0.9001663893510814</v>
      </c>
      <c r="Q20" s="4">
        <v>0.77880184331797253</v>
      </c>
      <c r="R20" s="4">
        <v>0.55533596837944665</v>
      </c>
      <c r="S20" s="4">
        <v>0.9001663893510814</v>
      </c>
      <c r="T20" s="4">
        <v>0.7172376291462752</v>
      </c>
      <c r="U20" s="4"/>
      <c r="V20" s="4"/>
      <c r="W20" s="4"/>
    </row>
    <row r="21" spans="1:23" x14ac:dyDescent="0.7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75">
      <c r="A22" s="3" t="s">
        <v>29</v>
      </c>
      <c r="B22" s="4" t="s">
        <v>13</v>
      </c>
      <c r="C22" s="4" t="s">
        <v>14</v>
      </c>
      <c r="D22" s="4" t="s">
        <v>15</v>
      </c>
      <c r="E22" s="4" t="s">
        <v>16</v>
      </c>
      <c r="F22" s="4" t="s">
        <v>17</v>
      </c>
      <c r="G22" s="4" t="s">
        <v>18</v>
      </c>
      <c r="H22" s="4" t="s">
        <v>19</v>
      </c>
      <c r="I22" s="4" t="s">
        <v>20</v>
      </c>
      <c r="J22" s="4" t="s">
        <v>21</v>
      </c>
      <c r="K22" s="4" t="s">
        <v>22</v>
      </c>
      <c r="L22" s="4" t="s">
        <v>23</v>
      </c>
      <c r="M22" s="4" t="s">
        <v>24</v>
      </c>
      <c r="N22" s="4" t="s">
        <v>25</v>
      </c>
      <c r="O22" s="4" t="s">
        <v>26</v>
      </c>
      <c r="P22" s="4" t="s">
        <v>27</v>
      </c>
      <c r="Q22" s="4" t="s">
        <v>28</v>
      </c>
      <c r="R22" s="4" t="s">
        <v>30</v>
      </c>
      <c r="S22" s="4" t="s">
        <v>31</v>
      </c>
      <c r="T22" s="4" t="s">
        <v>32</v>
      </c>
      <c r="U22" s="4" t="s">
        <v>33</v>
      </c>
      <c r="V22" s="4" t="s">
        <v>34</v>
      </c>
      <c r="W22" s="4" t="s">
        <v>35</v>
      </c>
    </row>
    <row r="23" spans="1:23" x14ac:dyDescent="0.75">
      <c r="A23" s="3" t="s">
        <v>0</v>
      </c>
      <c r="B23" s="4">
        <v>10.7</v>
      </c>
      <c r="C23" s="4">
        <v>36.799999999999997</v>
      </c>
      <c r="D23" s="4">
        <v>45.7</v>
      </c>
      <c r="E23" s="4">
        <v>24.5</v>
      </c>
      <c r="F23" s="4">
        <v>14.6</v>
      </c>
      <c r="G23" s="4">
        <v>20.2</v>
      </c>
      <c r="H23" s="4">
        <v>22.5</v>
      </c>
      <c r="I23" s="4">
        <v>19.5</v>
      </c>
      <c r="J23" s="4">
        <v>16.8</v>
      </c>
      <c r="K23" s="4">
        <v>28.6</v>
      </c>
      <c r="L23" s="4">
        <v>31.6</v>
      </c>
      <c r="M23" s="4">
        <v>28.7</v>
      </c>
      <c r="N23" s="4">
        <v>8.3000000000000007</v>
      </c>
      <c r="O23" s="4">
        <v>11.3</v>
      </c>
      <c r="P23" s="4">
        <v>17.7</v>
      </c>
      <c r="Q23" s="4">
        <v>19.600000000000001</v>
      </c>
      <c r="R23" s="4">
        <v>8.3000000000000007</v>
      </c>
      <c r="S23" s="4">
        <v>45.7</v>
      </c>
      <c r="T23" s="4">
        <v>22.318750000000001</v>
      </c>
      <c r="U23" s="4">
        <v>9.7199034685278658</v>
      </c>
      <c r="V23" s="4">
        <v>357.1</v>
      </c>
      <c r="W23" s="4">
        <v>0.23315487072342647</v>
      </c>
    </row>
    <row r="24" spans="1:23" x14ac:dyDescent="0.75">
      <c r="A24" s="3" t="s">
        <v>55</v>
      </c>
      <c r="B24" s="4">
        <v>10</v>
      </c>
      <c r="C24" s="4">
        <v>4.5999999999999996</v>
      </c>
      <c r="D24" s="4">
        <v>10.4</v>
      </c>
      <c r="E24" s="4">
        <v>6.8</v>
      </c>
      <c r="F24" s="4">
        <v>11.1</v>
      </c>
      <c r="G24" s="4">
        <v>10.1</v>
      </c>
      <c r="H24" s="4">
        <v>1.6</v>
      </c>
      <c r="I24" s="4">
        <v>10.9</v>
      </c>
      <c r="J24" s="4">
        <v>8.9</v>
      </c>
      <c r="K24" s="4">
        <v>5.7</v>
      </c>
      <c r="L24" s="4">
        <v>8.5</v>
      </c>
      <c r="M24" s="4">
        <v>5.9</v>
      </c>
      <c r="N24" s="4">
        <v>19.3</v>
      </c>
      <c r="O24" s="4">
        <v>27.3</v>
      </c>
      <c r="P24" s="4">
        <v>3</v>
      </c>
      <c r="Q24" s="4">
        <v>5.8</v>
      </c>
      <c r="R24" s="4">
        <v>1.6</v>
      </c>
      <c r="S24" s="4">
        <v>27.3</v>
      </c>
      <c r="T24" s="4">
        <v>9.3687500000000021</v>
      </c>
      <c r="U24" s="4">
        <v>6.1081624436077311</v>
      </c>
      <c r="V24" s="4">
        <v>149.90000000000003</v>
      </c>
      <c r="W24" s="4">
        <v>9.7871506920867074E-2</v>
      </c>
    </row>
    <row r="25" spans="1:23" x14ac:dyDescent="0.75">
      <c r="A25" s="3" t="s">
        <v>56</v>
      </c>
      <c r="B25" s="4">
        <v>3.9</v>
      </c>
      <c r="C25" s="4">
        <v>11.5</v>
      </c>
      <c r="D25" s="4">
        <v>6.6</v>
      </c>
      <c r="E25" s="4">
        <v>16.2</v>
      </c>
      <c r="F25" s="4">
        <v>5.9</v>
      </c>
      <c r="G25" s="4">
        <v>22.4</v>
      </c>
      <c r="H25" s="4">
        <v>7.2</v>
      </c>
      <c r="I25" s="4">
        <v>23.2</v>
      </c>
      <c r="J25" s="4">
        <v>15.7</v>
      </c>
      <c r="K25" s="4">
        <v>2.7</v>
      </c>
      <c r="L25" s="4">
        <v>11.5</v>
      </c>
      <c r="M25" s="4">
        <v>12.7</v>
      </c>
      <c r="N25" s="4">
        <v>22.8</v>
      </c>
      <c r="O25" s="4">
        <v>23.6</v>
      </c>
      <c r="P25" s="4">
        <v>7.7</v>
      </c>
      <c r="Q25" s="4">
        <v>8.1</v>
      </c>
      <c r="R25" s="4">
        <v>2.7</v>
      </c>
      <c r="S25" s="4">
        <v>23.6</v>
      </c>
      <c r="T25" s="4">
        <v>12.606249999999999</v>
      </c>
      <c r="U25" s="4">
        <v>7.0109261825738853</v>
      </c>
      <c r="V25" s="4">
        <v>201.7</v>
      </c>
      <c r="W25" s="4">
        <v>0.13169234787150691</v>
      </c>
    </row>
    <row r="26" spans="1:23" x14ac:dyDescent="0.75">
      <c r="A26" s="3" t="s">
        <v>57</v>
      </c>
      <c r="B26" s="4">
        <v>14.7</v>
      </c>
      <c r="C26" s="4">
        <v>5.3</v>
      </c>
      <c r="D26" s="4">
        <v>1.1000000000000001</v>
      </c>
      <c r="E26" s="4">
        <v>11.2</v>
      </c>
      <c r="F26" s="4">
        <v>8.1</v>
      </c>
      <c r="G26" s="4">
        <v>22.8</v>
      </c>
      <c r="H26" s="4">
        <v>38.5</v>
      </c>
      <c r="I26" s="4">
        <v>7.7</v>
      </c>
      <c r="J26" s="4">
        <v>7.8</v>
      </c>
      <c r="K26" s="4">
        <v>16.3</v>
      </c>
      <c r="L26" s="4">
        <v>19.600000000000001</v>
      </c>
      <c r="M26" s="4">
        <v>4.7</v>
      </c>
      <c r="N26" s="4">
        <v>20.8</v>
      </c>
      <c r="O26" s="4">
        <v>6.9</v>
      </c>
      <c r="P26" s="4">
        <v>8.5</v>
      </c>
      <c r="Q26" s="4">
        <v>23.2</v>
      </c>
      <c r="R26" s="4">
        <v>1.1000000000000001</v>
      </c>
      <c r="S26" s="4">
        <v>38.5</v>
      </c>
      <c r="T26" s="4">
        <v>13.574999999999999</v>
      </c>
      <c r="U26" s="4">
        <v>9.2629976249592136</v>
      </c>
      <c r="V26" s="4">
        <v>217.2</v>
      </c>
      <c r="W26" s="4">
        <v>0.14181248367720029</v>
      </c>
    </row>
    <row r="27" spans="1:23" x14ac:dyDescent="0.75">
      <c r="A27" s="3" t="s">
        <v>58</v>
      </c>
      <c r="B27" s="4">
        <v>10.4</v>
      </c>
      <c r="C27" s="4">
        <v>3.6</v>
      </c>
      <c r="D27" s="4">
        <v>27.4</v>
      </c>
      <c r="E27" s="4">
        <v>9.9</v>
      </c>
      <c r="F27" s="4">
        <v>1.1000000000000001</v>
      </c>
      <c r="G27" s="4">
        <v>18.600000000000001</v>
      </c>
      <c r="H27" s="4">
        <v>4.4000000000000004</v>
      </c>
      <c r="I27" s="4">
        <v>4.0999999999999996</v>
      </c>
      <c r="J27" s="4">
        <v>9.5</v>
      </c>
      <c r="K27" s="4">
        <v>2.7</v>
      </c>
      <c r="L27" s="4">
        <v>4.5999999999999996</v>
      </c>
      <c r="M27" s="4">
        <v>1</v>
      </c>
      <c r="N27" s="4">
        <v>11</v>
      </c>
      <c r="O27" s="4">
        <v>7.9</v>
      </c>
      <c r="P27" s="4">
        <v>10</v>
      </c>
      <c r="Q27" s="4">
        <v>6.5</v>
      </c>
      <c r="R27" s="4">
        <v>1</v>
      </c>
      <c r="S27" s="4">
        <v>27.4</v>
      </c>
      <c r="T27" s="4">
        <v>8.2937499999999993</v>
      </c>
      <c r="U27" s="4">
        <v>6.6049667627854118</v>
      </c>
      <c r="V27" s="4">
        <v>132.69999999999999</v>
      </c>
      <c r="W27" s="4">
        <v>8.6641420736484703E-2</v>
      </c>
    </row>
    <row r="28" spans="1:23" x14ac:dyDescent="0.75">
      <c r="A28" s="3" t="s">
        <v>59</v>
      </c>
      <c r="B28" s="4">
        <v>0</v>
      </c>
      <c r="C28" s="4">
        <v>3.8</v>
      </c>
      <c r="D28" s="4">
        <v>7</v>
      </c>
      <c r="E28" s="4">
        <v>13.7</v>
      </c>
      <c r="F28" s="4">
        <v>4.0999999999999996</v>
      </c>
      <c r="G28" s="4">
        <v>16.7</v>
      </c>
      <c r="H28" s="4">
        <v>15</v>
      </c>
      <c r="I28" s="4">
        <v>2.6</v>
      </c>
      <c r="J28" s="4">
        <v>15</v>
      </c>
      <c r="K28" s="4">
        <v>12.1</v>
      </c>
      <c r="L28" s="4">
        <v>1.4</v>
      </c>
      <c r="M28" s="4">
        <v>3.3</v>
      </c>
      <c r="N28" s="4">
        <v>19.399999999999999</v>
      </c>
      <c r="O28" s="4">
        <v>7.4</v>
      </c>
      <c r="P28" s="4">
        <v>14.1</v>
      </c>
      <c r="Q28" s="4">
        <v>1.7</v>
      </c>
      <c r="R28" s="4">
        <v>0</v>
      </c>
      <c r="S28" s="4">
        <v>19.399999999999999</v>
      </c>
      <c r="T28" s="4">
        <v>8.5812499999999989</v>
      </c>
      <c r="U28" s="4">
        <v>6.2122076138438924</v>
      </c>
      <c r="V28" s="4">
        <v>137.29999999999998</v>
      </c>
      <c r="W28" s="4">
        <v>8.964481587881952E-2</v>
      </c>
    </row>
    <row r="29" spans="1:23" x14ac:dyDescent="0.75">
      <c r="A29" s="3" t="s">
        <v>60</v>
      </c>
      <c r="B29" s="4">
        <v>7.8</v>
      </c>
      <c r="C29" s="4">
        <v>10.5</v>
      </c>
      <c r="D29" s="4">
        <v>17.600000000000001</v>
      </c>
      <c r="E29" s="4">
        <v>4.8</v>
      </c>
      <c r="F29" s="4">
        <v>0</v>
      </c>
      <c r="G29" s="4">
        <v>-0.4</v>
      </c>
      <c r="H29" s="4">
        <v>3.8</v>
      </c>
      <c r="I29" s="4">
        <v>10.4</v>
      </c>
      <c r="J29" s="4">
        <v>12.1</v>
      </c>
      <c r="K29" s="4">
        <v>10.5</v>
      </c>
      <c r="L29" s="4">
        <v>12.3</v>
      </c>
      <c r="M29" s="4">
        <v>21.7</v>
      </c>
      <c r="N29" s="4">
        <v>6.4</v>
      </c>
      <c r="O29" s="4">
        <v>3.2</v>
      </c>
      <c r="P29" s="4">
        <v>2.6</v>
      </c>
      <c r="Q29" s="4">
        <v>2.4</v>
      </c>
      <c r="R29" s="4">
        <v>-0.4</v>
      </c>
      <c r="S29" s="4">
        <v>21.7</v>
      </c>
      <c r="T29" s="4">
        <v>7.8562500000000002</v>
      </c>
      <c r="U29" s="4">
        <v>6.0295075203120865</v>
      </c>
      <c r="V29" s="4">
        <v>125.7</v>
      </c>
      <c r="W29" s="4">
        <v>8.2071036824236082E-2</v>
      </c>
    </row>
    <row r="30" spans="1:23" x14ac:dyDescent="0.75">
      <c r="A30" s="3" t="s">
        <v>61</v>
      </c>
      <c r="B30" s="4">
        <v>29</v>
      </c>
      <c r="C30" s="4">
        <v>-1</v>
      </c>
      <c r="D30" s="4">
        <v>14</v>
      </c>
      <c r="E30" s="4">
        <v>10</v>
      </c>
      <c r="F30" s="4">
        <v>26</v>
      </c>
      <c r="G30" s="4">
        <v>7</v>
      </c>
      <c r="H30" s="4">
        <v>17</v>
      </c>
      <c r="I30" s="4">
        <v>18</v>
      </c>
      <c r="J30" s="4">
        <v>14</v>
      </c>
      <c r="K30" s="4">
        <v>5</v>
      </c>
      <c r="L30" s="4">
        <v>27</v>
      </c>
      <c r="M30" s="4">
        <v>11</v>
      </c>
      <c r="N30" s="4">
        <v>13</v>
      </c>
      <c r="O30" s="4">
        <v>5</v>
      </c>
      <c r="P30" s="4">
        <v>12</v>
      </c>
      <c r="Q30" s="4">
        <v>3</v>
      </c>
      <c r="R30" s="4">
        <v>-1</v>
      </c>
      <c r="S30" s="4">
        <v>29</v>
      </c>
      <c r="T30" s="4">
        <v>13.125</v>
      </c>
      <c r="U30" s="4">
        <v>8.4326374877614647</v>
      </c>
      <c r="V30" s="4">
        <v>210</v>
      </c>
      <c r="W30" s="4">
        <v>0.13711151736745886</v>
      </c>
    </row>
    <row r="31" spans="1:23" x14ac:dyDescent="0.7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939AC-D73E-48D2-9AEE-D3CB1BB4A30C}">
  <sheetPr codeName="Sheet13"/>
  <dimension ref="A1:W31"/>
  <sheetViews>
    <sheetView workbookViewId="0">
      <selection activeCell="O9" sqref="O9"/>
    </sheetView>
  </sheetViews>
  <sheetFormatPr defaultRowHeight="14.75" x14ac:dyDescent="0.75"/>
  <cols>
    <col min="1" max="1" width="27.90625" bestFit="1" customWidth="1"/>
    <col min="2" max="10" width="11.6796875" bestFit="1" customWidth="1"/>
    <col min="11" max="17" width="12.453125" bestFit="1" customWidth="1"/>
    <col min="18" max="19" width="11.6796875" bestFit="1" customWidth="1"/>
    <col min="20" max="20" width="12.08984375" bestFit="1" customWidth="1"/>
    <col min="21" max="22" width="11.6796875" bestFit="1" customWidth="1"/>
    <col min="23" max="23" width="14.54296875" bestFit="1" customWidth="1"/>
  </cols>
  <sheetData>
    <row r="1" spans="1:23" x14ac:dyDescent="0.75">
      <c r="A1" s="3" t="s">
        <v>29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27</v>
      </c>
      <c r="Q1" s="3" t="s">
        <v>28</v>
      </c>
      <c r="R1" s="3" t="s">
        <v>30</v>
      </c>
      <c r="S1" s="3" t="s">
        <v>31</v>
      </c>
      <c r="T1" s="3" t="s">
        <v>32</v>
      </c>
      <c r="U1" s="3" t="s">
        <v>33</v>
      </c>
      <c r="V1" s="3" t="s">
        <v>34</v>
      </c>
      <c r="W1" s="3" t="s">
        <v>35</v>
      </c>
    </row>
    <row r="2" spans="1:23" x14ac:dyDescent="0.75">
      <c r="A2" s="3" t="s">
        <v>36</v>
      </c>
      <c r="B2" s="3">
        <v>72.100000000000023</v>
      </c>
      <c r="C2" s="3">
        <v>86.7</v>
      </c>
      <c r="D2" s="3">
        <v>113.6</v>
      </c>
      <c r="E2" s="3">
        <v>127</v>
      </c>
      <c r="F2" s="3">
        <v>106.4</v>
      </c>
      <c r="G2" s="3">
        <v>78.100000000000023</v>
      </c>
      <c r="H2" s="3">
        <v>141.09999999999997</v>
      </c>
      <c r="I2" s="3">
        <v>90.3</v>
      </c>
      <c r="J2" s="3">
        <v>84.7</v>
      </c>
      <c r="K2" s="3">
        <v>64.300000000000011</v>
      </c>
      <c r="L2" s="3">
        <v>79.900000000000006</v>
      </c>
      <c r="M2" s="3">
        <v>98.8</v>
      </c>
      <c r="N2" s="3">
        <v>77.2</v>
      </c>
      <c r="O2" s="3">
        <v>88.6</v>
      </c>
      <c r="P2" s="3">
        <v>85.2</v>
      </c>
      <c r="Q2" s="3">
        <v>108.5</v>
      </c>
      <c r="R2" s="3">
        <v>64.300000000000011</v>
      </c>
      <c r="S2" s="3">
        <v>141.09999999999997</v>
      </c>
      <c r="T2" s="3">
        <v>93.90625</v>
      </c>
      <c r="U2" s="3">
        <v>20.053225075720363</v>
      </c>
      <c r="V2" s="3">
        <v>1502.5</v>
      </c>
      <c r="W2" s="3">
        <v>0.7234687981510014</v>
      </c>
    </row>
    <row r="3" spans="1:23" x14ac:dyDescent="0.75">
      <c r="A3" s="3" t="s">
        <v>37</v>
      </c>
      <c r="B3" s="3">
        <v>19.600000000000001</v>
      </c>
      <c r="C3" s="3">
        <v>24.3</v>
      </c>
      <c r="D3" s="3">
        <v>33.199999999999996</v>
      </c>
      <c r="E3" s="3">
        <v>45.7</v>
      </c>
      <c r="F3" s="3">
        <v>17.2</v>
      </c>
      <c r="G3" s="3">
        <v>0</v>
      </c>
      <c r="H3" s="3">
        <v>36.700000000000003</v>
      </c>
      <c r="I3" s="3">
        <v>30.1</v>
      </c>
      <c r="J3" s="3">
        <v>27.299999999999997</v>
      </c>
      <c r="K3" s="3">
        <v>36.9</v>
      </c>
      <c r="L3" s="3">
        <v>31.1</v>
      </c>
      <c r="M3" s="3">
        <v>29.3</v>
      </c>
      <c r="N3" s="3">
        <v>57.500000000000007</v>
      </c>
      <c r="O3" s="3">
        <v>65.3</v>
      </c>
      <c r="P3" s="3">
        <v>74.600000000000023</v>
      </c>
      <c r="Q3" s="3">
        <v>45.5</v>
      </c>
      <c r="R3" s="3">
        <v>0</v>
      </c>
      <c r="S3" s="3">
        <v>74.600000000000023</v>
      </c>
      <c r="T3" s="3">
        <v>35.893749999999997</v>
      </c>
      <c r="U3" s="3">
        <v>18.094697729929074</v>
      </c>
      <c r="V3" s="3">
        <v>574.29999999999995</v>
      </c>
      <c r="W3" s="3">
        <v>0.27653120184899843</v>
      </c>
    </row>
    <row r="4" spans="1:23" x14ac:dyDescent="0.75">
      <c r="A4" s="3" t="s">
        <v>38</v>
      </c>
      <c r="B4" s="3">
        <v>91.700000000000017</v>
      </c>
      <c r="C4" s="3">
        <v>111</v>
      </c>
      <c r="D4" s="3">
        <v>146.80000000000001</v>
      </c>
      <c r="E4" s="3">
        <v>172.7</v>
      </c>
      <c r="F4" s="3">
        <v>123.6</v>
      </c>
      <c r="G4" s="3">
        <v>78.100000000000023</v>
      </c>
      <c r="H4" s="3">
        <v>177.79999999999995</v>
      </c>
      <c r="I4" s="3">
        <v>120.4</v>
      </c>
      <c r="J4" s="3">
        <v>112</v>
      </c>
      <c r="K4" s="3">
        <v>101.20000000000002</v>
      </c>
      <c r="L4" s="3">
        <v>111</v>
      </c>
      <c r="M4" s="3">
        <v>128.1</v>
      </c>
      <c r="N4" s="3">
        <v>134.70000000000002</v>
      </c>
      <c r="O4" s="3">
        <v>153.89999999999998</v>
      </c>
      <c r="P4" s="3">
        <v>159.80000000000001</v>
      </c>
      <c r="Q4" s="3">
        <v>154</v>
      </c>
      <c r="R4" s="3">
        <v>78.100000000000023</v>
      </c>
      <c r="S4" s="3">
        <v>177.79999999999995</v>
      </c>
      <c r="T4" s="3">
        <v>129.80000000000001</v>
      </c>
      <c r="U4" s="3">
        <v>28.084404034979908</v>
      </c>
      <c r="V4" s="3">
        <v>2076.8000000000002</v>
      </c>
      <c r="W4" s="3" t="s">
        <v>39</v>
      </c>
    </row>
    <row r="5" spans="1:23" x14ac:dyDescent="0.75">
      <c r="A5" s="3" t="s">
        <v>40</v>
      </c>
      <c r="B5" s="3" t="s">
        <v>39</v>
      </c>
      <c r="C5" s="3">
        <v>4</v>
      </c>
      <c r="D5" s="3">
        <v>4</v>
      </c>
      <c r="E5" s="3">
        <v>2</v>
      </c>
      <c r="F5" s="3">
        <v>4</v>
      </c>
      <c r="G5" s="3">
        <v>6</v>
      </c>
      <c r="H5" s="3">
        <v>3</v>
      </c>
      <c r="I5" s="3">
        <v>1</v>
      </c>
      <c r="J5" s="3">
        <v>1</v>
      </c>
      <c r="K5" s="3">
        <v>3</v>
      </c>
      <c r="L5" s="3">
        <v>3</v>
      </c>
      <c r="M5" s="3">
        <v>4</v>
      </c>
      <c r="N5" s="3">
        <v>3</v>
      </c>
      <c r="O5" s="3">
        <v>2</v>
      </c>
      <c r="P5" s="3">
        <v>3</v>
      </c>
      <c r="Q5" s="3">
        <v>5</v>
      </c>
      <c r="R5" s="3">
        <v>1</v>
      </c>
      <c r="S5" s="3">
        <v>6</v>
      </c>
      <c r="T5" s="3">
        <v>3.2</v>
      </c>
      <c r="U5" s="3">
        <v>1.3266499161421601</v>
      </c>
      <c r="V5" s="3">
        <v>48</v>
      </c>
      <c r="W5" s="3" t="s">
        <v>39</v>
      </c>
    </row>
    <row r="6" spans="1:23" x14ac:dyDescent="0.75">
      <c r="A6" s="3" t="s">
        <v>41</v>
      </c>
      <c r="B6" s="3" t="s">
        <v>39</v>
      </c>
      <c r="C6" s="3">
        <v>7</v>
      </c>
      <c r="D6" s="3">
        <v>5</v>
      </c>
      <c r="E6" s="3">
        <v>4</v>
      </c>
      <c r="F6" s="3">
        <v>4</v>
      </c>
      <c r="G6" s="3">
        <v>7</v>
      </c>
      <c r="H6" s="3">
        <v>4</v>
      </c>
      <c r="I6" s="3">
        <v>1</v>
      </c>
      <c r="J6" s="3">
        <v>4</v>
      </c>
      <c r="K6" s="3">
        <v>3</v>
      </c>
      <c r="L6" s="3">
        <v>2</v>
      </c>
      <c r="M6" s="3">
        <v>3</v>
      </c>
      <c r="N6" s="3">
        <v>3</v>
      </c>
      <c r="O6" s="3">
        <v>3</v>
      </c>
      <c r="P6" s="3">
        <v>2</v>
      </c>
      <c r="Q6" s="3">
        <v>2</v>
      </c>
      <c r="R6" s="3">
        <v>1</v>
      </c>
      <c r="S6" s="3">
        <v>7</v>
      </c>
      <c r="T6" s="3">
        <v>3.6</v>
      </c>
      <c r="U6" s="3">
        <v>1.6653327995729059</v>
      </c>
      <c r="V6" s="3">
        <v>54</v>
      </c>
      <c r="W6" s="3" t="s">
        <v>39</v>
      </c>
    </row>
    <row r="7" spans="1:23" x14ac:dyDescent="0.75">
      <c r="A7" s="3" t="s">
        <v>42</v>
      </c>
      <c r="B7" s="3">
        <v>1</v>
      </c>
      <c r="C7" s="3">
        <v>2</v>
      </c>
      <c r="D7" s="3">
        <v>2</v>
      </c>
      <c r="E7" s="3">
        <v>2</v>
      </c>
      <c r="F7" s="3">
        <v>2</v>
      </c>
      <c r="G7" s="3">
        <v>0</v>
      </c>
      <c r="H7" s="3">
        <v>1</v>
      </c>
      <c r="I7" s="3">
        <v>2</v>
      </c>
      <c r="J7" s="3">
        <v>2</v>
      </c>
      <c r="K7" s="3">
        <v>2</v>
      </c>
      <c r="L7" s="3">
        <v>2</v>
      </c>
      <c r="M7" s="3">
        <v>3</v>
      </c>
      <c r="N7" s="3">
        <v>4</v>
      </c>
      <c r="O7" s="3">
        <v>5</v>
      </c>
      <c r="P7" s="3">
        <v>4</v>
      </c>
      <c r="Q7" s="3">
        <v>3</v>
      </c>
      <c r="R7" s="3">
        <v>0</v>
      </c>
      <c r="S7" s="3">
        <v>5</v>
      </c>
      <c r="T7" s="3">
        <v>2.3125</v>
      </c>
      <c r="U7" s="3">
        <v>1.2103072956898178</v>
      </c>
      <c r="V7" s="3">
        <v>37</v>
      </c>
      <c r="W7" s="3" t="s">
        <v>39</v>
      </c>
    </row>
    <row r="8" spans="1:23" x14ac:dyDescent="0.75">
      <c r="A8" s="3" t="s">
        <v>43</v>
      </c>
      <c r="B8" s="3">
        <v>74.099999999999994</v>
      </c>
      <c r="C8" s="3">
        <v>93.9</v>
      </c>
      <c r="D8" s="3">
        <v>122.1</v>
      </c>
      <c r="E8" s="3">
        <v>138.29999999999998</v>
      </c>
      <c r="F8" s="3">
        <v>111.8</v>
      </c>
      <c r="G8" s="3">
        <v>78.099999999999994</v>
      </c>
      <c r="H8" s="3">
        <v>141.5</v>
      </c>
      <c r="I8" s="3">
        <v>101.7</v>
      </c>
      <c r="J8" s="3">
        <v>100.1</v>
      </c>
      <c r="K8" s="3">
        <v>90</v>
      </c>
      <c r="L8" s="3">
        <v>97.1</v>
      </c>
      <c r="M8" s="3">
        <v>113.8</v>
      </c>
      <c r="N8" s="3">
        <v>109.3</v>
      </c>
      <c r="O8" s="3">
        <v>118.4</v>
      </c>
      <c r="P8" s="3">
        <v>110</v>
      </c>
      <c r="Q8" s="3">
        <v>129.1</v>
      </c>
      <c r="R8" s="3">
        <v>74.099999999999994</v>
      </c>
      <c r="S8" s="3">
        <v>141.5</v>
      </c>
      <c r="T8" s="3">
        <v>108.08124999999998</v>
      </c>
      <c r="U8" s="3">
        <v>18.763535739233763</v>
      </c>
      <c r="V8" s="3">
        <v>1729.2999999999995</v>
      </c>
      <c r="W8" s="3" t="s">
        <v>39</v>
      </c>
    </row>
    <row r="9" spans="1:23" x14ac:dyDescent="0.75">
      <c r="A9" s="3" t="s">
        <v>44</v>
      </c>
      <c r="B9" s="4">
        <v>0.97300944669365741</v>
      </c>
      <c r="C9" s="4">
        <v>0.92332268370607029</v>
      </c>
      <c r="D9" s="4">
        <v>0.93038493038493053</v>
      </c>
      <c r="E9" s="4">
        <v>0.91829356471438917</v>
      </c>
      <c r="F9" s="4">
        <v>0.95169946332737043</v>
      </c>
      <c r="G9" s="4">
        <v>1.0000000000000002</v>
      </c>
      <c r="H9" s="4">
        <v>0.9971731448763248</v>
      </c>
      <c r="I9" s="4">
        <v>0.88790560471976399</v>
      </c>
      <c r="J9" s="4">
        <v>0.84615384615384626</v>
      </c>
      <c r="K9" s="4">
        <v>0.71444444444444455</v>
      </c>
      <c r="L9" s="4">
        <v>0.82286302780638532</v>
      </c>
      <c r="M9" s="4">
        <v>0.86818980667838308</v>
      </c>
      <c r="N9" s="4">
        <v>0.70631290027447402</v>
      </c>
      <c r="O9" s="4">
        <v>0.74831081081081074</v>
      </c>
      <c r="P9" s="4">
        <v>0.77454545454545454</v>
      </c>
      <c r="Q9" s="4">
        <v>0.84043377226955851</v>
      </c>
      <c r="R9" s="4">
        <v>0.70631290027447402</v>
      </c>
      <c r="S9" s="4">
        <v>1.0000000000000002</v>
      </c>
      <c r="T9" s="4">
        <v>0.86894018133786655</v>
      </c>
      <c r="U9" s="4" t="s">
        <v>39</v>
      </c>
      <c r="V9" s="4">
        <v>0.8688486670907305</v>
      </c>
      <c r="W9" s="4">
        <v>1</v>
      </c>
    </row>
    <row r="10" spans="1:23" x14ac:dyDescent="0.7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75">
      <c r="A11" s="3" t="s">
        <v>45</v>
      </c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  <c r="I11" s="4" t="s">
        <v>20</v>
      </c>
      <c r="J11" s="4" t="s">
        <v>21</v>
      </c>
      <c r="K11" s="4" t="s">
        <v>22</v>
      </c>
      <c r="L11" s="4" t="s">
        <v>23</v>
      </c>
      <c r="M11" s="4" t="s">
        <v>24</v>
      </c>
      <c r="N11" s="4" t="s">
        <v>25</v>
      </c>
      <c r="O11" s="4" t="s">
        <v>26</v>
      </c>
      <c r="P11" s="4" t="s">
        <v>27</v>
      </c>
      <c r="Q11" s="4" t="s">
        <v>28</v>
      </c>
      <c r="R11" s="4" t="s">
        <v>30</v>
      </c>
      <c r="S11" s="4" t="s">
        <v>31</v>
      </c>
      <c r="T11" s="4" t="s">
        <v>32</v>
      </c>
      <c r="U11" s="4" t="s">
        <v>33</v>
      </c>
      <c r="V11" s="4" t="s">
        <v>34</v>
      </c>
      <c r="W11" s="4" t="s">
        <v>35</v>
      </c>
    </row>
    <row r="12" spans="1:23" x14ac:dyDescent="0.75">
      <c r="A12" s="3" t="s">
        <v>46</v>
      </c>
      <c r="B12" s="4">
        <v>1</v>
      </c>
      <c r="C12" s="4">
        <v>3</v>
      </c>
      <c r="D12" s="4">
        <v>5</v>
      </c>
      <c r="E12" s="4">
        <v>8</v>
      </c>
      <c r="F12" s="4">
        <v>6</v>
      </c>
      <c r="G12" s="4">
        <v>3</v>
      </c>
      <c r="H12" s="4">
        <v>9</v>
      </c>
      <c r="I12" s="4">
        <v>4</v>
      </c>
      <c r="J12" s="4">
        <v>5</v>
      </c>
      <c r="K12" s="4">
        <v>2</v>
      </c>
      <c r="L12" s="4">
        <v>4</v>
      </c>
      <c r="M12" s="4">
        <v>3</v>
      </c>
      <c r="N12" s="4">
        <v>2</v>
      </c>
      <c r="O12" s="4">
        <v>2</v>
      </c>
      <c r="P12" s="4">
        <v>4</v>
      </c>
      <c r="Q12" s="4">
        <v>3</v>
      </c>
      <c r="R12" s="4">
        <v>1</v>
      </c>
      <c r="S12" s="4">
        <v>9</v>
      </c>
      <c r="T12" s="4">
        <v>4</v>
      </c>
      <c r="U12" s="4">
        <v>2.1213203435596424</v>
      </c>
      <c r="V12" s="4">
        <v>64</v>
      </c>
      <c r="W12" s="4">
        <v>0.73563218390804597</v>
      </c>
    </row>
    <row r="13" spans="1:23" x14ac:dyDescent="0.75">
      <c r="A13" s="3" t="s">
        <v>47</v>
      </c>
      <c r="B13" s="4">
        <v>0</v>
      </c>
      <c r="C13" s="4">
        <v>0</v>
      </c>
      <c r="D13" s="4">
        <v>2</v>
      </c>
      <c r="E13" s="4">
        <v>2</v>
      </c>
      <c r="F13" s="4">
        <v>0</v>
      </c>
      <c r="G13" s="4">
        <v>0</v>
      </c>
      <c r="H13" s="4">
        <v>0</v>
      </c>
      <c r="I13" s="4">
        <v>2</v>
      </c>
      <c r="J13" s="4">
        <v>0</v>
      </c>
      <c r="K13" s="4">
        <v>2</v>
      </c>
      <c r="L13" s="4">
        <v>1</v>
      </c>
      <c r="M13" s="4">
        <v>1</v>
      </c>
      <c r="N13" s="4">
        <v>4</v>
      </c>
      <c r="O13" s="4">
        <v>3</v>
      </c>
      <c r="P13" s="4">
        <v>5</v>
      </c>
      <c r="Q13" s="4">
        <v>1</v>
      </c>
      <c r="R13" s="4">
        <v>0</v>
      </c>
      <c r="S13" s="4">
        <v>5</v>
      </c>
      <c r="T13" s="4">
        <v>1.4375</v>
      </c>
      <c r="U13" s="4">
        <v>1.4986973510352248</v>
      </c>
      <c r="V13" s="4">
        <v>23</v>
      </c>
      <c r="W13" s="4">
        <v>0.26436781609195403</v>
      </c>
    </row>
    <row r="14" spans="1:23" x14ac:dyDescent="0.75">
      <c r="A14" s="3" t="s">
        <v>48</v>
      </c>
      <c r="B14" s="4">
        <v>1</v>
      </c>
      <c r="C14" s="4">
        <v>3</v>
      </c>
      <c r="D14" s="4">
        <v>7</v>
      </c>
      <c r="E14" s="4">
        <v>10</v>
      </c>
      <c r="F14" s="4">
        <v>6</v>
      </c>
      <c r="G14" s="4">
        <v>3</v>
      </c>
      <c r="H14" s="4">
        <v>9</v>
      </c>
      <c r="I14" s="4">
        <v>6</v>
      </c>
      <c r="J14" s="4">
        <v>5</v>
      </c>
      <c r="K14" s="4">
        <v>4</v>
      </c>
      <c r="L14" s="4">
        <v>5</v>
      </c>
      <c r="M14" s="4">
        <v>4</v>
      </c>
      <c r="N14" s="4">
        <v>6</v>
      </c>
      <c r="O14" s="4">
        <v>5</v>
      </c>
      <c r="P14" s="4">
        <v>9</v>
      </c>
      <c r="Q14" s="4">
        <v>4</v>
      </c>
      <c r="R14" s="4">
        <v>1</v>
      </c>
      <c r="S14" s="4">
        <v>10</v>
      </c>
      <c r="T14" s="4">
        <v>5.4375</v>
      </c>
      <c r="U14" s="4">
        <v>2.3443749166888814</v>
      </c>
      <c r="V14" s="4">
        <v>87</v>
      </c>
      <c r="W14" s="4"/>
    </row>
    <row r="15" spans="1:23" x14ac:dyDescent="0.75">
      <c r="A15" s="3" t="s">
        <v>49</v>
      </c>
      <c r="B15" s="4">
        <v>8.3217753120665733E-2</v>
      </c>
      <c r="C15" s="4">
        <v>0.20761245674740483</v>
      </c>
      <c r="D15" s="4">
        <v>0.2640845070422535</v>
      </c>
      <c r="E15" s="4">
        <v>0.37795275590551186</v>
      </c>
      <c r="F15" s="4">
        <v>0.33834586466165412</v>
      </c>
      <c r="G15" s="4">
        <v>0.23047375160051217</v>
      </c>
      <c r="H15" s="4">
        <v>0.38270729978738494</v>
      </c>
      <c r="I15" s="4">
        <v>0.26578073089700999</v>
      </c>
      <c r="J15" s="4">
        <v>0.35419126328217237</v>
      </c>
      <c r="K15" s="4">
        <v>0.18662519440124417</v>
      </c>
      <c r="L15" s="4">
        <v>0.30037546933667081</v>
      </c>
      <c r="M15" s="4">
        <v>0.18218623481781376</v>
      </c>
      <c r="N15" s="4">
        <v>0.15544041450777202</v>
      </c>
      <c r="O15" s="4">
        <v>0.13544018058690746</v>
      </c>
      <c r="P15" s="4">
        <v>0.28169014084507044</v>
      </c>
      <c r="Q15" s="4">
        <v>0.16589861751152071</v>
      </c>
      <c r="R15" s="4">
        <v>8.3217753120665733E-2</v>
      </c>
      <c r="S15" s="4">
        <v>0.38270729978738494</v>
      </c>
      <c r="T15" s="4">
        <v>0.25557404326123129</v>
      </c>
      <c r="U15" s="4"/>
      <c r="V15" s="4"/>
      <c r="W15" s="4"/>
    </row>
    <row r="16" spans="1:23" x14ac:dyDescent="0.75">
      <c r="A16" s="3" t="s">
        <v>50</v>
      </c>
      <c r="B16" s="4">
        <v>0.91678224687933429</v>
      </c>
      <c r="C16" s="4">
        <v>0.79238754325259519</v>
      </c>
      <c r="D16" s="4">
        <v>0.7359154929577465</v>
      </c>
      <c r="E16" s="4">
        <v>0.62204724409448819</v>
      </c>
      <c r="F16" s="4">
        <v>0.66165413533834583</v>
      </c>
      <c r="G16" s="4">
        <v>0.7695262483994878</v>
      </c>
      <c r="H16" s="4">
        <v>0.61729270021261506</v>
      </c>
      <c r="I16" s="4">
        <v>0.73421926910299007</v>
      </c>
      <c r="J16" s="4">
        <v>0.64580873671782757</v>
      </c>
      <c r="K16" s="4">
        <v>0.81337480559875586</v>
      </c>
      <c r="L16" s="4">
        <v>0.69962453066332919</v>
      </c>
      <c r="M16" s="4">
        <v>0.81781376518218629</v>
      </c>
      <c r="N16" s="4">
        <v>0.84455958549222798</v>
      </c>
      <c r="O16" s="4">
        <v>0.86455981941309268</v>
      </c>
      <c r="P16" s="4">
        <v>0.71830985915492951</v>
      </c>
      <c r="Q16" s="4">
        <v>0.83410138248847931</v>
      </c>
      <c r="R16" s="4">
        <v>0.61729270021261506</v>
      </c>
      <c r="S16" s="4">
        <v>0.91678224687933429</v>
      </c>
      <c r="T16" s="4">
        <v>0.74442595673876877</v>
      </c>
      <c r="U16" s="4"/>
      <c r="V16" s="4"/>
      <c r="W16" s="4"/>
    </row>
    <row r="17" spans="1:23" x14ac:dyDescent="0.75">
      <c r="A17" s="3" t="s">
        <v>51</v>
      </c>
      <c r="B17" s="4">
        <v>0</v>
      </c>
      <c r="C17" s="4">
        <v>0</v>
      </c>
      <c r="D17" s="4">
        <v>0.36144578313253017</v>
      </c>
      <c r="E17" s="4">
        <v>0.26258205689277897</v>
      </c>
      <c r="F17" s="4">
        <v>0</v>
      </c>
      <c r="G17" s="4" t="s">
        <v>62</v>
      </c>
      <c r="H17" s="4">
        <v>0</v>
      </c>
      <c r="I17" s="4">
        <v>0.39867109634551495</v>
      </c>
      <c r="J17" s="4">
        <v>0</v>
      </c>
      <c r="K17" s="4">
        <v>0.32520325203252032</v>
      </c>
      <c r="L17" s="4">
        <v>0.19292604501607716</v>
      </c>
      <c r="M17" s="4">
        <v>0.20477815699658705</v>
      </c>
      <c r="N17" s="4">
        <v>0.41739130434782601</v>
      </c>
      <c r="O17" s="4">
        <v>0.27565084226646247</v>
      </c>
      <c r="P17" s="4">
        <v>0.4021447721179624</v>
      </c>
      <c r="Q17" s="4">
        <v>0.13186813186813187</v>
      </c>
      <c r="R17" s="4">
        <v>0</v>
      </c>
      <c r="S17" s="4">
        <v>0.41739130434782601</v>
      </c>
      <c r="T17" s="4">
        <v>0.24029253003656628</v>
      </c>
      <c r="U17" s="4"/>
      <c r="V17" s="4"/>
      <c r="W17" s="4"/>
    </row>
    <row r="18" spans="1:23" x14ac:dyDescent="0.75">
      <c r="A18" s="3" t="s">
        <v>52</v>
      </c>
      <c r="B18" s="4">
        <v>1</v>
      </c>
      <c r="C18" s="4">
        <v>1</v>
      </c>
      <c r="D18" s="4">
        <v>0.63855421686746983</v>
      </c>
      <c r="E18" s="4">
        <v>0.73741794310722097</v>
      </c>
      <c r="F18" s="4">
        <v>1</v>
      </c>
      <c r="G18" s="4" t="s">
        <v>62</v>
      </c>
      <c r="H18" s="4">
        <v>1</v>
      </c>
      <c r="I18" s="4">
        <v>0.6013289036544851</v>
      </c>
      <c r="J18" s="4">
        <v>1</v>
      </c>
      <c r="K18" s="4">
        <v>0.67479674796747968</v>
      </c>
      <c r="L18" s="4">
        <v>0.80707395498392287</v>
      </c>
      <c r="M18" s="4">
        <v>0.79522184300341292</v>
      </c>
      <c r="N18" s="4">
        <v>0.58260869565217399</v>
      </c>
      <c r="O18" s="4">
        <v>0.72434915773353747</v>
      </c>
      <c r="P18" s="4">
        <v>0.5978552278820376</v>
      </c>
      <c r="Q18" s="4">
        <v>0.86813186813186816</v>
      </c>
      <c r="R18" s="4">
        <v>0.58260869565217399</v>
      </c>
      <c r="S18" s="4">
        <v>1</v>
      </c>
      <c r="T18" s="4">
        <v>0.75970746996343375</v>
      </c>
      <c r="U18" s="4"/>
      <c r="V18" s="4"/>
      <c r="W18" s="4"/>
    </row>
    <row r="19" spans="1:23" x14ac:dyDescent="0.75">
      <c r="A19" s="3" t="s">
        <v>53</v>
      </c>
      <c r="B19" s="4">
        <v>6.5430752453653207E-2</v>
      </c>
      <c r="C19" s="4">
        <v>0.16216216216216217</v>
      </c>
      <c r="D19" s="4">
        <v>0.28610354223433238</v>
      </c>
      <c r="E19" s="4">
        <v>0.34742327735958312</v>
      </c>
      <c r="F19" s="4">
        <v>0.29126213592233008</v>
      </c>
      <c r="G19" s="4">
        <v>0.23047375160051217</v>
      </c>
      <c r="H19" s="4">
        <v>0.30371203599550062</v>
      </c>
      <c r="I19" s="4">
        <v>0.29900332225913617</v>
      </c>
      <c r="J19" s="4">
        <v>0.26785714285714285</v>
      </c>
      <c r="K19" s="4">
        <v>0.23715415019762839</v>
      </c>
      <c r="L19" s="4">
        <v>0.27027027027027029</v>
      </c>
      <c r="M19" s="4">
        <v>0.18735362997658081</v>
      </c>
      <c r="N19" s="4">
        <v>0.26726057906458794</v>
      </c>
      <c r="O19" s="4">
        <v>0.19493177387914232</v>
      </c>
      <c r="P19" s="4">
        <v>0.33792240300375465</v>
      </c>
      <c r="Q19" s="4">
        <v>0.15584415584415584</v>
      </c>
      <c r="R19" s="4">
        <v>6.5430752453653207E-2</v>
      </c>
      <c r="S19" s="4">
        <v>0.34742327735958312</v>
      </c>
      <c r="T19" s="4">
        <v>0.25134822804314327</v>
      </c>
      <c r="U19" s="4"/>
      <c r="V19" s="4"/>
      <c r="W19" s="4"/>
    </row>
    <row r="20" spans="1:23" x14ac:dyDescent="0.75">
      <c r="A20" s="3" t="s">
        <v>54</v>
      </c>
      <c r="B20" s="4">
        <v>0.93456924754634674</v>
      </c>
      <c r="C20" s="4">
        <v>0.83783783783783772</v>
      </c>
      <c r="D20" s="4">
        <v>0.71389645776566768</v>
      </c>
      <c r="E20" s="4">
        <v>0.65257672264041688</v>
      </c>
      <c r="F20" s="4">
        <v>0.70873786407766992</v>
      </c>
      <c r="G20" s="4">
        <v>0.7695262483994878</v>
      </c>
      <c r="H20" s="4">
        <v>0.69628796400449944</v>
      </c>
      <c r="I20" s="4">
        <v>0.70099667774086383</v>
      </c>
      <c r="J20" s="4">
        <v>0.73214285714285732</v>
      </c>
      <c r="K20" s="4">
        <v>0.76284584980237147</v>
      </c>
      <c r="L20" s="4">
        <v>0.72972972972972971</v>
      </c>
      <c r="M20" s="4">
        <v>0.81264637002341922</v>
      </c>
      <c r="N20" s="4">
        <v>0.73273942093541211</v>
      </c>
      <c r="O20" s="4">
        <v>0.80506822612085771</v>
      </c>
      <c r="P20" s="4">
        <v>0.66207759699624535</v>
      </c>
      <c r="Q20" s="4">
        <v>0.8441558441558441</v>
      </c>
      <c r="R20" s="4">
        <v>0.65257672264041688</v>
      </c>
      <c r="S20" s="4">
        <v>0.93456924754634674</v>
      </c>
      <c r="T20" s="4">
        <v>0.74865177195685684</v>
      </c>
      <c r="U20" s="4"/>
      <c r="V20" s="4"/>
      <c r="W20" s="4"/>
    </row>
    <row r="21" spans="1:23" x14ac:dyDescent="0.7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75">
      <c r="A22" s="3" t="s">
        <v>29</v>
      </c>
      <c r="B22" s="4" t="s">
        <v>13</v>
      </c>
      <c r="C22" s="4" t="s">
        <v>14</v>
      </c>
      <c r="D22" s="4" t="s">
        <v>15</v>
      </c>
      <c r="E22" s="4" t="s">
        <v>16</v>
      </c>
      <c r="F22" s="4" t="s">
        <v>17</v>
      </c>
      <c r="G22" s="4" t="s">
        <v>18</v>
      </c>
      <c r="H22" s="4" t="s">
        <v>19</v>
      </c>
      <c r="I22" s="4" t="s">
        <v>20</v>
      </c>
      <c r="J22" s="4" t="s">
        <v>21</v>
      </c>
      <c r="K22" s="4" t="s">
        <v>22</v>
      </c>
      <c r="L22" s="4" t="s">
        <v>23</v>
      </c>
      <c r="M22" s="4" t="s">
        <v>24</v>
      </c>
      <c r="N22" s="4" t="s">
        <v>25</v>
      </c>
      <c r="O22" s="4" t="s">
        <v>26</v>
      </c>
      <c r="P22" s="4" t="s">
        <v>27</v>
      </c>
      <c r="Q22" s="4" t="s">
        <v>28</v>
      </c>
      <c r="R22" s="4" t="s">
        <v>30</v>
      </c>
      <c r="S22" s="4" t="s">
        <v>31</v>
      </c>
      <c r="T22" s="4" t="s">
        <v>32</v>
      </c>
      <c r="U22" s="4" t="s">
        <v>33</v>
      </c>
      <c r="V22" s="4" t="s">
        <v>34</v>
      </c>
      <c r="W22" s="4" t="s">
        <v>35</v>
      </c>
    </row>
    <row r="23" spans="1:23" x14ac:dyDescent="0.75">
      <c r="A23" s="3" t="s">
        <v>0</v>
      </c>
      <c r="B23" s="4">
        <v>10.9</v>
      </c>
      <c r="C23" s="4">
        <v>12.9</v>
      </c>
      <c r="D23" s="4">
        <v>13.7</v>
      </c>
      <c r="E23" s="4">
        <v>36.299999999999997</v>
      </c>
      <c r="F23" s="4">
        <v>45.5</v>
      </c>
      <c r="G23" s="4">
        <v>13.9</v>
      </c>
      <c r="H23" s="4">
        <v>19</v>
      </c>
      <c r="I23" s="4">
        <v>19.899999999999999</v>
      </c>
      <c r="J23" s="4">
        <v>22.4</v>
      </c>
      <c r="K23" s="4">
        <v>18.600000000000001</v>
      </c>
      <c r="L23" s="4">
        <v>21</v>
      </c>
      <c r="M23" s="4">
        <v>18.8</v>
      </c>
      <c r="N23" s="4">
        <v>7</v>
      </c>
      <c r="O23" s="4">
        <v>8.8000000000000007</v>
      </c>
      <c r="P23" s="4">
        <v>27.9</v>
      </c>
      <c r="Q23" s="4">
        <v>15.3</v>
      </c>
      <c r="R23" s="4">
        <v>7</v>
      </c>
      <c r="S23" s="4">
        <v>45.5</v>
      </c>
      <c r="T23" s="4">
        <v>19.493749999999999</v>
      </c>
      <c r="U23" s="4">
        <v>9.7213340616141775</v>
      </c>
      <c r="V23" s="4">
        <v>311.89999999999998</v>
      </c>
      <c r="W23" s="4">
        <v>0.20758735440931775</v>
      </c>
    </row>
    <row r="24" spans="1:23" x14ac:dyDescent="0.75">
      <c r="A24" s="3" t="s">
        <v>55</v>
      </c>
      <c r="B24" s="4">
        <v>16.5</v>
      </c>
      <c r="C24" s="4">
        <v>4.2</v>
      </c>
      <c r="D24" s="4">
        <v>16.899999999999999</v>
      </c>
      <c r="E24" s="4">
        <v>27.9</v>
      </c>
      <c r="F24" s="4">
        <v>13.7</v>
      </c>
      <c r="G24" s="4">
        <v>8.3000000000000007</v>
      </c>
      <c r="H24" s="4">
        <v>40.4</v>
      </c>
      <c r="I24" s="4">
        <v>25.9</v>
      </c>
      <c r="J24" s="4">
        <v>15.3</v>
      </c>
      <c r="K24" s="4">
        <v>11.8</v>
      </c>
      <c r="L24" s="4">
        <v>16</v>
      </c>
      <c r="M24" s="4">
        <v>5.4</v>
      </c>
      <c r="N24" s="4">
        <v>21.6</v>
      </c>
      <c r="O24" s="4">
        <v>7.2</v>
      </c>
      <c r="P24" s="4">
        <v>20.3</v>
      </c>
      <c r="Q24" s="4">
        <v>13.8</v>
      </c>
      <c r="R24" s="4">
        <v>4.2</v>
      </c>
      <c r="S24" s="4">
        <v>40.4</v>
      </c>
      <c r="T24" s="4">
        <v>16.575000000000003</v>
      </c>
      <c r="U24" s="4">
        <v>9.0041309963815976</v>
      </c>
      <c r="V24" s="4">
        <v>265.20000000000005</v>
      </c>
      <c r="W24" s="4">
        <v>0.17650582362728787</v>
      </c>
    </row>
    <row r="25" spans="1:23" x14ac:dyDescent="0.75">
      <c r="A25" s="3" t="s">
        <v>56</v>
      </c>
      <c r="B25" s="4">
        <v>9.6</v>
      </c>
      <c r="C25" s="4">
        <v>7.4</v>
      </c>
      <c r="D25" s="4">
        <v>25.4</v>
      </c>
      <c r="E25" s="4">
        <v>11.9</v>
      </c>
      <c r="F25" s="4">
        <v>7.7</v>
      </c>
      <c r="G25" s="4">
        <v>2.2000000000000002</v>
      </c>
      <c r="H25" s="4">
        <v>8.6999999999999993</v>
      </c>
      <c r="I25" s="4">
        <v>6.4</v>
      </c>
      <c r="J25" s="4">
        <v>5.0999999999999996</v>
      </c>
      <c r="K25" s="4">
        <v>5.3</v>
      </c>
      <c r="L25" s="4">
        <v>1.9</v>
      </c>
      <c r="M25" s="4">
        <v>14.5</v>
      </c>
      <c r="N25" s="4">
        <v>8.4</v>
      </c>
      <c r="O25" s="4">
        <v>16</v>
      </c>
      <c r="P25" s="4">
        <v>7.6</v>
      </c>
      <c r="Q25" s="4">
        <v>5.7</v>
      </c>
      <c r="R25" s="4">
        <v>1.9</v>
      </c>
      <c r="S25" s="4">
        <v>25.4</v>
      </c>
      <c r="T25" s="4">
        <v>8.9874999999999989</v>
      </c>
      <c r="U25" s="4">
        <v>5.6282629425072175</v>
      </c>
      <c r="V25" s="4">
        <v>143.79999999999998</v>
      </c>
      <c r="W25" s="4">
        <v>9.5707154742096498E-2</v>
      </c>
    </row>
    <row r="26" spans="1:23" x14ac:dyDescent="0.75">
      <c r="A26" s="3" t="s">
        <v>57</v>
      </c>
      <c r="B26" s="4">
        <v>2.4</v>
      </c>
      <c r="C26" s="4">
        <v>18.8</v>
      </c>
      <c r="D26" s="4">
        <v>10.199999999999999</v>
      </c>
      <c r="E26" s="4">
        <v>15.2</v>
      </c>
      <c r="F26" s="4">
        <v>7.4</v>
      </c>
      <c r="G26" s="4">
        <v>17</v>
      </c>
      <c r="H26" s="4">
        <v>18.3</v>
      </c>
      <c r="I26" s="4">
        <v>8.5</v>
      </c>
      <c r="J26" s="4">
        <v>1.8</v>
      </c>
      <c r="K26" s="4">
        <v>12</v>
      </c>
      <c r="L26" s="4">
        <v>11</v>
      </c>
      <c r="M26" s="4">
        <v>3</v>
      </c>
      <c r="N26" s="4">
        <v>10.9</v>
      </c>
      <c r="O26" s="4">
        <v>3.5</v>
      </c>
      <c r="P26" s="4">
        <v>1.1000000000000001</v>
      </c>
      <c r="Q26" s="4">
        <v>11.5</v>
      </c>
      <c r="R26" s="4">
        <v>1.1000000000000001</v>
      </c>
      <c r="S26" s="4">
        <v>18.8</v>
      </c>
      <c r="T26" s="4">
        <v>9.5374999999999996</v>
      </c>
      <c r="U26" s="4">
        <v>5.7636658256703264</v>
      </c>
      <c r="V26" s="4">
        <v>152.6</v>
      </c>
      <c r="W26" s="4">
        <v>0.10156405990016638</v>
      </c>
    </row>
    <row r="27" spans="1:23" x14ac:dyDescent="0.75">
      <c r="A27" s="3" t="s">
        <v>58</v>
      </c>
      <c r="B27" s="4">
        <v>2.2000000000000002</v>
      </c>
      <c r="C27" s="4">
        <v>17.3</v>
      </c>
      <c r="D27" s="4">
        <v>21.5</v>
      </c>
      <c r="E27" s="4">
        <v>7</v>
      </c>
      <c r="F27" s="4">
        <v>5.7</v>
      </c>
      <c r="G27" s="4">
        <v>10.199999999999999</v>
      </c>
      <c r="H27" s="4">
        <v>20.399999999999999</v>
      </c>
      <c r="I27" s="4">
        <v>8.9</v>
      </c>
      <c r="J27" s="4">
        <v>14.8</v>
      </c>
      <c r="K27" s="4">
        <v>8.6999999999999993</v>
      </c>
      <c r="L27" s="4">
        <v>9.6</v>
      </c>
      <c r="M27" s="4">
        <v>44.8</v>
      </c>
      <c r="N27" s="4">
        <v>3.4</v>
      </c>
      <c r="O27" s="4">
        <v>12.3</v>
      </c>
      <c r="P27" s="4">
        <v>6.9</v>
      </c>
      <c r="Q27" s="4">
        <v>18.399999999999999</v>
      </c>
      <c r="R27" s="4">
        <v>2.2000000000000002</v>
      </c>
      <c r="S27" s="4">
        <v>44.8</v>
      </c>
      <c r="T27" s="4">
        <v>13.256250000000003</v>
      </c>
      <c r="U27" s="4">
        <v>9.9328349899462172</v>
      </c>
      <c r="V27" s="4">
        <v>212.10000000000005</v>
      </c>
      <c r="W27" s="4">
        <v>0.14116472545757075</v>
      </c>
    </row>
    <row r="28" spans="1:23" x14ac:dyDescent="0.75">
      <c r="A28" s="3" t="s">
        <v>59</v>
      </c>
      <c r="B28" s="4">
        <v>13.3</v>
      </c>
      <c r="C28" s="4">
        <v>12.2</v>
      </c>
      <c r="D28" s="4">
        <v>13.5</v>
      </c>
      <c r="E28" s="4">
        <v>10.6</v>
      </c>
      <c r="F28" s="4">
        <v>15.1</v>
      </c>
      <c r="G28" s="4">
        <v>12.6</v>
      </c>
      <c r="H28" s="4">
        <v>9.6</v>
      </c>
      <c r="I28" s="4">
        <v>5.3</v>
      </c>
      <c r="J28" s="4">
        <v>3</v>
      </c>
      <c r="K28" s="4">
        <v>1.2</v>
      </c>
      <c r="L28" s="4">
        <v>1.7</v>
      </c>
      <c r="M28" s="4">
        <v>1.5</v>
      </c>
      <c r="N28" s="4">
        <v>11.6</v>
      </c>
      <c r="O28" s="4">
        <v>13</v>
      </c>
      <c r="P28" s="4">
        <v>4.3</v>
      </c>
      <c r="Q28" s="4">
        <v>17.100000000000001</v>
      </c>
      <c r="R28" s="4">
        <v>1.2</v>
      </c>
      <c r="S28" s="4">
        <v>17.100000000000001</v>
      </c>
      <c r="T28" s="4">
        <v>9.1</v>
      </c>
      <c r="U28" s="4">
        <v>5.1987979379852813</v>
      </c>
      <c r="V28" s="4">
        <v>145.6</v>
      </c>
      <c r="W28" s="4">
        <v>9.6905158069883521E-2</v>
      </c>
    </row>
    <row r="29" spans="1:23" x14ac:dyDescent="0.75">
      <c r="A29" s="3" t="s">
        <v>60</v>
      </c>
      <c r="B29" s="4">
        <v>15.2</v>
      </c>
      <c r="C29" s="4">
        <v>3.9</v>
      </c>
      <c r="D29" s="4">
        <v>6.4</v>
      </c>
      <c r="E29" s="4">
        <v>8.1</v>
      </c>
      <c r="F29" s="4">
        <v>5.3</v>
      </c>
      <c r="G29" s="4">
        <v>5.9</v>
      </c>
      <c r="H29" s="4">
        <v>19.7</v>
      </c>
      <c r="I29" s="4">
        <v>8.4</v>
      </c>
      <c r="J29" s="4">
        <v>20.3</v>
      </c>
      <c r="K29" s="4">
        <v>9.6999999999999993</v>
      </c>
      <c r="L29" s="4">
        <v>11.7</v>
      </c>
      <c r="M29" s="4">
        <v>10.8</v>
      </c>
      <c r="N29" s="4">
        <v>4.3</v>
      </c>
      <c r="O29" s="4">
        <v>21.8</v>
      </c>
      <c r="P29" s="4">
        <v>7.1</v>
      </c>
      <c r="Q29" s="4">
        <v>13.7</v>
      </c>
      <c r="R29" s="4">
        <v>3.9</v>
      </c>
      <c r="S29" s="4">
        <v>21.8</v>
      </c>
      <c r="T29" s="4">
        <v>10.768750000000001</v>
      </c>
      <c r="U29" s="4">
        <v>5.648309343290256</v>
      </c>
      <c r="V29" s="4">
        <v>172.3</v>
      </c>
      <c r="W29" s="4">
        <v>0.11467554076539102</v>
      </c>
    </row>
    <row r="30" spans="1:23" x14ac:dyDescent="0.75">
      <c r="A30" s="3" t="s">
        <v>61</v>
      </c>
      <c r="B30" s="4">
        <v>2</v>
      </c>
      <c r="C30" s="4">
        <v>10</v>
      </c>
      <c r="D30" s="4">
        <v>6</v>
      </c>
      <c r="E30" s="4">
        <v>10</v>
      </c>
      <c r="F30" s="4">
        <v>6</v>
      </c>
      <c r="G30" s="4">
        <v>8</v>
      </c>
      <c r="H30" s="4">
        <v>5</v>
      </c>
      <c r="I30" s="4">
        <v>7</v>
      </c>
      <c r="J30" s="4">
        <v>2</v>
      </c>
      <c r="K30" s="4">
        <v>-3</v>
      </c>
      <c r="L30" s="4">
        <v>7</v>
      </c>
      <c r="M30" s="4">
        <v>0</v>
      </c>
      <c r="N30" s="4">
        <v>10</v>
      </c>
      <c r="O30" s="4">
        <v>6</v>
      </c>
      <c r="P30" s="4">
        <v>10</v>
      </c>
      <c r="Q30" s="4">
        <v>13</v>
      </c>
      <c r="R30" s="4">
        <v>-3</v>
      </c>
      <c r="S30" s="4">
        <v>13</v>
      </c>
      <c r="T30" s="4">
        <v>6.1875</v>
      </c>
      <c r="U30" s="4">
        <v>4.0960155944527363</v>
      </c>
      <c r="V30" s="4">
        <v>99</v>
      </c>
      <c r="W30" s="4">
        <v>6.5890183028286184E-2</v>
      </c>
    </row>
    <row r="31" spans="1:23" x14ac:dyDescent="0.7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A300A-B812-414A-BB0A-7CAC2A2D591E}">
  <sheetPr codeName="Sheet14"/>
  <dimension ref="A1:W31"/>
  <sheetViews>
    <sheetView workbookViewId="0">
      <selection activeCell="A2" sqref="A2:W31"/>
    </sheetView>
  </sheetViews>
  <sheetFormatPr defaultRowHeight="14.75" x14ac:dyDescent="0.75"/>
  <cols>
    <col min="1" max="1" width="27.90625" bestFit="1" customWidth="1"/>
    <col min="2" max="22" width="11.6796875" bestFit="1" customWidth="1"/>
    <col min="23" max="23" width="12.26953125" bestFit="1" customWidth="1"/>
  </cols>
  <sheetData>
    <row r="1" spans="1:23" x14ac:dyDescent="0.75">
      <c r="A1" s="2" t="s">
        <v>29</v>
      </c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26</v>
      </c>
      <c r="P1" s="2" t="s">
        <v>27</v>
      </c>
      <c r="Q1" s="2" t="s">
        <v>28</v>
      </c>
      <c r="R1" s="2" t="s">
        <v>30</v>
      </c>
      <c r="S1" s="2" t="s">
        <v>31</v>
      </c>
      <c r="T1" s="2" t="s">
        <v>32</v>
      </c>
      <c r="U1" s="2" t="s">
        <v>33</v>
      </c>
      <c r="V1" s="2" t="s">
        <v>34</v>
      </c>
      <c r="W1" s="2" t="s">
        <v>35</v>
      </c>
    </row>
    <row r="2" spans="1:23" x14ac:dyDescent="0.75">
      <c r="A2" s="2" t="s">
        <v>36</v>
      </c>
      <c r="B2" s="2">
        <v>132.20000000000002</v>
      </c>
      <c r="C2" s="2">
        <v>85.3</v>
      </c>
      <c r="D2" s="2">
        <v>100.4</v>
      </c>
      <c r="E2" s="2">
        <v>97.800000000000011</v>
      </c>
      <c r="F2" s="2">
        <v>94.1</v>
      </c>
      <c r="G2" s="2">
        <v>57.100000000000009</v>
      </c>
      <c r="H2" s="2">
        <v>105.8</v>
      </c>
      <c r="I2" s="2">
        <v>114</v>
      </c>
      <c r="J2" s="2">
        <v>120.2</v>
      </c>
      <c r="K2" s="2">
        <v>79.8</v>
      </c>
      <c r="L2" s="2">
        <v>119.8</v>
      </c>
      <c r="M2" s="2">
        <v>103.9</v>
      </c>
      <c r="N2" s="2">
        <v>105.5</v>
      </c>
      <c r="O2" s="2">
        <v>118.5</v>
      </c>
      <c r="P2" s="2">
        <v>152.79999999999998</v>
      </c>
      <c r="Q2" s="2">
        <v>102.8</v>
      </c>
      <c r="R2" s="2">
        <v>57.100000000000009</v>
      </c>
      <c r="S2" s="2">
        <v>152.79999999999998</v>
      </c>
      <c r="T2" s="2">
        <v>105.625</v>
      </c>
      <c r="U2" s="2">
        <v>21.283870066320201</v>
      </c>
      <c r="V2" s="2">
        <v>1690</v>
      </c>
      <c r="W2" s="2">
        <v>0.73587041713837853</v>
      </c>
    </row>
    <row r="3" spans="1:23" x14ac:dyDescent="0.75">
      <c r="A3" s="2" t="s">
        <v>37</v>
      </c>
      <c r="B3" s="2">
        <v>21.6</v>
      </c>
      <c r="C3" s="2">
        <v>35.200000000000003</v>
      </c>
      <c r="D3" s="2">
        <v>48.79999999999999</v>
      </c>
      <c r="E3" s="2">
        <v>69.5</v>
      </c>
      <c r="F3" s="2">
        <v>21.200000000000003</v>
      </c>
      <c r="G3" s="2">
        <v>20</v>
      </c>
      <c r="H3" s="2">
        <v>47</v>
      </c>
      <c r="I3" s="2">
        <v>55.3</v>
      </c>
      <c r="J3" s="2">
        <v>5.8000000000000007</v>
      </c>
      <c r="K3" s="2">
        <v>8.1</v>
      </c>
      <c r="L3" s="2">
        <v>28.6</v>
      </c>
      <c r="M3" s="2">
        <v>44.2</v>
      </c>
      <c r="N3" s="2">
        <v>57.2</v>
      </c>
      <c r="O3" s="2">
        <v>40.1</v>
      </c>
      <c r="P3" s="2">
        <v>43.1</v>
      </c>
      <c r="Q3" s="2">
        <v>60.900000000000006</v>
      </c>
      <c r="R3" s="2">
        <v>5.8000000000000007</v>
      </c>
      <c r="S3" s="2">
        <v>69.5</v>
      </c>
      <c r="T3" s="2">
        <v>37.912500000000001</v>
      </c>
      <c r="U3" s="2">
        <v>18.291421315742522</v>
      </c>
      <c r="V3" s="2">
        <v>606.6</v>
      </c>
      <c r="W3" s="2">
        <v>0.26412958286162153</v>
      </c>
    </row>
    <row r="4" spans="1:23" x14ac:dyDescent="0.75">
      <c r="A4" s="2" t="s">
        <v>38</v>
      </c>
      <c r="B4" s="2">
        <v>153.80000000000001</v>
      </c>
      <c r="C4" s="2">
        <v>120.5</v>
      </c>
      <c r="D4" s="2">
        <v>149.19999999999999</v>
      </c>
      <c r="E4" s="2">
        <v>167.3</v>
      </c>
      <c r="F4" s="2">
        <v>115.3</v>
      </c>
      <c r="G4" s="2">
        <v>77.100000000000023</v>
      </c>
      <c r="H4" s="2">
        <v>152.80000000000001</v>
      </c>
      <c r="I4" s="2">
        <v>169.29999999999998</v>
      </c>
      <c r="J4" s="2">
        <v>126</v>
      </c>
      <c r="K4" s="2">
        <v>87.899999999999977</v>
      </c>
      <c r="L4" s="2">
        <v>148.4</v>
      </c>
      <c r="M4" s="2">
        <v>148.10000000000002</v>
      </c>
      <c r="N4" s="2">
        <v>162.69999999999999</v>
      </c>
      <c r="O4" s="2">
        <v>158.6</v>
      </c>
      <c r="P4" s="2">
        <v>195.9</v>
      </c>
      <c r="Q4" s="2">
        <v>163.70000000000002</v>
      </c>
      <c r="R4" s="2">
        <v>77.100000000000023</v>
      </c>
      <c r="S4" s="2">
        <v>195.9</v>
      </c>
      <c r="T4" s="2">
        <v>143.53749999999999</v>
      </c>
      <c r="U4" s="2">
        <v>29.982867503792949</v>
      </c>
      <c r="V4" s="2">
        <v>2296.6</v>
      </c>
      <c r="W4" s="2" t="s">
        <v>39</v>
      </c>
    </row>
    <row r="5" spans="1:23" x14ac:dyDescent="0.75">
      <c r="A5" s="2" t="s">
        <v>40</v>
      </c>
      <c r="B5" s="2" t="s">
        <v>39</v>
      </c>
      <c r="C5" s="2">
        <v>2</v>
      </c>
      <c r="D5" s="2">
        <v>2</v>
      </c>
      <c r="E5" s="2">
        <v>2</v>
      </c>
      <c r="F5" s="2">
        <v>3</v>
      </c>
      <c r="G5" s="2">
        <v>3</v>
      </c>
      <c r="H5" s="2">
        <v>3</v>
      </c>
      <c r="I5" s="2">
        <v>1</v>
      </c>
      <c r="J5" s="2">
        <v>1</v>
      </c>
      <c r="K5" s="2">
        <v>3</v>
      </c>
      <c r="L5" s="2">
        <v>4</v>
      </c>
      <c r="M5" s="2">
        <v>2</v>
      </c>
      <c r="N5" s="2">
        <v>1</v>
      </c>
      <c r="O5" s="2">
        <v>3</v>
      </c>
      <c r="P5" s="2">
        <v>1</v>
      </c>
      <c r="Q5" s="2">
        <v>2</v>
      </c>
      <c r="R5" s="2">
        <v>1</v>
      </c>
      <c r="S5" s="2">
        <v>4</v>
      </c>
      <c r="T5" s="2">
        <v>2.2000000000000002</v>
      </c>
      <c r="U5" s="2">
        <v>0.90921211313239036</v>
      </c>
      <c r="V5" s="2">
        <v>33</v>
      </c>
      <c r="W5" s="2" t="s">
        <v>39</v>
      </c>
    </row>
    <row r="6" spans="1:23" x14ac:dyDescent="0.75">
      <c r="A6" s="2" t="s">
        <v>41</v>
      </c>
      <c r="B6" s="2" t="s">
        <v>39</v>
      </c>
      <c r="C6" s="2">
        <v>2</v>
      </c>
      <c r="D6" s="2">
        <v>3</v>
      </c>
      <c r="E6" s="2">
        <v>2</v>
      </c>
      <c r="F6" s="2">
        <v>2</v>
      </c>
      <c r="G6" s="2">
        <v>3</v>
      </c>
      <c r="H6" s="2">
        <v>2</v>
      </c>
      <c r="I6" s="2">
        <v>0</v>
      </c>
      <c r="J6" s="2">
        <v>0</v>
      </c>
      <c r="K6" s="2">
        <v>0</v>
      </c>
      <c r="L6" s="2">
        <v>6</v>
      </c>
      <c r="M6" s="2">
        <v>1</v>
      </c>
      <c r="N6" s="2">
        <v>1</v>
      </c>
      <c r="O6" s="2">
        <v>2</v>
      </c>
      <c r="P6" s="2">
        <v>1</v>
      </c>
      <c r="Q6" s="2">
        <v>3</v>
      </c>
      <c r="R6" s="2">
        <v>0</v>
      </c>
      <c r="S6" s="2">
        <v>6</v>
      </c>
      <c r="T6" s="2">
        <v>1.8666666666666667</v>
      </c>
      <c r="U6" s="2">
        <v>1.4996295838935989</v>
      </c>
      <c r="V6" s="2">
        <v>28</v>
      </c>
      <c r="W6" s="2" t="s">
        <v>39</v>
      </c>
    </row>
    <row r="7" spans="1:23" x14ac:dyDescent="0.75">
      <c r="A7" s="2" t="s">
        <v>42</v>
      </c>
      <c r="B7" s="2">
        <v>3</v>
      </c>
      <c r="C7" s="2">
        <v>4</v>
      </c>
      <c r="D7" s="2">
        <v>5</v>
      </c>
      <c r="E7" s="2">
        <v>3</v>
      </c>
      <c r="F7" s="2">
        <v>1</v>
      </c>
      <c r="G7" s="2">
        <v>1</v>
      </c>
      <c r="H7" s="2">
        <v>1</v>
      </c>
      <c r="I7" s="2">
        <v>2</v>
      </c>
      <c r="J7" s="2">
        <v>1</v>
      </c>
      <c r="K7" s="2">
        <v>1</v>
      </c>
      <c r="L7" s="2">
        <v>2</v>
      </c>
      <c r="M7" s="2">
        <v>3</v>
      </c>
      <c r="N7" s="2">
        <v>2</v>
      </c>
      <c r="O7" s="2">
        <v>4</v>
      </c>
      <c r="P7" s="2">
        <v>1</v>
      </c>
      <c r="Q7" s="2">
        <v>3</v>
      </c>
      <c r="R7" s="2">
        <v>1</v>
      </c>
      <c r="S7" s="2">
        <v>5</v>
      </c>
      <c r="T7" s="2">
        <v>2.3125</v>
      </c>
      <c r="U7" s="2">
        <v>1.260890062614501</v>
      </c>
      <c r="V7" s="2">
        <v>37</v>
      </c>
      <c r="W7" s="2" t="s">
        <v>39</v>
      </c>
    </row>
    <row r="8" spans="1:23" x14ac:dyDescent="0.75">
      <c r="A8" s="2" t="s">
        <v>43</v>
      </c>
      <c r="B8" s="2">
        <v>143.4</v>
      </c>
      <c r="C8" s="2">
        <v>99.2</v>
      </c>
      <c r="D8" s="2">
        <v>120.5</v>
      </c>
      <c r="E8" s="2">
        <v>130.5</v>
      </c>
      <c r="F8" s="2">
        <v>98.2</v>
      </c>
      <c r="G8" s="2">
        <v>71.099999999999994</v>
      </c>
      <c r="H8" s="2">
        <v>113.2</v>
      </c>
      <c r="I8" s="2">
        <v>141.9</v>
      </c>
      <c r="J8" s="2">
        <v>120.6</v>
      </c>
      <c r="K8" s="2">
        <v>81.8</v>
      </c>
      <c r="L8" s="2">
        <v>133</v>
      </c>
      <c r="M8" s="2">
        <v>110.8</v>
      </c>
      <c r="N8" s="2">
        <v>131.9</v>
      </c>
      <c r="O8" s="2">
        <v>137</v>
      </c>
      <c r="P8" s="2">
        <v>154.6</v>
      </c>
      <c r="Q8" s="2">
        <v>110.5</v>
      </c>
      <c r="R8" s="2">
        <v>71.099999999999994</v>
      </c>
      <c r="S8" s="2">
        <v>154.6</v>
      </c>
      <c r="T8" s="2">
        <v>118.6375</v>
      </c>
      <c r="U8" s="2">
        <v>22.198757707358261</v>
      </c>
      <c r="V8" s="2">
        <v>1898.2</v>
      </c>
      <c r="W8" s="2" t="s">
        <v>39</v>
      </c>
    </row>
    <row r="9" spans="1:23" x14ac:dyDescent="0.75">
      <c r="A9" s="2" t="s">
        <v>44</v>
      </c>
      <c r="B9">
        <v>0.92189679218967935</v>
      </c>
      <c r="C9">
        <v>0.8598790322580645</v>
      </c>
      <c r="D9">
        <v>0.83319502074688789</v>
      </c>
      <c r="E9">
        <v>0.74942528735632197</v>
      </c>
      <c r="F9">
        <v>0.9582484725050916</v>
      </c>
      <c r="G9">
        <v>0.80309423347398046</v>
      </c>
      <c r="H9">
        <v>0.93462897526501776</v>
      </c>
      <c r="I9">
        <v>0.80338266384778001</v>
      </c>
      <c r="J9">
        <v>0.99668325041459371</v>
      </c>
      <c r="K9">
        <v>0.97555012224938875</v>
      </c>
      <c r="L9">
        <v>0.90075187969924819</v>
      </c>
      <c r="M9">
        <v>0.93772563176895307</v>
      </c>
      <c r="N9">
        <v>0.7998483699772555</v>
      </c>
      <c r="O9">
        <v>0.86496350364963503</v>
      </c>
      <c r="P9">
        <v>0.98835705045278133</v>
      </c>
      <c r="Q9">
        <v>0.93031674208144799</v>
      </c>
      <c r="R9">
        <v>0.74942528735632197</v>
      </c>
      <c r="S9">
        <v>0.99668325041459371</v>
      </c>
      <c r="T9">
        <v>0.8911216892460081</v>
      </c>
      <c r="U9" t="s">
        <v>39</v>
      </c>
      <c r="V9">
        <v>0.89031714255610572</v>
      </c>
      <c r="W9">
        <v>0</v>
      </c>
    </row>
    <row r="10" spans="1:23" x14ac:dyDescent="0.75">
      <c r="A10" s="2"/>
    </row>
    <row r="11" spans="1:23" x14ac:dyDescent="0.75">
      <c r="A11" s="2" t="s">
        <v>45</v>
      </c>
      <c r="B11" t="s">
        <v>13</v>
      </c>
      <c r="C11" t="s">
        <v>14</v>
      </c>
      <c r="D11" t="s">
        <v>15</v>
      </c>
      <c r="E11" t="s">
        <v>16</v>
      </c>
      <c r="F11" t="s">
        <v>17</v>
      </c>
      <c r="G11" t="s">
        <v>18</v>
      </c>
      <c r="H11" t="s">
        <v>19</v>
      </c>
      <c r="I11" t="s">
        <v>20</v>
      </c>
      <c r="J11" t="s">
        <v>21</v>
      </c>
      <c r="K11" t="s">
        <v>22</v>
      </c>
      <c r="L11" t="s">
        <v>23</v>
      </c>
      <c r="M11" t="s">
        <v>24</v>
      </c>
      <c r="N11" t="s">
        <v>25</v>
      </c>
      <c r="O11" t="s">
        <v>26</v>
      </c>
      <c r="P11" t="s">
        <v>27</v>
      </c>
      <c r="Q11" t="s">
        <v>28</v>
      </c>
      <c r="R11" t="s">
        <v>30</v>
      </c>
      <c r="S11" t="s">
        <v>31</v>
      </c>
      <c r="T11" t="s">
        <v>32</v>
      </c>
      <c r="U11" t="s">
        <v>33</v>
      </c>
      <c r="V11" t="s">
        <v>34</v>
      </c>
      <c r="W11" t="s">
        <v>35</v>
      </c>
    </row>
    <row r="12" spans="1:23" x14ac:dyDescent="0.75">
      <c r="A12" s="2" t="s">
        <v>46</v>
      </c>
      <c r="B12">
        <v>7</v>
      </c>
      <c r="C12">
        <v>4</v>
      </c>
      <c r="D12">
        <v>4</v>
      </c>
      <c r="E12">
        <v>3</v>
      </c>
      <c r="F12">
        <v>3</v>
      </c>
      <c r="G12">
        <v>1</v>
      </c>
      <c r="H12">
        <v>4</v>
      </c>
      <c r="I12">
        <v>5</v>
      </c>
      <c r="J12">
        <v>7</v>
      </c>
      <c r="K12">
        <v>2</v>
      </c>
      <c r="L12">
        <v>5</v>
      </c>
      <c r="M12">
        <v>3</v>
      </c>
      <c r="N12">
        <v>5</v>
      </c>
      <c r="O12">
        <v>5</v>
      </c>
      <c r="P12">
        <v>8</v>
      </c>
      <c r="Q12">
        <v>4</v>
      </c>
      <c r="R12">
        <v>1</v>
      </c>
      <c r="S12">
        <v>8</v>
      </c>
      <c r="T12">
        <v>4.375</v>
      </c>
      <c r="U12">
        <v>1.7984368212422699</v>
      </c>
      <c r="V12">
        <v>70</v>
      </c>
      <c r="W12">
        <v>0.72164948453608235</v>
      </c>
    </row>
    <row r="13" spans="1:23" x14ac:dyDescent="0.75">
      <c r="A13" s="2" t="s">
        <v>47</v>
      </c>
      <c r="B13">
        <v>0</v>
      </c>
      <c r="C13">
        <v>1</v>
      </c>
      <c r="D13">
        <v>3</v>
      </c>
      <c r="E13">
        <v>5</v>
      </c>
      <c r="F13">
        <v>1</v>
      </c>
      <c r="G13">
        <v>1</v>
      </c>
      <c r="H13">
        <v>3</v>
      </c>
      <c r="I13">
        <v>3</v>
      </c>
      <c r="J13">
        <v>0</v>
      </c>
      <c r="K13">
        <v>0</v>
      </c>
      <c r="L13">
        <v>1</v>
      </c>
      <c r="M13">
        <v>1</v>
      </c>
      <c r="N13">
        <v>2</v>
      </c>
      <c r="O13">
        <v>1</v>
      </c>
      <c r="P13">
        <v>3</v>
      </c>
      <c r="Q13">
        <v>2</v>
      </c>
      <c r="R13">
        <v>0</v>
      </c>
      <c r="S13">
        <v>5</v>
      </c>
      <c r="T13">
        <v>1.6875</v>
      </c>
      <c r="U13">
        <v>1.3564084008881692</v>
      </c>
      <c r="V13">
        <v>27</v>
      </c>
      <c r="W13">
        <v>0.27835051546391754</v>
      </c>
    </row>
    <row r="14" spans="1:23" x14ac:dyDescent="0.75">
      <c r="A14" s="2" t="s">
        <v>48</v>
      </c>
      <c r="B14">
        <v>7</v>
      </c>
      <c r="C14">
        <v>5</v>
      </c>
      <c r="D14">
        <v>7</v>
      </c>
      <c r="E14">
        <v>8</v>
      </c>
      <c r="F14">
        <v>4</v>
      </c>
      <c r="G14">
        <v>2</v>
      </c>
      <c r="H14">
        <v>7</v>
      </c>
      <c r="I14">
        <v>8</v>
      </c>
      <c r="J14">
        <v>7</v>
      </c>
      <c r="K14">
        <v>2</v>
      </c>
      <c r="L14">
        <v>6</v>
      </c>
      <c r="M14">
        <v>4</v>
      </c>
      <c r="N14">
        <v>7</v>
      </c>
      <c r="O14">
        <v>6</v>
      </c>
      <c r="P14">
        <v>11</v>
      </c>
      <c r="Q14">
        <v>6</v>
      </c>
      <c r="R14">
        <v>2</v>
      </c>
      <c r="S14">
        <v>11</v>
      </c>
      <c r="T14">
        <v>6.0625</v>
      </c>
      <c r="U14">
        <v>2.2211694554896075</v>
      </c>
      <c r="V14">
        <v>97</v>
      </c>
    </row>
    <row r="15" spans="1:23" x14ac:dyDescent="0.75">
      <c r="A15" s="2" t="s">
        <v>49</v>
      </c>
      <c r="B15">
        <v>0.31770045385779117</v>
      </c>
      <c r="C15">
        <v>0.2813599062133646</v>
      </c>
      <c r="D15">
        <v>0.23904382470119523</v>
      </c>
      <c r="E15">
        <v>0.18404907975460119</v>
      </c>
      <c r="F15">
        <v>0.19128586609989373</v>
      </c>
      <c r="G15">
        <v>0.10507880910683012</v>
      </c>
      <c r="H15">
        <v>0.22684310018903589</v>
      </c>
      <c r="I15">
        <v>0.26315789473684215</v>
      </c>
      <c r="J15">
        <v>0.34941763727121461</v>
      </c>
      <c r="K15">
        <v>0.15037593984962405</v>
      </c>
      <c r="L15">
        <v>0.25041736227045075</v>
      </c>
      <c r="M15">
        <v>0.17324350336862368</v>
      </c>
      <c r="N15">
        <v>0.28436018957345971</v>
      </c>
      <c r="O15">
        <v>0.25316455696202533</v>
      </c>
      <c r="P15">
        <v>0.31413612565445032</v>
      </c>
      <c r="Q15">
        <v>0.23346303501945523</v>
      </c>
      <c r="R15">
        <v>0.10507880910683012</v>
      </c>
      <c r="S15">
        <v>0.34941763727121461</v>
      </c>
      <c r="T15">
        <v>0.24852071005917159</v>
      </c>
    </row>
    <row r="16" spans="1:23" x14ac:dyDescent="0.75">
      <c r="A16" s="2" t="s">
        <v>50</v>
      </c>
      <c r="B16">
        <v>0.68229954614220878</v>
      </c>
      <c r="C16">
        <v>0.7186400937866354</v>
      </c>
      <c r="D16">
        <v>0.76095617529880477</v>
      </c>
      <c r="E16">
        <v>0.81595092024539873</v>
      </c>
      <c r="F16">
        <v>0.80871413390010627</v>
      </c>
      <c r="G16">
        <v>0.8949211908931699</v>
      </c>
      <c r="H16">
        <v>0.77315689981096414</v>
      </c>
      <c r="I16">
        <v>0.73684210526315796</v>
      </c>
      <c r="J16">
        <v>0.65058236272878545</v>
      </c>
      <c r="K16">
        <v>0.84962406015037595</v>
      </c>
      <c r="L16">
        <v>0.74958263772954925</v>
      </c>
      <c r="M16">
        <v>0.82675649663137629</v>
      </c>
      <c r="N16">
        <v>0.71563981042654023</v>
      </c>
      <c r="O16">
        <v>0.74683544303797467</v>
      </c>
      <c r="P16">
        <v>0.68586387434554963</v>
      </c>
      <c r="Q16">
        <v>0.7665369649805448</v>
      </c>
      <c r="R16">
        <v>0.65058236272878545</v>
      </c>
      <c r="S16">
        <v>0.8949211908931699</v>
      </c>
      <c r="T16">
        <v>0.75147928994082847</v>
      </c>
    </row>
    <row r="17" spans="1:23" x14ac:dyDescent="0.75">
      <c r="A17" s="2" t="s">
        <v>51</v>
      </c>
      <c r="B17">
        <v>0</v>
      </c>
      <c r="C17">
        <v>0.17045454545454544</v>
      </c>
      <c r="D17">
        <v>0.36885245901639352</v>
      </c>
      <c r="E17">
        <v>0.43165467625899279</v>
      </c>
      <c r="F17">
        <v>0.28301886792452824</v>
      </c>
      <c r="G17">
        <v>0.3</v>
      </c>
      <c r="H17">
        <v>0.38297872340425537</v>
      </c>
      <c r="I17">
        <v>0.32549728752260393</v>
      </c>
      <c r="J17">
        <v>0</v>
      </c>
      <c r="K17">
        <v>0</v>
      </c>
      <c r="L17">
        <v>0.20979020979020979</v>
      </c>
      <c r="M17">
        <v>0.13574660633484162</v>
      </c>
      <c r="N17">
        <v>0.20979020979020979</v>
      </c>
      <c r="O17">
        <v>0.14962593516209477</v>
      </c>
      <c r="P17">
        <v>0.41763341067285387</v>
      </c>
      <c r="Q17">
        <v>0.19704433497536944</v>
      </c>
      <c r="R17">
        <v>0</v>
      </c>
      <c r="S17">
        <v>0.43165467625899279</v>
      </c>
      <c r="T17">
        <v>0.26706231454005935</v>
      </c>
    </row>
    <row r="18" spans="1:23" x14ac:dyDescent="0.75">
      <c r="A18" s="2" t="s">
        <v>52</v>
      </c>
      <c r="B18">
        <v>1</v>
      </c>
      <c r="C18">
        <v>0.82954545454545459</v>
      </c>
      <c r="D18">
        <v>0.63114754098360648</v>
      </c>
      <c r="E18">
        <v>0.56834532374100721</v>
      </c>
      <c r="F18">
        <v>0.71698113207547176</v>
      </c>
      <c r="G18">
        <v>0.7</v>
      </c>
      <c r="H18">
        <v>0.61702127659574468</v>
      </c>
      <c r="I18">
        <v>0.67450271247739613</v>
      </c>
      <c r="J18">
        <v>1</v>
      </c>
      <c r="K18">
        <v>1</v>
      </c>
      <c r="L18">
        <v>0.79020979020979021</v>
      </c>
      <c r="M18">
        <v>0.86425339366515841</v>
      </c>
      <c r="N18">
        <v>0.79020979020979021</v>
      </c>
      <c r="O18">
        <v>0.85037406483790523</v>
      </c>
      <c r="P18">
        <v>0.58236658932714613</v>
      </c>
      <c r="Q18">
        <v>0.80295566502463056</v>
      </c>
      <c r="R18">
        <v>0.56834532374100721</v>
      </c>
      <c r="S18">
        <v>1</v>
      </c>
      <c r="T18">
        <v>0.73293768545994065</v>
      </c>
    </row>
    <row r="19" spans="1:23" x14ac:dyDescent="0.75">
      <c r="A19" s="2" t="s">
        <v>53</v>
      </c>
      <c r="B19">
        <v>0.27308192457737318</v>
      </c>
      <c r="C19">
        <v>0.24896265560165975</v>
      </c>
      <c r="D19">
        <v>0.28150134048257375</v>
      </c>
      <c r="E19">
        <v>0.28690974297668859</v>
      </c>
      <c r="F19">
        <v>0.20815264527320035</v>
      </c>
      <c r="G19">
        <v>0.15564202334630348</v>
      </c>
      <c r="H19">
        <v>0.27486910994764396</v>
      </c>
      <c r="I19">
        <v>0.28352037802717073</v>
      </c>
      <c r="J19">
        <v>0.33333333333333331</v>
      </c>
      <c r="K19">
        <v>0.13651877133105805</v>
      </c>
      <c r="L19">
        <v>0.2425876010781671</v>
      </c>
      <c r="M19">
        <v>0.16205266711681293</v>
      </c>
      <c r="N19">
        <v>0.25814382298709282</v>
      </c>
      <c r="O19">
        <v>0.2269861286254729</v>
      </c>
      <c r="P19">
        <v>0.33690658499234305</v>
      </c>
      <c r="Q19">
        <v>0.21991447770311545</v>
      </c>
      <c r="R19">
        <v>0.13651877133105805</v>
      </c>
      <c r="S19">
        <v>0.33690658499234305</v>
      </c>
      <c r="T19">
        <v>0.25341809631629364</v>
      </c>
    </row>
    <row r="20" spans="1:23" x14ac:dyDescent="0.75">
      <c r="A20" s="2" t="s">
        <v>54</v>
      </c>
      <c r="B20">
        <v>0.72691807542262676</v>
      </c>
      <c r="C20">
        <v>0.75103734439834036</v>
      </c>
      <c r="D20">
        <v>0.71849865951742631</v>
      </c>
      <c r="E20">
        <v>0.71309025702331141</v>
      </c>
      <c r="F20">
        <v>0.79184735472679968</v>
      </c>
      <c r="G20">
        <v>0.8443579766536965</v>
      </c>
      <c r="H20">
        <v>0.7251308900523562</v>
      </c>
      <c r="I20">
        <v>0.71647962197282933</v>
      </c>
      <c r="J20">
        <v>0.66666666666666674</v>
      </c>
      <c r="K20">
        <v>0.86348122866894195</v>
      </c>
      <c r="L20">
        <v>0.75741239892183276</v>
      </c>
      <c r="M20">
        <v>0.83794733288318701</v>
      </c>
      <c r="N20">
        <v>0.74185617701290718</v>
      </c>
      <c r="O20">
        <v>0.77301387137452715</v>
      </c>
      <c r="P20">
        <v>0.66309341500765695</v>
      </c>
      <c r="Q20">
        <v>0.78008552229688444</v>
      </c>
      <c r="R20">
        <v>0.66309341500765695</v>
      </c>
      <c r="S20">
        <v>0.86348122866894195</v>
      </c>
      <c r="T20">
        <v>0.74658190368370636</v>
      </c>
    </row>
    <row r="21" spans="1:23" x14ac:dyDescent="0.75">
      <c r="A21" s="2"/>
    </row>
    <row r="22" spans="1:23" x14ac:dyDescent="0.75">
      <c r="A22" s="2" t="s">
        <v>29</v>
      </c>
      <c r="B22" t="s">
        <v>13</v>
      </c>
      <c r="C22" t="s">
        <v>14</v>
      </c>
      <c r="D22" t="s">
        <v>15</v>
      </c>
      <c r="E22" t="s">
        <v>16</v>
      </c>
      <c r="F22" t="s">
        <v>17</v>
      </c>
      <c r="G22" t="s">
        <v>18</v>
      </c>
      <c r="H22" t="s">
        <v>19</v>
      </c>
      <c r="I22" t="s">
        <v>20</v>
      </c>
      <c r="J22" t="s">
        <v>21</v>
      </c>
      <c r="K22" t="s">
        <v>22</v>
      </c>
      <c r="L22" t="s">
        <v>23</v>
      </c>
      <c r="M22" t="s">
        <v>24</v>
      </c>
      <c r="N22" t="s">
        <v>25</v>
      </c>
      <c r="O22" t="s">
        <v>26</v>
      </c>
      <c r="P22" t="s">
        <v>27</v>
      </c>
      <c r="Q22" t="s">
        <v>28</v>
      </c>
      <c r="R22" t="s">
        <v>30</v>
      </c>
      <c r="S22" t="s">
        <v>31</v>
      </c>
      <c r="T22" t="s">
        <v>32</v>
      </c>
      <c r="U22" t="s">
        <v>33</v>
      </c>
      <c r="V22" t="s">
        <v>34</v>
      </c>
      <c r="W22" t="s">
        <v>35</v>
      </c>
    </row>
    <row r="23" spans="1:23" x14ac:dyDescent="0.75">
      <c r="A23" s="2" t="s">
        <v>0</v>
      </c>
      <c r="B23">
        <v>22.8</v>
      </c>
      <c r="C23">
        <v>14.5</v>
      </c>
      <c r="D23">
        <v>7.6</v>
      </c>
      <c r="E23">
        <v>13.3</v>
      </c>
      <c r="F23">
        <v>20.5</v>
      </c>
      <c r="G23">
        <v>2.4</v>
      </c>
      <c r="H23">
        <v>22</v>
      </c>
      <c r="I23">
        <v>18.7</v>
      </c>
      <c r="J23">
        <v>30.9</v>
      </c>
      <c r="K23">
        <v>2.9</v>
      </c>
      <c r="L23">
        <v>8.6999999999999993</v>
      </c>
      <c r="M23">
        <v>16</v>
      </c>
      <c r="N23">
        <v>3.8</v>
      </c>
      <c r="O23">
        <v>23.2</v>
      </c>
      <c r="P23">
        <v>23.4</v>
      </c>
      <c r="Q23">
        <v>11.4</v>
      </c>
      <c r="R23">
        <v>2.4</v>
      </c>
      <c r="S23">
        <v>30.9</v>
      </c>
      <c r="T23">
        <v>15.13125</v>
      </c>
      <c r="U23">
        <v>8.2396691946643088</v>
      </c>
      <c r="V23">
        <v>242.1</v>
      </c>
      <c r="W23">
        <v>0.1432544378698225</v>
      </c>
    </row>
    <row r="24" spans="1:23" x14ac:dyDescent="0.75">
      <c r="A24" s="2" t="s">
        <v>55</v>
      </c>
      <c r="B24">
        <v>18.399999999999999</v>
      </c>
      <c r="C24">
        <v>7.3</v>
      </c>
      <c r="D24">
        <v>10.4</v>
      </c>
      <c r="E24">
        <v>12.3</v>
      </c>
      <c r="F24">
        <v>11.9</v>
      </c>
      <c r="G24">
        <v>13.5</v>
      </c>
      <c r="H24">
        <v>24.7</v>
      </c>
      <c r="I24">
        <v>26.3</v>
      </c>
      <c r="J24">
        <v>2.5</v>
      </c>
      <c r="K24">
        <v>7.5</v>
      </c>
      <c r="L24">
        <v>25.1</v>
      </c>
      <c r="M24">
        <v>9.9</v>
      </c>
      <c r="N24">
        <v>11.2</v>
      </c>
      <c r="O24">
        <v>21.6</v>
      </c>
      <c r="P24">
        <v>23.6</v>
      </c>
      <c r="Q24">
        <v>17.2</v>
      </c>
      <c r="R24">
        <v>2.5</v>
      </c>
      <c r="S24">
        <v>26.3</v>
      </c>
      <c r="T24">
        <v>15.2125</v>
      </c>
      <c r="U24">
        <v>7.1130931211393582</v>
      </c>
      <c r="V24">
        <v>243.4</v>
      </c>
      <c r="W24">
        <v>0.14402366863905325</v>
      </c>
    </row>
    <row r="25" spans="1:23" x14ac:dyDescent="0.75">
      <c r="A25" s="2" t="s">
        <v>56</v>
      </c>
      <c r="B25">
        <v>43.1</v>
      </c>
      <c r="C25">
        <v>24.4</v>
      </c>
      <c r="D25">
        <v>24.8</v>
      </c>
      <c r="E25">
        <v>14.1</v>
      </c>
      <c r="F25">
        <v>13.1</v>
      </c>
      <c r="G25">
        <v>10.199999999999999</v>
      </c>
      <c r="H25">
        <v>13.7</v>
      </c>
      <c r="I25">
        <v>8.3000000000000007</v>
      </c>
      <c r="J25">
        <v>8.1</v>
      </c>
      <c r="K25">
        <v>22.3</v>
      </c>
      <c r="L25">
        <v>9.1999999999999993</v>
      </c>
      <c r="M25">
        <v>3.1</v>
      </c>
      <c r="N25">
        <v>7.8</v>
      </c>
      <c r="O25">
        <v>21.3</v>
      </c>
      <c r="P25">
        <v>36.1</v>
      </c>
      <c r="Q25">
        <v>18.600000000000001</v>
      </c>
      <c r="R25">
        <v>3.1</v>
      </c>
      <c r="S25">
        <v>43.1</v>
      </c>
      <c r="T25">
        <v>17.387500000000003</v>
      </c>
      <c r="U25">
        <v>10.555500639477032</v>
      </c>
      <c r="V25">
        <v>278.20000000000005</v>
      </c>
      <c r="W25">
        <v>0.16461538461538464</v>
      </c>
    </row>
    <row r="26" spans="1:23" x14ac:dyDescent="0.75">
      <c r="A26" s="2" t="s">
        <v>57</v>
      </c>
      <c r="B26">
        <v>7</v>
      </c>
      <c r="C26">
        <v>11.4</v>
      </c>
      <c r="D26">
        <v>18.2</v>
      </c>
      <c r="E26">
        <v>18.899999999999999</v>
      </c>
      <c r="F26">
        <v>0.9</v>
      </c>
      <c r="G26">
        <v>2.6</v>
      </c>
      <c r="H26">
        <v>11.7</v>
      </c>
      <c r="I26">
        <v>11.2</v>
      </c>
      <c r="J26">
        <v>10.5</v>
      </c>
      <c r="K26">
        <v>16.2</v>
      </c>
      <c r="L26">
        <v>12.1</v>
      </c>
      <c r="M26">
        <v>7.7</v>
      </c>
      <c r="N26">
        <v>15.5</v>
      </c>
      <c r="O26">
        <v>22.7</v>
      </c>
      <c r="P26">
        <v>19.8</v>
      </c>
      <c r="Q26">
        <v>8.6</v>
      </c>
      <c r="R26">
        <v>0.9</v>
      </c>
      <c r="S26">
        <v>22.7</v>
      </c>
      <c r="T26">
        <v>12.187499999999998</v>
      </c>
      <c r="U26">
        <v>5.919657401404244</v>
      </c>
      <c r="V26">
        <v>194.99999999999997</v>
      </c>
      <c r="W26">
        <v>0.11538461538461536</v>
      </c>
    </row>
    <row r="27" spans="1:23" x14ac:dyDescent="0.75">
      <c r="A27" s="2" t="s">
        <v>58</v>
      </c>
      <c r="B27">
        <v>24.2</v>
      </c>
      <c r="C27">
        <v>4.0999999999999996</v>
      </c>
      <c r="D27">
        <v>33.299999999999997</v>
      </c>
      <c r="E27">
        <v>12.3</v>
      </c>
      <c r="F27">
        <v>11.7</v>
      </c>
      <c r="G27">
        <v>5.5</v>
      </c>
      <c r="H27">
        <v>3.2</v>
      </c>
      <c r="I27">
        <v>4.5999999999999996</v>
      </c>
      <c r="J27">
        <v>4.2</v>
      </c>
      <c r="K27">
        <v>15.8</v>
      </c>
      <c r="L27">
        <v>5.2</v>
      </c>
      <c r="M27">
        <v>10</v>
      </c>
      <c r="N27">
        <v>4.7</v>
      </c>
      <c r="O27">
        <v>13.6</v>
      </c>
      <c r="P27">
        <v>17.399999999999999</v>
      </c>
      <c r="Q27">
        <v>14.8</v>
      </c>
      <c r="R27">
        <v>3.2</v>
      </c>
      <c r="S27">
        <v>33.299999999999997</v>
      </c>
      <c r="T27">
        <v>11.5375</v>
      </c>
      <c r="U27">
        <v>8.1183338038048163</v>
      </c>
      <c r="V27">
        <v>184.6</v>
      </c>
      <c r="W27">
        <v>0.10923076923076924</v>
      </c>
    </row>
    <row r="28" spans="1:23" x14ac:dyDescent="0.75">
      <c r="A28" s="2" t="s">
        <v>59</v>
      </c>
      <c r="B28">
        <v>6.9</v>
      </c>
      <c r="C28">
        <v>20.3</v>
      </c>
      <c r="D28">
        <v>0.6</v>
      </c>
      <c r="E28">
        <v>20.9</v>
      </c>
      <c r="F28">
        <v>13.8</v>
      </c>
      <c r="G28">
        <v>5.7</v>
      </c>
      <c r="H28">
        <v>11.3</v>
      </c>
      <c r="I28">
        <v>22.8</v>
      </c>
      <c r="J28">
        <v>16.8</v>
      </c>
      <c r="K28">
        <v>1.5</v>
      </c>
      <c r="L28">
        <v>12.9</v>
      </c>
      <c r="M28">
        <v>5.4</v>
      </c>
      <c r="N28">
        <v>23.4</v>
      </c>
      <c r="O28">
        <v>10.9</v>
      </c>
      <c r="P28">
        <v>7.6</v>
      </c>
      <c r="Q28">
        <v>12.7</v>
      </c>
      <c r="R28">
        <v>0.6</v>
      </c>
      <c r="S28">
        <v>23.4</v>
      </c>
      <c r="T28">
        <v>12.09375</v>
      </c>
      <c r="U28">
        <v>7.0385961624105109</v>
      </c>
      <c r="V28">
        <v>193.5</v>
      </c>
      <c r="W28">
        <v>0.11449704142011834</v>
      </c>
    </row>
    <row r="29" spans="1:23" x14ac:dyDescent="0.75">
      <c r="A29" s="2" t="s">
        <v>60</v>
      </c>
      <c r="B29">
        <v>1.8</v>
      </c>
      <c r="C29">
        <v>1.3</v>
      </c>
      <c r="D29">
        <v>3.5</v>
      </c>
      <c r="E29">
        <v>8</v>
      </c>
      <c r="F29">
        <v>19.2</v>
      </c>
      <c r="G29">
        <v>13.2</v>
      </c>
      <c r="H29">
        <v>13.2</v>
      </c>
      <c r="I29">
        <v>15.1</v>
      </c>
      <c r="J29">
        <v>28.2</v>
      </c>
      <c r="K29">
        <v>3.6</v>
      </c>
      <c r="L29">
        <v>22.6</v>
      </c>
      <c r="M29">
        <v>33.799999999999997</v>
      </c>
      <c r="N29">
        <v>27.1</v>
      </c>
      <c r="O29">
        <v>4.2</v>
      </c>
      <c r="P29">
        <v>17.899999999999999</v>
      </c>
      <c r="Q29">
        <v>12.5</v>
      </c>
      <c r="R29">
        <v>1.3</v>
      </c>
      <c r="S29">
        <v>33.799999999999997</v>
      </c>
      <c r="T29">
        <v>14.074999999999999</v>
      </c>
      <c r="U29">
        <v>9.8321221005437085</v>
      </c>
      <c r="V29">
        <v>225.2</v>
      </c>
      <c r="W29">
        <v>0.13325443786982247</v>
      </c>
    </row>
    <row r="30" spans="1:23" x14ac:dyDescent="0.75">
      <c r="A30" s="2" t="s">
        <v>61</v>
      </c>
      <c r="B30">
        <v>8</v>
      </c>
      <c r="C30">
        <v>2</v>
      </c>
      <c r="D30">
        <v>2</v>
      </c>
      <c r="E30">
        <v>-2</v>
      </c>
      <c r="F30">
        <v>3</v>
      </c>
      <c r="G30">
        <v>4</v>
      </c>
      <c r="H30">
        <v>6</v>
      </c>
      <c r="I30">
        <v>7</v>
      </c>
      <c r="J30">
        <v>19</v>
      </c>
      <c r="K30">
        <v>10</v>
      </c>
      <c r="L30">
        <v>24</v>
      </c>
      <c r="M30">
        <v>18</v>
      </c>
      <c r="N30">
        <v>12</v>
      </c>
      <c r="O30">
        <v>1</v>
      </c>
      <c r="P30">
        <v>7</v>
      </c>
      <c r="Q30">
        <v>7</v>
      </c>
      <c r="R30">
        <v>-2</v>
      </c>
      <c r="S30">
        <v>24</v>
      </c>
      <c r="T30">
        <v>8</v>
      </c>
      <c r="U30">
        <v>6.9191762515490236</v>
      </c>
      <c r="V30">
        <v>128</v>
      </c>
      <c r="W30">
        <v>7.5739644970414202E-2</v>
      </c>
    </row>
    <row r="31" spans="1:23" x14ac:dyDescent="0.75">
      <c r="A31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30B986-D01E-4CA5-8AB1-84017C8B46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Team Stats</vt:lpstr>
      <vt:lpstr>Season Positional Summary</vt:lpstr>
      <vt:lpstr>All Positional Stats</vt:lpstr>
      <vt:lpstr>5 INT 7-8</vt:lpstr>
      <vt:lpstr>Octobers Very Own</vt:lpstr>
      <vt:lpstr>King Goffrey</vt:lpstr>
      <vt:lpstr>Pitts Likes Dicks</vt:lpstr>
      <vt:lpstr>Queen B</vt:lpstr>
      <vt:lpstr>Team Binder</vt:lpstr>
      <vt:lpstr>Team capt queef</vt:lpstr>
      <vt:lpstr>Team No Trades</vt:lpstr>
      <vt:lpstr>Team Quintanilla</vt:lpstr>
      <vt:lpstr>Team Ratliff</vt:lpstr>
      <vt:lpstr>The Dictator</vt:lpstr>
      <vt:lpstr>The Last Jedi</vt:lpstr>
      <vt:lpstr>DST_Table</vt:lpstr>
      <vt:lpstr>FLEX_Table</vt:lpstr>
      <vt:lpstr>QB_Table</vt:lpstr>
      <vt:lpstr>RB1_Table</vt:lpstr>
      <vt:lpstr>RB2_Table</vt:lpstr>
      <vt:lpstr>TE_Table</vt:lpstr>
      <vt:lpstr>WR1_Table</vt:lpstr>
      <vt:lpstr>WR2_Table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Cody Baker</dc:creator>
  <cp:lastModifiedBy>Cody Baker</cp:lastModifiedBy>
  <dcterms:created xsi:type="dcterms:W3CDTF">2018-02-17T12:58:27Z</dcterms:created>
  <dcterms:modified xsi:type="dcterms:W3CDTF">2018-02-24T16:37:25Z</dcterms:modified>
</cp:coreProperties>
</file>