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36\projects\ESPN_Data\Stats\Team Data\"/>
    </mc:Choice>
  </mc:AlternateContent>
  <bookViews>
    <workbookView xWindow="240" yWindow="15" windowWidth="16095" windowHeight="9660" activeTab="1" xr2:uid="{00000000-000D-0000-FFFF-FFFF00000000}"/>
  </bookViews>
  <sheets>
    <sheet name="Stats" sheetId="18" r:id="rId1"/>
    <sheet name="Summary" sheetId="17" r:id="rId2"/>
    <sheet name="Week 1" sheetId="1" r:id="rId3"/>
    <sheet name="Week 2" sheetId="2" r:id="rId4"/>
    <sheet name="Week 3" sheetId="3" r:id="rId5"/>
    <sheet name="Week 4" sheetId="4" r:id="rId6"/>
    <sheet name="Week 5" sheetId="5" r:id="rId7"/>
    <sheet name="Week 6" sheetId="6" r:id="rId8"/>
    <sheet name="Week 7" sheetId="7" r:id="rId9"/>
    <sheet name="Week 8" sheetId="8" r:id="rId10"/>
    <sheet name="Week 9" sheetId="9" r:id="rId11"/>
    <sheet name="Week 10" sheetId="10" r:id="rId12"/>
    <sheet name="Week 11" sheetId="11" r:id="rId13"/>
    <sheet name="Week 12" sheetId="12" r:id="rId14"/>
    <sheet name="Week 13" sheetId="13" r:id="rId15"/>
    <sheet name="Week 14" sheetId="14" r:id="rId16"/>
    <sheet name="Week 15" sheetId="15" r:id="rId17"/>
    <sheet name="Week 16" sheetId="16" r:id="rId18"/>
  </sheets>
  <calcPr calcId="171027" calcMode="manual"/>
</workbook>
</file>

<file path=xl/calcChain.xml><?xml version="1.0" encoding="utf-8"?>
<calcChain xmlns="http://schemas.openxmlformats.org/spreadsheetml/2006/main">
  <c r="V8" i="18" l="1"/>
  <c r="U8" i="18"/>
  <c r="T8" i="18"/>
  <c r="S8" i="18"/>
  <c r="R8" i="18"/>
  <c r="V7" i="18"/>
  <c r="U7" i="18"/>
  <c r="T7" i="18"/>
  <c r="S7" i="18"/>
  <c r="R7" i="18"/>
  <c r="B5" i="18" a="1"/>
  <c r="B5" i="18" s="1"/>
  <c r="B6" i="18" a="1"/>
  <c r="B6" i="18" s="1"/>
  <c r="C12" i="17"/>
  <c r="C4" i="17"/>
  <c r="C13" i="17"/>
  <c r="C14" i="17"/>
  <c r="C15" i="17"/>
  <c r="C7" i="17"/>
  <c r="C16" i="17"/>
  <c r="C8" i="17"/>
  <c r="C17" i="17"/>
  <c r="C9" i="17"/>
  <c r="C3" i="17"/>
  <c r="C10" i="17"/>
  <c r="C11" i="17"/>
  <c r="C5" i="17"/>
  <c r="C6" i="17"/>
  <c r="I13" i="17"/>
  <c r="I5" i="17"/>
  <c r="I14" i="17"/>
  <c r="I6" i="17"/>
  <c r="I15" i="17"/>
  <c r="I7" i="17"/>
  <c r="I3" i="17"/>
  <c r="I4" i="17"/>
  <c r="I16" i="17"/>
  <c r="I8" i="17"/>
  <c r="I17" i="17"/>
  <c r="I9" i="17"/>
  <c r="I12" i="17"/>
  <c r="I10" i="17"/>
  <c r="I11" i="17"/>
  <c r="O13" i="17"/>
  <c r="O5" i="17"/>
  <c r="O14" i="17"/>
  <c r="O6" i="17"/>
  <c r="O15" i="17"/>
  <c r="O7" i="17"/>
  <c r="O11" i="17"/>
  <c r="O4" i="17"/>
  <c r="O16" i="17"/>
  <c r="O8" i="17"/>
  <c r="O3" i="17"/>
  <c r="O17" i="17"/>
  <c r="O9" i="17"/>
  <c r="O10" i="17"/>
  <c r="O12" i="17"/>
  <c r="U14" i="17"/>
  <c r="U6" i="17"/>
  <c r="U8" i="17"/>
  <c r="U17" i="17"/>
  <c r="U4" i="17"/>
  <c r="U15" i="17"/>
  <c r="U7" i="17"/>
  <c r="U16" i="17"/>
  <c r="U9" i="17"/>
  <c r="U5" i="17"/>
  <c r="U10" i="17"/>
  <c r="U11" i="17"/>
  <c r="U3" i="17"/>
  <c r="U12" i="17"/>
  <c r="U13" i="17"/>
  <c r="AA15" i="17"/>
  <c r="AA7" i="17"/>
  <c r="AA9" i="17"/>
  <c r="AA12" i="17"/>
  <c r="AA16" i="17"/>
  <c r="AA8" i="17"/>
  <c r="AA17" i="17"/>
  <c r="AA5" i="17"/>
  <c r="AA14" i="17"/>
  <c r="AA6" i="17"/>
  <c r="AA10" i="17"/>
  <c r="AA11" i="17"/>
  <c r="AA3" i="17"/>
  <c r="AA4" i="17"/>
  <c r="AA13" i="17"/>
  <c r="AG13" i="17"/>
  <c r="AG5" i="17"/>
  <c r="AG14" i="17"/>
  <c r="AG6" i="17"/>
  <c r="AG8" i="17"/>
  <c r="AG4" i="17"/>
  <c r="AG15" i="17"/>
  <c r="AG7" i="17"/>
  <c r="AG16" i="17"/>
  <c r="AG11" i="17"/>
  <c r="AG12" i="17"/>
  <c r="AG17" i="17"/>
  <c r="AG9" i="17"/>
  <c r="AG10" i="17"/>
  <c r="AG3" i="17"/>
  <c r="AM13" i="17"/>
  <c r="AM5" i="17"/>
  <c r="AM14" i="17"/>
  <c r="AM6" i="17"/>
  <c r="AM15" i="17"/>
  <c r="AM7" i="17"/>
  <c r="AM12" i="17"/>
  <c r="AM16" i="17"/>
  <c r="AM8" i="17"/>
  <c r="AM3" i="17"/>
  <c r="AM17" i="17"/>
  <c r="AM9" i="17"/>
  <c r="AM10" i="17"/>
  <c r="AM11" i="17"/>
  <c r="AM4" i="17"/>
  <c r="AS14" i="17"/>
  <c r="AS6" i="17"/>
  <c r="AS16" i="17"/>
  <c r="AS17" i="17"/>
  <c r="AS15" i="17"/>
  <c r="AS7" i="17"/>
  <c r="AS8" i="17"/>
  <c r="AS9" i="17"/>
  <c r="AS10" i="17"/>
  <c r="AS13" i="17"/>
  <c r="AS11" i="17"/>
  <c r="AS3" i="17"/>
  <c r="AS12" i="17"/>
  <c r="AS4" i="17"/>
  <c r="AS5" i="17"/>
  <c r="CO13" i="17"/>
  <c r="CO5" i="17"/>
  <c r="CO14" i="17"/>
  <c r="CO6" i="17"/>
  <c r="CO15" i="17"/>
  <c r="CO7" i="17"/>
  <c r="CO3" i="17"/>
  <c r="CO16" i="17"/>
  <c r="CO8" i="17"/>
  <c r="CO17" i="17"/>
  <c r="CO9" i="17"/>
  <c r="CO12" i="17"/>
  <c r="CO10" i="17"/>
  <c r="CO11" i="17"/>
  <c r="CO4" i="17"/>
  <c r="CI13" i="17"/>
  <c r="CI5" i="17"/>
  <c r="CI14" i="17"/>
  <c r="CI6" i="17"/>
  <c r="CI15" i="17"/>
  <c r="CI7" i="17"/>
  <c r="CI11" i="17"/>
  <c r="CI4" i="17"/>
  <c r="CI16" i="17"/>
  <c r="CI8" i="17"/>
  <c r="CI17" i="17"/>
  <c r="CI9" i="17"/>
  <c r="CI3" i="17"/>
  <c r="CI12" i="17"/>
  <c r="CI10" i="17"/>
  <c r="CC12" i="17"/>
  <c r="CC4" i="17"/>
  <c r="CC7" i="17"/>
  <c r="CC13" i="17"/>
  <c r="CC5" i="17"/>
  <c r="CC14" i="17"/>
  <c r="CC6" i="17"/>
  <c r="CC15" i="17"/>
  <c r="CC16" i="17"/>
  <c r="CC8" i="17"/>
  <c r="CC11" i="17"/>
  <c r="CC17" i="17"/>
  <c r="CC9" i="17"/>
  <c r="CC10" i="17"/>
  <c r="CC3" i="17"/>
  <c r="BW15" i="17"/>
  <c r="BW7" i="17"/>
  <c r="BW12" i="17"/>
  <c r="BW6" i="17"/>
  <c r="BW16" i="17"/>
  <c r="BW8" i="17"/>
  <c r="BW17" i="17"/>
  <c r="BW9" i="17"/>
  <c r="BW14" i="17"/>
  <c r="BW10" i="17"/>
  <c r="BW11" i="17"/>
  <c r="BW3" i="17"/>
  <c r="BW4" i="17"/>
  <c r="BW13" i="17"/>
  <c r="BW5" i="17"/>
  <c r="BQ15" i="17"/>
  <c r="BQ7" i="17"/>
  <c r="BQ16" i="17"/>
  <c r="BQ8" i="17"/>
  <c r="BQ17" i="17"/>
  <c r="BQ9" i="17"/>
  <c r="BQ3" i="17"/>
  <c r="BQ4" i="17"/>
  <c r="BQ13" i="17"/>
  <c r="BQ10" i="17"/>
  <c r="BQ11" i="17"/>
  <c r="BQ12" i="17"/>
  <c r="BQ5" i="17"/>
  <c r="BQ14" i="17"/>
  <c r="BQ6" i="17"/>
  <c r="BK15" i="17"/>
  <c r="BK7" i="17"/>
  <c r="BK16" i="17"/>
  <c r="BK8" i="17"/>
  <c r="BK17" i="17"/>
  <c r="BK9" i="17"/>
  <c r="BK11" i="17"/>
  <c r="BK12" i="17"/>
  <c r="BK13" i="17"/>
  <c r="BK6" i="17"/>
  <c r="BK10" i="17"/>
  <c r="BK3" i="17"/>
  <c r="BK4" i="17"/>
  <c r="BK5" i="17"/>
  <c r="BK14" i="17"/>
  <c r="BE13" i="17"/>
  <c r="BE5" i="17"/>
  <c r="BE14" i="17"/>
  <c r="BE6" i="17"/>
  <c r="BE15" i="17"/>
  <c r="BE7" i="17"/>
  <c r="BE10" i="17"/>
  <c r="BE11" i="17"/>
  <c r="BE4" i="17"/>
  <c r="BE16" i="17"/>
  <c r="BE8" i="17"/>
  <c r="BE3" i="17"/>
  <c r="BE17" i="17"/>
  <c r="BE9" i="17"/>
  <c r="BE12" i="17"/>
  <c r="AY13" i="17"/>
  <c r="AY5" i="17"/>
  <c r="AY4" i="17"/>
  <c r="AY14" i="17"/>
  <c r="AY6" i="17"/>
  <c r="AY16" i="17"/>
  <c r="AY3" i="17"/>
  <c r="AY15" i="17"/>
  <c r="AY7" i="17"/>
  <c r="AY8" i="17"/>
  <c r="AY12" i="17"/>
  <c r="AY17" i="17"/>
  <c r="AY9" i="17"/>
  <c r="AY10" i="17"/>
  <c r="AY11" i="17"/>
  <c r="CQ17" i="17" l="1" a="1"/>
  <c r="CQ17" i="17" s="1"/>
  <c r="CP17" i="17"/>
  <c r="CN17" i="17"/>
  <c r="CK17" i="17" a="1"/>
  <c r="CK17" i="17" s="1"/>
  <c r="CJ17" i="17"/>
  <c r="CH17" i="17"/>
  <c r="AZ17" i="17"/>
  <c r="BA17" i="17" a="1"/>
  <c r="BA17" i="17" s="1"/>
  <c r="AX17" i="17"/>
  <c r="E6" i="17" a="1"/>
  <c r="D11" i="17"/>
  <c r="D9" i="17"/>
  <c r="D16" i="17"/>
  <c r="D15" i="17"/>
  <c r="D4" i="17"/>
  <c r="B6" i="17"/>
  <c r="E16" i="17" a="1"/>
  <c r="E17" i="17" a="1"/>
  <c r="D5" i="17"/>
  <c r="B10" i="17"/>
  <c r="D17" i="17"/>
  <c r="B7" i="17"/>
  <c r="B14" i="17"/>
  <c r="B12" i="17"/>
  <c r="E10" i="17" a="1"/>
  <c r="D6" i="17"/>
  <c r="D12" i="17"/>
  <c r="E5" i="17" a="1"/>
  <c r="B3" i="17"/>
  <c r="B17" i="17"/>
  <c r="E7" i="17" a="1"/>
  <c r="D13" i="17"/>
  <c r="E12" i="17" a="1"/>
  <c r="E13" i="17" a="1"/>
  <c r="B4" i="17"/>
  <c r="B9" i="17"/>
  <c r="E4" i="17" a="1"/>
  <c r="D10" i="17"/>
  <c r="B5" i="17"/>
  <c r="E3" i="17" a="1"/>
  <c r="D8" i="17"/>
  <c r="D7" i="17"/>
  <c r="B16" i="17"/>
  <c r="B11" i="17"/>
  <c r="D3" i="17"/>
  <c r="E8" i="17" a="1"/>
  <c r="E15" i="17" a="1"/>
  <c r="B13" i="17"/>
  <c r="E11" i="17" a="1"/>
  <c r="E9" i="17" a="1"/>
  <c r="B8" i="17"/>
  <c r="B15" i="17"/>
  <c r="E14" i="17" a="1"/>
  <c r="D14" i="17"/>
  <c r="H11" i="17"/>
  <c r="K12" i="17" a="1"/>
  <c r="J8" i="17"/>
  <c r="K3" i="17" a="1"/>
  <c r="H15" i="17"/>
  <c r="J5" i="17"/>
  <c r="J6" i="17"/>
  <c r="K16" i="17" a="1"/>
  <c r="H6" i="17"/>
  <c r="H13" i="17"/>
  <c r="J13" i="17"/>
  <c r="J14" i="17"/>
  <c r="K15" i="17" a="1"/>
  <c r="K4" i="17" a="1"/>
  <c r="K11" i="17" a="1"/>
  <c r="K9" i="17" a="1"/>
  <c r="H8" i="17"/>
  <c r="H3" i="17"/>
  <c r="H5" i="17"/>
  <c r="J11" i="17"/>
  <c r="J9" i="17"/>
  <c r="J3" i="17"/>
  <c r="J4" i="17"/>
  <c r="J12" i="17"/>
  <c r="K10" i="17" a="1"/>
  <c r="H9" i="17"/>
  <c r="J16" i="17"/>
  <c r="K7" i="17" a="1"/>
  <c r="K6" i="17" a="1"/>
  <c r="H17" i="17"/>
  <c r="K5" i="17" a="1"/>
  <c r="H10" i="17"/>
  <c r="K17" i="17" a="1"/>
  <c r="H16" i="17"/>
  <c r="J7" i="17"/>
  <c r="K13" i="17" a="1"/>
  <c r="H12" i="17"/>
  <c r="K14" i="17" a="1"/>
  <c r="J15" i="17"/>
  <c r="J10" i="17"/>
  <c r="J17" i="17"/>
  <c r="H4" i="17"/>
  <c r="H7" i="17"/>
  <c r="H14" i="17"/>
  <c r="K8" i="17" a="1"/>
  <c r="N12" i="17"/>
  <c r="N9" i="17"/>
  <c r="P8" i="17"/>
  <c r="N11" i="17"/>
  <c r="N15" i="17"/>
  <c r="Q5" i="17" a="1"/>
  <c r="Q12" i="17" a="1"/>
  <c r="P17" i="17"/>
  <c r="Q10" i="17" a="1"/>
  <c r="N17" i="17"/>
  <c r="P16" i="17"/>
  <c r="Q7" i="17" a="1"/>
  <c r="Q6" i="17" a="1"/>
  <c r="Q13" i="17" a="1"/>
  <c r="P6" i="17"/>
  <c r="Q11" i="17" a="1"/>
  <c r="P10" i="17"/>
  <c r="P3" i="17"/>
  <c r="N16" i="17"/>
  <c r="P7" i="17"/>
  <c r="P14" i="17"/>
  <c r="P13" i="17"/>
  <c r="P15" i="17"/>
  <c r="P11" i="17"/>
  <c r="N5" i="17"/>
  <c r="Q16" i="17" a="1"/>
  <c r="N10" i="17"/>
  <c r="N3" i="17"/>
  <c r="N4" i="17"/>
  <c r="N7" i="17"/>
  <c r="N14" i="17"/>
  <c r="Q17" i="17" a="1"/>
  <c r="N6" i="17"/>
  <c r="Q9" i="17" a="1"/>
  <c r="Q3" i="17" a="1"/>
  <c r="P4" i="17"/>
  <c r="Q15" i="17" a="1"/>
  <c r="Q14" i="17" a="1"/>
  <c r="P9" i="17"/>
  <c r="Q8" i="17" a="1"/>
  <c r="Q4" i="17" a="1"/>
  <c r="P5" i="17"/>
  <c r="N8" i="17"/>
  <c r="P12" i="17"/>
  <c r="N13" i="17"/>
  <c r="T13" i="17"/>
  <c r="T3" i="17"/>
  <c r="W5" i="17" a="1"/>
  <c r="V7" i="17"/>
  <c r="T4" i="17"/>
  <c r="W6" i="17" a="1"/>
  <c r="V5" i="17"/>
  <c r="V6" i="17"/>
  <c r="T7" i="17"/>
  <c r="T12" i="17"/>
  <c r="T11" i="17"/>
  <c r="W9" i="17" a="1"/>
  <c r="V15" i="17"/>
  <c r="T17" i="17"/>
  <c r="T14" i="17"/>
  <c r="W11" i="17" a="1"/>
  <c r="W12" i="17" a="1"/>
  <c r="W10" i="17" a="1"/>
  <c r="T9" i="17"/>
  <c r="T15" i="17"/>
  <c r="W8" i="17" a="1"/>
  <c r="W14" i="17" a="1"/>
  <c r="T8" i="17"/>
  <c r="W7" i="17" a="1"/>
  <c r="V11" i="17"/>
  <c r="V14" i="17"/>
  <c r="V12" i="17"/>
  <c r="V10" i="17"/>
  <c r="W16" i="17" a="1"/>
  <c r="W15" i="17" a="1"/>
  <c r="V13" i="17"/>
  <c r="W17" i="17" a="1"/>
  <c r="W3" i="17" a="1"/>
  <c r="T10" i="17"/>
  <c r="V16" i="17"/>
  <c r="W4" i="17" a="1"/>
  <c r="V8" i="17"/>
  <c r="V3" i="17"/>
  <c r="T5" i="17"/>
  <c r="T16" i="17"/>
  <c r="V4" i="17"/>
  <c r="T6" i="17"/>
  <c r="W13" i="17" a="1"/>
  <c r="V17" i="17"/>
  <c r="V9" i="17"/>
  <c r="AC13" i="17" a="1"/>
  <c r="AB3" i="17"/>
  <c r="AC6" i="17" a="1"/>
  <c r="AC17" i="17" a="1"/>
  <c r="AC16" i="17" a="1"/>
  <c r="Z17" i="17"/>
  <c r="AC4" i="17" a="1"/>
  <c r="Z11" i="17"/>
  <c r="AB14" i="17"/>
  <c r="AB8" i="17"/>
  <c r="AB12" i="17"/>
  <c r="Z15" i="17"/>
  <c r="AB9" i="17"/>
  <c r="AC11" i="17" a="1"/>
  <c r="Z7" i="17"/>
  <c r="Z14" i="17"/>
  <c r="AB4" i="17"/>
  <c r="AC10" i="17" a="1"/>
  <c r="AC14" i="17" a="1"/>
  <c r="Z8" i="17"/>
  <c r="AC9" i="17" a="1"/>
  <c r="AC15" i="17" a="1"/>
  <c r="AC7" i="17" a="1"/>
  <c r="AB13" i="17"/>
  <c r="AB17" i="17"/>
  <c r="AB11" i="17"/>
  <c r="Z4" i="17"/>
  <c r="AB10" i="17"/>
  <c r="AC5" i="17" a="1"/>
  <c r="AC8" i="17" a="1"/>
  <c r="AB15" i="17"/>
  <c r="AC3" i="17" a="1"/>
  <c r="Z10" i="17"/>
  <c r="AB5" i="17"/>
  <c r="AB16" i="17"/>
  <c r="Z9" i="17"/>
  <c r="Z3" i="17"/>
  <c r="Z6" i="17"/>
  <c r="Z5" i="17"/>
  <c r="Z16" i="17"/>
  <c r="AB7" i="17"/>
  <c r="AB6" i="17"/>
  <c r="Z12" i="17"/>
  <c r="Z13" i="17"/>
  <c r="AC12" i="17" a="1"/>
  <c r="AF3" i="17"/>
  <c r="AF9" i="17"/>
  <c r="AI11" i="17" a="1"/>
  <c r="AI15" i="17" a="1"/>
  <c r="AF8" i="17"/>
  <c r="AH5" i="17"/>
  <c r="AH11" i="17"/>
  <c r="AH6" i="17"/>
  <c r="AH17" i="17"/>
  <c r="AI13" i="17" a="1"/>
  <c r="AI10" i="17" a="1"/>
  <c r="AF17" i="17"/>
  <c r="AH16" i="17"/>
  <c r="AF4" i="17"/>
  <c r="AI6" i="17" a="1"/>
  <c r="AH13" i="17"/>
  <c r="AF14" i="17"/>
  <c r="AF15" i="17"/>
  <c r="AH10" i="17"/>
  <c r="AF12" i="17"/>
  <c r="AF16" i="17"/>
  <c r="AI4" i="17" a="1"/>
  <c r="AH14" i="17"/>
  <c r="AF13" i="17"/>
  <c r="AI5" i="17" a="1"/>
  <c r="AI3" i="17" a="1"/>
  <c r="AH15" i="17"/>
  <c r="AH3" i="17"/>
  <c r="AF6" i="17"/>
  <c r="AF10" i="17"/>
  <c r="AI12" i="17" a="1"/>
  <c r="AI7" i="17" a="1"/>
  <c r="AH4" i="17"/>
  <c r="AI9" i="17" a="1"/>
  <c r="AH12" i="17"/>
  <c r="AH7" i="17"/>
  <c r="AI8" i="17" a="1"/>
  <c r="AI14" i="17" a="1"/>
  <c r="AH9" i="17"/>
  <c r="AF11" i="17"/>
  <c r="AF7" i="17"/>
  <c r="AH8" i="17"/>
  <c r="AI17" i="17" a="1"/>
  <c r="AF5" i="17"/>
  <c r="AI16" i="17" a="1"/>
  <c r="AL4" i="17"/>
  <c r="AN10" i="17"/>
  <c r="AL3" i="17"/>
  <c r="AL12" i="17"/>
  <c r="AL15" i="17"/>
  <c r="AO5" i="17" a="1"/>
  <c r="AN11" i="17"/>
  <c r="AN9" i="17"/>
  <c r="AN8" i="17"/>
  <c r="AO7" i="17" a="1"/>
  <c r="AL6" i="17"/>
  <c r="AO13" i="17" a="1"/>
  <c r="AO9" i="17" a="1"/>
  <c r="AO6" i="17" a="1"/>
  <c r="AO11" i="17" a="1"/>
  <c r="AO17" i="17" a="1"/>
  <c r="AL8" i="17"/>
  <c r="AN7" i="17"/>
  <c r="AN14" i="17"/>
  <c r="AN13" i="17"/>
  <c r="AL14" i="17"/>
  <c r="AN15" i="17"/>
  <c r="AO3" i="17" a="1"/>
  <c r="AN5" i="17"/>
  <c r="AO8" i="17" a="1"/>
  <c r="AL11" i="17"/>
  <c r="AN17" i="17"/>
  <c r="AO16" i="17" a="1"/>
  <c r="AL7" i="17"/>
  <c r="AN12" i="17"/>
  <c r="AL9" i="17"/>
  <c r="AL13" i="17"/>
  <c r="AO10" i="17" a="1"/>
  <c r="AL17" i="17"/>
  <c r="AN16" i="17"/>
  <c r="AO15" i="17" a="1"/>
  <c r="AO14" i="17" a="1"/>
  <c r="AL10" i="17"/>
  <c r="AN3" i="17"/>
  <c r="AL16" i="17"/>
  <c r="AL5" i="17"/>
  <c r="AO4" i="17" a="1"/>
  <c r="AN6" i="17"/>
  <c r="AN4" i="17"/>
  <c r="AO12" i="17" a="1"/>
  <c r="AT5" i="17"/>
  <c r="AT3" i="17"/>
  <c r="AU13" i="17" a="1"/>
  <c r="AR8" i="17"/>
  <c r="AU17" i="17" a="1"/>
  <c r="AT6" i="17"/>
  <c r="AU11" i="17" a="1"/>
  <c r="AR7" i="17"/>
  <c r="AU5" i="17" a="1"/>
  <c r="AR3" i="17"/>
  <c r="AU10" i="17" a="1"/>
  <c r="AT8" i="17"/>
  <c r="AT17" i="17"/>
  <c r="AR14" i="17"/>
  <c r="AU16" i="17" a="1"/>
  <c r="AU15" i="17" a="1"/>
  <c r="AU4" i="17" a="1"/>
  <c r="AU3" i="17" a="1"/>
  <c r="AT10" i="17"/>
  <c r="AT7" i="17"/>
  <c r="AR17" i="17"/>
  <c r="AU14" i="17" a="1"/>
  <c r="AR4" i="17"/>
  <c r="AR10" i="17"/>
  <c r="AT14" i="17"/>
  <c r="AT4" i="17"/>
  <c r="AT11" i="17"/>
  <c r="AU9" i="17" a="1"/>
  <c r="AU7" i="17" a="1"/>
  <c r="AT16" i="17"/>
  <c r="AU12" i="17" a="1"/>
  <c r="AR11" i="17"/>
  <c r="AT9" i="17"/>
  <c r="AT15" i="17"/>
  <c r="AR16" i="17"/>
  <c r="AR5" i="17"/>
  <c r="AT13" i="17"/>
  <c r="AU6" i="17" a="1"/>
  <c r="AT12" i="17"/>
  <c r="AR13" i="17"/>
  <c r="AR9" i="17"/>
  <c r="AR15" i="17"/>
  <c r="AR6" i="17"/>
  <c r="AR12" i="17"/>
  <c r="AU8" i="17" a="1"/>
  <c r="CN4" i="17"/>
  <c r="CN10" i="17"/>
  <c r="CN3" i="17"/>
  <c r="CN15" i="17"/>
  <c r="CQ5" i="17" a="1"/>
  <c r="CN12" i="17"/>
  <c r="CP5" i="17"/>
  <c r="CQ8" i="17" a="1"/>
  <c r="CN11" i="17"/>
  <c r="CQ12" i="17" a="1"/>
  <c r="CP8" i="17"/>
  <c r="CQ7" i="17" a="1"/>
  <c r="CQ6" i="17" a="1"/>
  <c r="CQ13" i="17" a="1"/>
  <c r="CN16" i="17"/>
  <c r="CN5" i="17"/>
  <c r="CP3" i="17"/>
  <c r="CQ11" i="17" a="1"/>
  <c r="CQ9" i="17" a="1"/>
  <c r="CN8" i="17"/>
  <c r="CP7" i="17"/>
  <c r="CP14" i="17"/>
  <c r="CP13" i="17"/>
  <c r="CP6" i="17"/>
  <c r="CP4" i="17"/>
  <c r="CN6" i="17"/>
  <c r="CP11" i="17"/>
  <c r="CP9" i="17"/>
  <c r="CQ16" i="17" a="1"/>
  <c r="CN7" i="17"/>
  <c r="CN14" i="17"/>
  <c r="CP10" i="17"/>
  <c r="CP15" i="17"/>
  <c r="CQ3" i="17" a="1"/>
  <c r="CP12" i="17"/>
  <c r="CQ10" i="17" a="1"/>
  <c r="CN9" i="17"/>
  <c r="CP16" i="17"/>
  <c r="CQ15" i="17" a="1"/>
  <c r="CQ14" i="17" a="1"/>
  <c r="CQ4" i="17" a="1"/>
  <c r="CN13" i="17"/>
  <c r="CK10" i="17" a="1"/>
  <c r="CJ3" i="17"/>
  <c r="CJ8" i="17"/>
  <c r="CH11" i="17"/>
  <c r="CH15" i="17"/>
  <c r="CJ5" i="17"/>
  <c r="CH8" i="17"/>
  <c r="CK16" i="17" a="1"/>
  <c r="CH12" i="17"/>
  <c r="CH9" i="17"/>
  <c r="CJ16" i="17"/>
  <c r="CK7" i="17" a="1"/>
  <c r="CK6" i="17" a="1"/>
  <c r="CK13" i="17" a="1"/>
  <c r="CJ13" i="17"/>
  <c r="CK8" i="17" a="1"/>
  <c r="CJ10" i="17"/>
  <c r="CH5" i="17"/>
  <c r="CJ11" i="17"/>
  <c r="CK12" i="17" a="1"/>
  <c r="CH16" i="17"/>
  <c r="CJ7" i="17"/>
  <c r="CJ14" i="17"/>
  <c r="CK5" i="17" a="1"/>
  <c r="CK11" i="17" a="1"/>
  <c r="CH13" i="17"/>
  <c r="CJ12" i="17"/>
  <c r="CH4" i="17"/>
  <c r="CH7" i="17"/>
  <c r="CH14" i="17"/>
  <c r="CJ4" i="17"/>
  <c r="CJ15" i="17"/>
  <c r="CK9" i="17" a="1"/>
  <c r="CJ9" i="17"/>
  <c r="CH6" i="17"/>
  <c r="CK3" i="17" a="1"/>
  <c r="CK4" i="17" a="1"/>
  <c r="CK15" i="17" a="1"/>
  <c r="CK14" i="17" a="1"/>
  <c r="CH3" i="17"/>
  <c r="CJ6" i="17"/>
  <c r="CH10" i="17"/>
  <c r="CB3" i="17"/>
  <c r="CB9" i="17"/>
  <c r="CD8" i="17"/>
  <c r="CE6" i="17" a="1"/>
  <c r="CE5" i="17" a="1"/>
  <c r="CE4" i="17" a="1"/>
  <c r="CB6" i="17"/>
  <c r="CD12" i="17"/>
  <c r="CE10" i="17" a="1"/>
  <c r="CB17" i="17"/>
  <c r="CD16" i="17"/>
  <c r="CE14" i="17" a="1"/>
  <c r="CE13" i="17" a="1"/>
  <c r="CB12" i="17"/>
  <c r="CB5" i="17"/>
  <c r="CB8" i="17"/>
  <c r="CD10" i="17"/>
  <c r="CB11" i="17"/>
  <c r="CB16" i="17"/>
  <c r="CD14" i="17"/>
  <c r="CE7" i="17" a="1"/>
  <c r="CE12" i="17" a="1"/>
  <c r="CB14" i="17"/>
  <c r="CB4" i="17"/>
  <c r="CD3" i="17"/>
  <c r="CD6" i="17"/>
  <c r="CD17" i="17"/>
  <c r="CB13" i="17"/>
  <c r="CB10" i="17"/>
  <c r="CE11" i="17" a="1"/>
  <c r="CE15" i="17" a="1"/>
  <c r="CD7" i="17"/>
  <c r="CD4" i="17"/>
  <c r="CE16" i="17" a="1"/>
  <c r="CE9" i="17" a="1"/>
  <c r="CD11" i="17"/>
  <c r="CD15" i="17"/>
  <c r="CD5" i="17"/>
  <c r="CB7" i="17"/>
  <c r="CD9" i="17"/>
  <c r="CE8" i="17" a="1"/>
  <c r="CB15" i="17"/>
  <c r="CE17" i="17" a="1"/>
  <c r="CD13" i="17"/>
  <c r="CE3" i="17" a="1"/>
  <c r="BX5" i="17"/>
  <c r="BX4" i="17"/>
  <c r="BY10" i="17" a="1"/>
  <c r="BY17" i="17" a="1"/>
  <c r="BV16" i="17"/>
  <c r="BY7" i="17" a="1"/>
  <c r="BX17" i="17"/>
  <c r="BV3" i="17"/>
  <c r="BY15" i="17" a="1"/>
  <c r="BY13" i="17" a="1"/>
  <c r="BX3" i="17"/>
  <c r="BX14" i="17"/>
  <c r="BX8" i="17"/>
  <c r="BY6" i="17" a="1"/>
  <c r="BV15" i="17"/>
  <c r="BV7" i="17"/>
  <c r="BY5" i="17" a="1"/>
  <c r="BX13" i="17"/>
  <c r="BY11" i="17" a="1"/>
  <c r="BY14" i="17" a="1"/>
  <c r="BV8" i="17"/>
  <c r="BV12" i="17"/>
  <c r="BX15" i="17"/>
  <c r="BY12" i="17" a="1"/>
  <c r="BY16" i="17" a="1"/>
  <c r="BV10" i="17"/>
  <c r="BX7" i="17"/>
  <c r="BV17" i="17"/>
  <c r="BV13" i="17"/>
  <c r="BV11" i="17"/>
  <c r="BY9" i="17" a="1"/>
  <c r="BY8" i="17" a="1"/>
  <c r="BV6" i="17"/>
  <c r="BV5" i="17"/>
  <c r="BX6" i="17"/>
  <c r="BV4" i="17"/>
  <c r="BX11" i="17"/>
  <c r="BX9" i="17"/>
  <c r="BX16" i="17"/>
  <c r="BX12" i="17"/>
  <c r="BY4" i="17" a="1"/>
  <c r="BX10" i="17"/>
  <c r="BV9" i="17"/>
  <c r="BY3" i="17" a="1"/>
  <c r="BV14" i="17"/>
  <c r="BP6" i="17"/>
  <c r="BS5" i="17" a="1"/>
  <c r="BR10" i="17"/>
  <c r="BS3" i="17" a="1"/>
  <c r="BR6" i="17"/>
  <c r="BS12" i="17" a="1"/>
  <c r="BP10" i="17"/>
  <c r="BR3" i="17"/>
  <c r="BS6" i="17" a="1"/>
  <c r="BR12" i="17"/>
  <c r="BP13" i="17"/>
  <c r="BP3" i="17"/>
  <c r="BS8" i="17" a="1"/>
  <c r="BP14" i="17"/>
  <c r="BP12" i="17"/>
  <c r="BR13" i="17"/>
  <c r="BS9" i="17" a="1"/>
  <c r="BP8" i="17"/>
  <c r="BS15" i="17" a="1"/>
  <c r="BP11" i="17"/>
  <c r="BP7" i="17"/>
  <c r="BP15" i="17"/>
  <c r="BR14" i="17"/>
  <c r="BS11" i="17" a="1"/>
  <c r="BS13" i="17" a="1"/>
  <c r="BR9" i="17"/>
  <c r="BR16" i="17"/>
  <c r="BR15" i="17"/>
  <c r="BR4" i="17"/>
  <c r="BP16" i="17"/>
  <c r="BR17" i="17"/>
  <c r="BP17" i="17"/>
  <c r="BR8" i="17"/>
  <c r="BS14" i="17" a="1"/>
  <c r="BP9" i="17"/>
  <c r="BR5" i="17"/>
  <c r="BR11" i="17"/>
  <c r="BP4" i="17"/>
  <c r="BS17" i="17" a="1"/>
  <c r="BS16" i="17" a="1"/>
  <c r="BP5" i="17"/>
  <c r="BS10" i="17" a="1"/>
  <c r="BS4" i="17" a="1"/>
  <c r="BR7" i="17"/>
  <c r="BS7" i="17" a="1"/>
  <c r="BJ14" i="17"/>
  <c r="BM4" i="17" a="1"/>
  <c r="BL6" i="17"/>
  <c r="BM11" i="17" a="1"/>
  <c r="BJ17" i="17"/>
  <c r="BL7" i="17"/>
  <c r="BL11" i="17"/>
  <c r="BJ3" i="17"/>
  <c r="BL5" i="17"/>
  <c r="BL3" i="17"/>
  <c r="BM13" i="17" a="1"/>
  <c r="BM9" i="17" a="1"/>
  <c r="BM8" i="17" a="1"/>
  <c r="BM15" i="17" a="1"/>
  <c r="BJ16" i="17"/>
  <c r="BJ12" i="17"/>
  <c r="BM7" i="17" a="1"/>
  <c r="BJ11" i="17"/>
  <c r="BM5" i="17" a="1"/>
  <c r="BM10" i="17" a="1"/>
  <c r="BL13" i="17"/>
  <c r="BL9" i="17"/>
  <c r="BL16" i="17"/>
  <c r="BL15" i="17"/>
  <c r="BJ9" i="17"/>
  <c r="BJ7" i="17"/>
  <c r="BM3" i="17" a="1"/>
  <c r="BL8" i="17"/>
  <c r="BL14" i="17"/>
  <c r="BJ15" i="17"/>
  <c r="BJ5" i="17"/>
  <c r="BL10" i="17"/>
  <c r="BM12" i="17" a="1"/>
  <c r="BM6" i="17" a="1"/>
  <c r="BJ13" i="17"/>
  <c r="BL4" i="17"/>
  <c r="BJ10" i="17"/>
  <c r="BL12" i="17"/>
  <c r="BM17" i="17" a="1"/>
  <c r="BM16" i="17" a="1"/>
  <c r="BJ4" i="17"/>
  <c r="BJ6" i="17"/>
  <c r="BL17" i="17"/>
  <c r="BM14" i="17" a="1"/>
  <c r="BJ8" i="17"/>
  <c r="BD12" i="17"/>
  <c r="BD17" i="17"/>
  <c r="BF16" i="17"/>
  <c r="BG10" i="17" a="1"/>
  <c r="BD15" i="17"/>
  <c r="BF5" i="17"/>
  <c r="BG9" i="17" a="1"/>
  <c r="BF3" i="17"/>
  <c r="BG4" i="17" a="1"/>
  <c r="BG7" i="17" a="1"/>
  <c r="BG6" i="17" a="1"/>
  <c r="BG13" i="17" a="1"/>
  <c r="BF15" i="17"/>
  <c r="BG12" i="17" a="1"/>
  <c r="BG5" i="17" a="1"/>
  <c r="BF10" i="17"/>
  <c r="BF9" i="17"/>
  <c r="BG8" i="17" a="1"/>
  <c r="BF4" i="17"/>
  <c r="BF7" i="17"/>
  <c r="BF14" i="17"/>
  <c r="BF13" i="17"/>
  <c r="BF12" i="17"/>
  <c r="BD6" i="17"/>
  <c r="BD9" i="17"/>
  <c r="BF8" i="17"/>
  <c r="BD11" i="17"/>
  <c r="BD7" i="17"/>
  <c r="BD14" i="17"/>
  <c r="BF17" i="17"/>
  <c r="BF11" i="17"/>
  <c r="BD16" i="17"/>
  <c r="BF6" i="17"/>
  <c r="BG3" i="17" a="1"/>
  <c r="BG17" i="17" a="1"/>
  <c r="BD8" i="17"/>
  <c r="BG11" i="17" a="1"/>
  <c r="BG15" i="17" a="1"/>
  <c r="BG14" i="17" a="1"/>
  <c r="BG16" i="17" a="1"/>
  <c r="BD5" i="17"/>
  <c r="BD3" i="17"/>
  <c r="BD10" i="17"/>
  <c r="BD4" i="17"/>
  <c r="BD13" i="17"/>
  <c r="AX11" i="17"/>
  <c r="AX9" i="17"/>
  <c r="AZ8" i="17"/>
  <c r="AZ3" i="17"/>
  <c r="BA6" i="17" a="1"/>
  <c r="AZ5" i="17"/>
  <c r="BA10" i="17" a="1"/>
  <c r="AZ7" i="17"/>
  <c r="BA16" i="17" a="1"/>
  <c r="BA14" i="17" a="1"/>
  <c r="AX13" i="17"/>
  <c r="AX15" i="17"/>
  <c r="BA11" i="17" a="1"/>
  <c r="AZ14" i="17"/>
  <c r="AX3" i="17"/>
  <c r="AX10" i="17"/>
  <c r="AX12" i="17"/>
  <c r="AX7" i="17"/>
  <c r="AZ16" i="17"/>
  <c r="AX4" i="17"/>
  <c r="BA13" i="17" a="1"/>
  <c r="AX16" i="17"/>
  <c r="AX8" i="17"/>
  <c r="BA3" i="17" a="1"/>
  <c r="BA5" i="17" a="1"/>
  <c r="BA7" i="17" a="1"/>
  <c r="AZ10" i="17"/>
  <c r="AZ12" i="17"/>
  <c r="BA15" i="17" a="1"/>
  <c r="AZ4" i="17"/>
  <c r="AX6" i="17"/>
  <c r="AX14" i="17"/>
  <c r="AZ9" i="17"/>
  <c r="BA12" i="17" a="1"/>
  <c r="AZ15" i="17"/>
  <c r="AZ6" i="17"/>
  <c r="BA4" i="17" a="1"/>
  <c r="BA9" i="17" a="1"/>
  <c r="BA8" i="17" a="1"/>
  <c r="AX5" i="17"/>
  <c r="AZ11" i="17"/>
  <c r="AZ13" i="17"/>
  <c r="G26" i="18" a="1"/>
  <c r="K23" i="18" a="1"/>
  <c r="D24" i="18" a="1"/>
  <c r="N27" i="18" a="1"/>
  <c r="I27" i="18" a="1"/>
  <c r="I24" i="18" a="1"/>
  <c r="I26" i="18" a="1"/>
  <c r="N29" i="18" a="1"/>
  <c r="M24" i="18" a="1"/>
  <c r="P29" i="18" a="1"/>
  <c r="E27" i="18" a="1"/>
  <c r="C26" i="18" a="1"/>
  <c r="O23" i="18" a="1"/>
  <c r="K24" i="18" a="1"/>
  <c r="H29" i="18" a="1"/>
  <c r="J23" i="18" a="1"/>
  <c r="G23" i="18" a="1"/>
  <c r="Q25" i="18" a="1"/>
  <c r="G29" i="18" a="1"/>
  <c r="B24" i="18" a="1"/>
  <c r="O27" i="18" a="1"/>
  <c r="F29" i="18" a="1"/>
  <c r="C30" i="18" a="1"/>
  <c r="I28" i="18" a="1"/>
  <c r="N25" i="18" a="1"/>
  <c r="P25" i="18" a="1"/>
  <c r="Q29" i="18" a="1"/>
  <c r="P26" i="18" a="1"/>
  <c r="B27" i="18" a="1"/>
  <c r="M28" i="18" a="1"/>
  <c r="G25" i="18" a="1"/>
  <c r="H23" i="18" a="1"/>
  <c r="O28" i="18" a="1"/>
  <c r="E24" i="18" a="1"/>
  <c r="O24" i="18" a="1"/>
  <c r="O25" i="18" a="1"/>
  <c r="E29" i="18" a="1"/>
  <c r="H28" i="18" a="1"/>
  <c r="F23" i="18" a="1"/>
  <c r="N28" i="18" a="1"/>
  <c r="K25" i="18" a="1"/>
  <c r="D27" i="18" a="1"/>
  <c r="H24" i="18" a="1"/>
  <c r="M27" i="18" a="1"/>
  <c r="B29" i="18" a="1"/>
  <c r="H30" i="18" a="1"/>
  <c r="L5" i="18" a="1"/>
  <c r="L24" i="18" a="1"/>
  <c r="P27" i="18" a="1"/>
  <c r="K2" i="18" a="1"/>
  <c r="D23" i="18" a="1"/>
  <c r="O30" i="18" a="1"/>
  <c r="P30" i="18" a="1"/>
  <c r="M2" i="18" a="1"/>
  <c r="J25" i="18" a="1"/>
  <c r="F3" i="18" a="1"/>
  <c r="K27" i="18" a="1"/>
  <c r="K28" i="18" a="1"/>
  <c r="F30" i="18" a="1"/>
  <c r="Q2" i="18" a="1"/>
  <c r="F27" i="18" a="1"/>
  <c r="C25" i="18" a="1"/>
  <c r="Q24" i="18" a="1"/>
  <c r="D3" i="18" a="1"/>
  <c r="P28" i="18" a="1"/>
  <c r="C27" i="18" a="1"/>
  <c r="N3" i="18" a="1"/>
  <c r="M25" i="18" a="1"/>
  <c r="P24" i="18" a="1"/>
  <c r="O3" i="18" a="1"/>
  <c r="F28" i="18" a="1"/>
  <c r="H26" i="18" a="1"/>
  <c r="P23" i="18" a="1"/>
  <c r="E28" i="18" a="1"/>
  <c r="L25" i="18" a="1"/>
  <c r="N5" i="18" a="1"/>
  <c r="H5" i="18" a="1"/>
  <c r="Q5" i="18" a="1"/>
  <c r="D5" i="18" a="1"/>
  <c r="C5" i="18" a="1"/>
  <c r="J6" i="18" a="1"/>
  <c r="K5" i="18" a="1"/>
  <c r="C6" i="18" a="1"/>
  <c r="H6" i="18" a="1"/>
  <c r="Q23" i="18" a="1"/>
  <c r="K30" i="18" a="1"/>
  <c r="L3" i="18" a="1"/>
  <c r="D26" i="18" a="1"/>
  <c r="O2" i="18" a="1"/>
  <c r="K29" i="18" a="1"/>
  <c r="M23" i="18" a="1"/>
  <c r="G2" i="18" a="1"/>
  <c r="E30" i="18" a="1"/>
  <c r="D25" i="18" a="1"/>
  <c r="M29" i="18" a="1"/>
  <c r="K26" i="18" a="1"/>
  <c r="I29" i="18" a="1"/>
  <c r="O5" i="18" a="1"/>
  <c r="O6" i="18" a="1"/>
  <c r="Q28" i="18" a="1"/>
  <c r="M3" i="18" a="1"/>
  <c r="G3" i="18" a="1"/>
  <c r="C29" i="18" a="1"/>
  <c r="Q26" i="18" a="1"/>
  <c r="N23" i="18" a="1"/>
  <c r="M5" i="18" a="1"/>
  <c r="M6" i="18" a="1"/>
  <c r="P5" i="18" a="1"/>
  <c r="P6" i="18" a="1"/>
  <c r="G24" i="18" a="1"/>
  <c r="B28" i="18" a="1"/>
  <c r="B23" i="18" a="1"/>
  <c r="F25" i="18" a="1"/>
  <c r="G28" i="18" a="1"/>
  <c r="Q3" i="18" a="1"/>
  <c r="B3" i="18" a="1"/>
  <c r="O29" i="18" a="1"/>
  <c r="B26" i="18" a="1"/>
  <c r="O26" i="18" a="1"/>
  <c r="P2" i="18" a="1"/>
  <c r="C24" i="18" a="1"/>
  <c r="L28" i="18" a="1"/>
  <c r="J2" i="18" a="1"/>
  <c r="J24" i="18" a="1"/>
  <c r="L29" i="18" a="1"/>
  <c r="J26" i="18" a="1"/>
  <c r="C2" i="18" a="1"/>
  <c r="C23" i="18" a="1"/>
  <c r="I3" i="18" a="1"/>
  <c r="H27" i="18" a="1"/>
  <c r="K3" i="18" a="1"/>
  <c r="L26" i="18" a="1"/>
  <c r="E26" i="18" a="1"/>
  <c r="Q30" i="18" a="1"/>
  <c r="C3" i="18" a="1"/>
  <c r="I25" i="18" a="1"/>
  <c r="D28" i="18" a="1"/>
  <c r="F6" i="18" a="1"/>
  <c r="F5" i="18" a="1"/>
  <c r="E5" i="18" a="1"/>
  <c r="E6" i="18" a="1"/>
  <c r="D30" i="18" a="1"/>
  <c r="Q27" i="18" a="1"/>
  <c r="J3" i="18" a="1"/>
  <c r="J28" i="18" a="1"/>
  <c r="B25" i="18" a="1"/>
  <c r="J29" i="18" a="1"/>
  <c r="I2" i="18" a="1"/>
  <c r="I23" i="18" a="1"/>
  <c r="E23" i="18" a="1"/>
  <c r="E2" i="18" a="1"/>
  <c r="M26" i="18" a="1"/>
  <c r="P3" i="18" a="1"/>
  <c r="E3" i="18" a="1"/>
  <c r="H3" i="18" a="1"/>
  <c r="G27" i="18" a="1"/>
  <c r="B2" i="18" a="1"/>
  <c r="B30" i="18" a="1"/>
  <c r="J27" i="18" a="1"/>
  <c r="L2" i="18" a="1"/>
  <c r="L23" i="18" a="1"/>
  <c r="E25" i="18" a="1"/>
  <c r="L30" i="18" a="1"/>
  <c r="F2" i="18" a="1"/>
  <c r="F24" i="18" a="1"/>
  <c r="C28" i="18" a="1"/>
  <c r="L27" i="18" a="1"/>
  <c r="N2" i="18" a="1"/>
  <c r="N24" i="18" a="1"/>
  <c r="N26" i="18" a="1"/>
  <c r="H2" i="18" a="1"/>
  <c r="H25" i="18" a="1"/>
  <c r="F26" i="18" a="1"/>
  <c r="G6" i="18" a="1"/>
  <c r="G5" i="18" a="1"/>
  <c r="D2" i="18" a="1"/>
  <c r="D29" i="18" a="1"/>
  <c r="E14" i="17" l="1"/>
  <c r="F14" i="17" s="1"/>
  <c r="G14" i="17" s="1"/>
  <c r="E9" i="17"/>
  <c r="F9" i="17" s="1"/>
  <c r="G9" i="17" s="1"/>
  <c r="E11" i="17"/>
  <c r="E15" i="17"/>
  <c r="F15" i="17" s="1"/>
  <c r="G15" i="17" s="1"/>
  <c r="E8" i="17"/>
  <c r="F8" i="17" s="1"/>
  <c r="G8" i="17" s="1"/>
  <c r="E3" i="17"/>
  <c r="F3" i="17" s="1"/>
  <c r="G3" i="17" s="1"/>
  <c r="E4" i="17"/>
  <c r="F4" i="17" s="1"/>
  <c r="G4" i="17" s="1"/>
  <c r="E13" i="17"/>
  <c r="E12" i="17"/>
  <c r="F12" i="17" s="1"/>
  <c r="G12" i="17" s="1"/>
  <c r="F13" i="17"/>
  <c r="G13" i="17" s="1"/>
  <c r="E7" i="17"/>
  <c r="F7" i="17" s="1"/>
  <c r="G7" i="17" s="1"/>
  <c r="F17" i="17"/>
  <c r="G17" i="17" s="1"/>
  <c r="E5" i="17"/>
  <c r="F5" i="17" s="1"/>
  <c r="G5" i="17" s="1"/>
  <c r="E10" i="17"/>
  <c r="F10" i="17" s="1"/>
  <c r="G10" i="17" s="1"/>
  <c r="E17" i="17"/>
  <c r="E16" i="17"/>
  <c r="F16" i="17" s="1"/>
  <c r="G16" i="17" s="1"/>
  <c r="F11" i="17"/>
  <c r="G11" i="17" s="1"/>
  <c r="E6" i="17"/>
  <c r="F6" i="17" s="1"/>
  <c r="G6" i="17" s="1"/>
  <c r="K8" i="17"/>
  <c r="L8" i="17" s="1"/>
  <c r="M8" i="17" s="1"/>
  <c r="K14" i="17"/>
  <c r="L14" i="17" s="1"/>
  <c r="M14" i="17" s="1"/>
  <c r="K13" i="17"/>
  <c r="L13" i="17" s="1"/>
  <c r="M13" i="17" s="1"/>
  <c r="K17" i="17"/>
  <c r="K5" i="17"/>
  <c r="L5" i="17" s="1"/>
  <c r="M5" i="17" s="1"/>
  <c r="L17" i="17"/>
  <c r="M17" i="17" s="1"/>
  <c r="K6" i="17"/>
  <c r="L6" i="17" s="1"/>
  <c r="M6" i="17" s="1"/>
  <c r="K7" i="17"/>
  <c r="L7" i="17" s="1"/>
  <c r="M7" i="17" s="1"/>
  <c r="K10" i="17"/>
  <c r="L10" i="17" s="1"/>
  <c r="M10" i="17" s="1"/>
  <c r="K9" i="17"/>
  <c r="L9" i="17" s="1"/>
  <c r="M9" i="17" s="1"/>
  <c r="K11" i="17"/>
  <c r="L11" i="17" s="1"/>
  <c r="M11" i="17" s="1"/>
  <c r="K4" i="17"/>
  <c r="L4" i="17" s="1"/>
  <c r="M4" i="17" s="1"/>
  <c r="K15" i="17"/>
  <c r="L15" i="17" s="1"/>
  <c r="M15" i="17" s="1"/>
  <c r="K16" i="17"/>
  <c r="L16" i="17" s="1"/>
  <c r="M16" i="17" s="1"/>
  <c r="K3" i="17"/>
  <c r="L3" i="17" s="1"/>
  <c r="M3" i="17" s="1"/>
  <c r="K12" i="17"/>
  <c r="L12" i="17" s="1"/>
  <c r="M12" i="17" s="1"/>
  <c r="Q4" i="17"/>
  <c r="R4" i="17" s="1"/>
  <c r="S4" i="17" s="1"/>
  <c r="Q8" i="17"/>
  <c r="R8" i="17" s="1"/>
  <c r="S8" i="17" s="1"/>
  <c r="Q14" i="17"/>
  <c r="R14" i="17" s="1"/>
  <c r="S14" i="17" s="1"/>
  <c r="Q15" i="17"/>
  <c r="Q3" i="17"/>
  <c r="R3" i="17" s="1"/>
  <c r="S3" i="17" s="1"/>
  <c r="Q9" i="17"/>
  <c r="R9" i="17" s="1"/>
  <c r="S9" i="17" s="1"/>
  <c r="Q17" i="17"/>
  <c r="Q16" i="17"/>
  <c r="R15" i="17"/>
  <c r="S15" i="17" s="1"/>
  <c r="Q11" i="17"/>
  <c r="R11" i="17" s="1"/>
  <c r="S11" i="17" s="1"/>
  <c r="Q13" i="17"/>
  <c r="R13" i="17" s="1"/>
  <c r="S13" i="17" s="1"/>
  <c r="Q6" i="17"/>
  <c r="R6" i="17" s="1"/>
  <c r="S6" i="17" s="1"/>
  <c r="Q7" i="17"/>
  <c r="R7" i="17" s="1"/>
  <c r="S7" i="17" s="1"/>
  <c r="R16" i="17"/>
  <c r="S16" i="17" s="1"/>
  <c r="R17" i="17"/>
  <c r="S17" i="17" s="1"/>
  <c r="Q10" i="17"/>
  <c r="R10" i="17" s="1"/>
  <c r="S10" i="17" s="1"/>
  <c r="Q12" i="17"/>
  <c r="R12" i="17" s="1"/>
  <c r="S12" i="17" s="1"/>
  <c r="Q5" i="17"/>
  <c r="R5" i="17" s="1"/>
  <c r="S5" i="17" s="1"/>
  <c r="W13" i="17"/>
  <c r="X13" i="17" s="1"/>
  <c r="Y13" i="17" s="1"/>
  <c r="W4" i="17"/>
  <c r="X4" i="17" s="1"/>
  <c r="Y4" i="17" s="1"/>
  <c r="W3" i="17"/>
  <c r="X3" i="17" s="1"/>
  <c r="Y3" i="17" s="1"/>
  <c r="W17" i="17"/>
  <c r="W15" i="17"/>
  <c r="X15" i="17" s="1"/>
  <c r="Y15" i="17" s="1"/>
  <c r="W16" i="17"/>
  <c r="X16" i="17" s="1"/>
  <c r="Y16" i="17" s="1"/>
  <c r="W7" i="17"/>
  <c r="X7" i="17" s="1"/>
  <c r="Y7" i="17" s="1"/>
  <c r="W14" i="17"/>
  <c r="X14" i="17" s="1"/>
  <c r="Y14" i="17" s="1"/>
  <c r="W8" i="17"/>
  <c r="X8" i="17" s="1"/>
  <c r="Y8" i="17" s="1"/>
  <c r="W10" i="17"/>
  <c r="X10" i="17" s="1"/>
  <c r="Y10" i="17" s="1"/>
  <c r="W12" i="17"/>
  <c r="X12" i="17" s="1"/>
  <c r="Y12" i="17" s="1"/>
  <c r="W11" i="17"/>
  <c r="X11" i="17" s="1"/>
  <c r="Y11" i="17" s="1"/>
  <c r="X17" i="17"/>
  <c r="Y17" i="17" s="1"/>
  <c r="W9" i="17"/>
  <c r="X9" i="17" s="1"/>
  <c r="Y9" i="17" s="1"/>
  <c r="W6" i="17"/>
  <c r="X6" i="17" s="1"/>
  <c r="Y6" i="17" s="1"/>
  <c r="W5" i="17"/>
  <c r="X5" i="17" s="1"/>
  <c r="Y5" i="17" s="1"/>
  <c r="AC12" i="17"/>
  <c r="AD16" i="17"/>
  <c r="AE16" i="17" s="1"/>
  <c r="AC3" i="17"/>
  <c r="AD3" i="17" s="1"/>
  <c r="AE3" i="17" s="1"/>
  <c r="AC8" i="17"/>
  <c r="AD8" i="17" s="1"/>
  <c r="AE8" i="17" s="1"/>
  <c r="AC5" i="17"/>
  <c r="AD5" i="17" s="1"/>
  <c r="AE5" i="17" s="1"/>
  <c r="AD11" i="17"/>
  <c r="AE11" i="17" s="1"/>
  <c r="AC7" i="17"/>
  <c r="AD7" i="17" s="1"/>
  <c r="AE7" i="17" s="1"/>
  <c r="AC15" i="17"/>
  <c r="AD15" i="17" s="1"/>
  <c r="AE15" i="17" s="1"/>
  <c r="AC9" i="17"/>
  <c r="AD9" i="17" s="1"/>
  <c r="AE9" i="17" s="1"/>
  <c r="AC14" i="17"/>
  <c r="AD14" i="17" s="1"/>
  <c r="AE14" i="17" s="1"/>
  <c r="AC10" i="17"/>
  <c r="AD10" i="17" s="1"/>
  <c r="AE10" i="17" s="1"/>
  <c r="AC11" i="17"/>
  <c r="AD12" i="17"/>
  <c r="AE12" i="17" s="1"/>
  <c r="AC4" i="17"/>
  <c r="AD4" i="17" s="1"/>
  <c r="AE4" i="17" s="1"/>
  <c r="AD17" i="17"/>
  <c r="AE17" i="17" s="1"/>
  <c r="AC16" i="17"/>
  <c r="AC17" i="17"/>
  <c r="AC6" i="17"/>
  <c r="AD6" i="17" s="1"/>
  <c r="AE6" i="17" s="1"/>
  <c r="AC13" i="17"/>
  <c r="AD13" i="17" s="1"/>
  <c r="AE13" i="17" s="1"/>
  <c r="AI16" i="17"/>
  <c r="AI17" i="17"/>
  <c r="AI14" i="17"/>
  <c r="AI8" i="17"/>
  <c r="AJ8" i="17" s="1"/>
  <c r="AK8" i="17" s="1"/>
  <c r="AJ12" i="17"/>
  <c r="AK12" i="17" s="1"/>
  <c r="AI9" i="17"/>
  <c r="AJ9" i="17" s="1"/>
  <c r="AK9" i="17" s="1"/>
  <c r="AI7" i="17"/>
  <c r="AJ7" i="17" s="1"/>
  <c r="AK7" i="17" s="1"/>
  <c r="AI12" i="17"/>
  <c r="AJ15" i="17"/>
  <c r="AK15" i="17" s="1"/>
  <c r="AI3" i="17"/>
  <c r="AJ3" i="17" s="1"/>
  <c r="AK3" i="17" s="1"/>
  <c r="AI5" i="17"/>
  <c r="AJ5" i="17" s="1"/>
  <c r="AK5" i="17" s="1"/>
  <c r="AJ14" i="17"/>
  <c r="AK14" i="17" s="1"/>
  <c r="AI4" i="17"/>
  <c r="AJ4" i="17" s="1"/>
  <c r="AK4" i="17" s="1"/>
  <c r="AJ13" i="17"/>
  <c r="AK13" i="17" s="1"/>
  <c r="AI6" i="17"/>
  <c r="AJ6" i="17" s="1"/>
  <c r="AK6" i="17" s="1"/>
  <c r="AJ16" i="17"/>
  <c r="AK16" i="17" s="1"/>
  <c r="AJ17" i="17"/>
  <c r="AK17" i="17" s="1"/>
  <c r="AI10" i="17"/>
  <c r="AJ10" i="17" s="1"/>
  <c r="AK10" i="17" s="1"/>
  <c r="AI13" i="17"/>
  <c r="AJ11" i="17"/>
  <c r="AK11" i="17" s="1"/>
  <c r="AI15" i="17"/>
  <c r="AI11" i="17"/>
  <c r="AO12" i="17"/>
  <c r="AP12" i="17" s="1"/>
  <c r="AQ12" i="17" s="1"/>
  <c r="AO4" i="17"/>
  <c r="AP4" i="17" s="1"/>
  <c r="AQ4" i="17" s="1"/>
  <c r="AO14" i="17"/>
  <c r="AP14" i="17" s="1"/>
  <c r="AQ14" i="17" s="1"/>
  <c r="AO15" i="17"/>
  <c r="AP15" i="17" s="1"/>
  <c r="AQ15" i="17" s="1"/>
  <c r="AP17" i="17"/>
  <c r="AQ17" i="17" s="1"/>
  <c r="AO10" i="17"/>
  <c r="AP10" i="17" s="1"/>
  <c r="AQ10" i="17" s="1"/>
  <c r="AO16" i="17"/>
  <c r="AP16" i="17" s="1"/>
  <c r="AQ16" i="17" s="1"/>
  <c r="AO8" i="17"/>
  <c r="AP8" i="17" s="1"/>
  <c r="AQ8" i="17" s="1"/>
  <c r="AO3" i="17"/>
  <c r="AP3" i="17" s="1"/>
  <c r="AQ3" i="17" s="1"/>
  <c r="AO17" i="17"/>
  <c r="AO11" i="17"/>
  <c r="AP11" i="17" s="1"/>
  <c r="AQ11" i="17" s="1"/>
  <c r="AO6" i="17"/>
  <c r="AP6" i="17" s="1"/>
  <c r="AQ6" i="17" s="1"/>
  <c r="AO9" i="17"/>
  <c r="AP9" i="17" s="1"/>
  <c r="AQ9" i="17" s="1"/>
  <c r="AO13" i="17"/>
  <c r="AP13" i="17" s="1"/>
  <c r="AQ13" i="17" s="1"/>
  <c r="AO7" i="17"/>
  <c r="AP7" i="17" s="1"/>
  <c r="AQ7" i="17" s="1"/>
  <c r="AO5" i="17"/>
  <c r="AP5" i="17" s="1"/>
  <c r="AQ5" i="17" s="1"/>
  <c r="AU8" i="17"/>
  <c r="AV8" i="17" s="1"/>
  <c r="AW8" i="17" s="1"/>
  <c r="AU6" i="17"/>
  <c r="AV6" i="17" s="1"/>
  <c r="AW6" i="17" s="1"/>
  <c r="AU12" i="17"/>
  <c r="AV12" i="17" s="1"/>
  <c r="AW12" i="17" s="1"/>
  <c r="AU7" i="17"/>
  <c r="AV7" i="17" s="1"/>
  <c r="AW7" i="17" s="1"/>
  <c r="AU9" i="17"/>
  <c r="AV9" i="17" s="1"/>
  <c r="AW9" i="17" s="1"/>
  <c r="AV14" i="17"/>
  <c r="AW14" i="17" s="1"/>
  <c r="AU14" i="17"/>
  <c r="AV17" i="17"/>
  <c r="AW17" i="17" s="1"/>
  <c r="AU3" i="17"/>
  <c r="AV3" i="17" s="1"/>
  <c r="AW3" i="17" s="1"/>
  <c r="AU4" i="17"/>
  <c r="AV4" i="17" s="1"/>
  <c r="AW4" i="17" s="1"/>
  <c r="AU15" i="17"/>
  <c r="AV15" i="17" s="1"/>
  <c r="AW15" i="17" s="1"/>
  <c r="AU16" i="17"/>
  <c r="AV16" i="17" s="1"/>
  <c r="AW16" i="17" s="1"/>
  <c r="AU10" i="17"/>
  <c r="AV10" i="17" s="1"/>
  <c r="AW10" i="17" s="1"/>
  <c r="AU5" i="17"/>
  <c r="AV5" i="17" s="1"/>
  <c r="AW5" i="17" s="1"/>
  <c r="AU11" i="17"/>
  <c r="AV11" i="17" s="1"/>
  <c r="AW11" i="17" s="1"/>
  <c r="AU17" i="17"/>
  <c r="AU13" i="17"/>
  <c r="AV13" i="17" s="1"/>
  <c r="AW13" i="17" s="1"/>
  <c r="CQ4" i="17"/>
  <c r="CR4" i="17" s="1"/>
  <c r="CS4" i="17" s="1"/>
  <c r="CQ14" i="17"/>
  <c r="CQ15" i="17"/>
  <c r="CR15" i="17" s="1"/>
  <c r="CS15" i="17" s="1"/>
  <c r="CQ10" i="17"/>
  <c r="CR10" i="17" s="1"/>
  <c r="CS10" i="17" s="1"/>
  <c r="CR12" i="17"/>
  <c r="CS12" i="17" s="1"/>
  <c r="CQ3" i="17"/>
  <c r="CR3" i="17" s="1"/>
  <c r="CS3" i="17" s="1"/>
  <c r="CQ16" i="17"/>
  <c r="CR16" i="17" s="1"/>
  <c r="CS16" i="17" s="1"/>
  <c r="CR14" i="17"/>
  <c r="CS14" i="17" s="1"/>
  <c r="CQ9" i="17"/>
  <c r="CR9" i="17" s="1"/>
  <c r="CS9" i="17" s="1"/>
  <c r="CQ11" i="17"/>
  <c r="CR11" i="17" s="1"/>
  <c r="CS11" i="17" s="1"/>
  <c r="CQ13" i="17"/>
  <c r="CR13" i="17" s="1"/>
  <c r="CS13" i="17" s="1"/>
  <c r="CQ6" i="17"/>
  <c r="CR6" i="17" s="1"/>
  <c r="CS6" i="17" s="1"/>
  <c r="CQ7" i="17"/>
  <c r="CR7" i="17" s="1"/>
  <c r="CS7" i="17" s="1"/>
  <c r="CQ12" i="17"/>
  <c r="CQ8" i="17"/>
  <c r="CR8" i="17" s="1"/>
  <c r="CS8" i="17" s="1"/>
  <c r="CQ5" i="17"/>
  <c r="CR5" i="17" s="1"/>
  <c r="CS5" i="17" s="1"/>
  <c r="CR17" i="17"/>
  <c r="CS17" i="17"/>
  <c r="CK14" i="17"/>
  <c r="CL14" i="17" s="1"/>
  <c r="CM14" i="17" s="1"/>
  <c r="CK15" i="17"/>
  <c r="CL15" i="17" s="1"/>
  <c r="CM15" i="17" s="1"/>
  <c r="CK4" i="17"/>
  <c r="CL4" i="17" s="1"/>
  <c r="CM4" i="17" s="1"/>
  <c r="CK3" i="17"/>
  <c r="CL3" i="17" s="1"/>
  <c r="CM3" i="17" s="1"/>
  <c r="CK9" i="17"/>
  <c r="CL9" i="17" s="1"/>
  <c r="CM9" i="17" s="1"/>
  <c r="CK11" i="17"/>
  <c r="CK5" i="17"/>
  <c r="CL5" i="17" s="1"/>
  <c r="CM5" i="17" s="1"/>
  <c r="CK12" i="17"/>
  <c r="CL12" i="17" s="1"/>
  <c r="CM12" i="17" s="1"/>
  <c r="CL11" i="17"/>
  <c r="CM11" i="17" s="1"/>
  <c r="CK8" i="17"/>
  <c r="CL8" i="17" s="1"/>
  <c r="CM8" i="17" s="1"/>
  <c r="CK13" i="17"/>
  <c r="CL13" i="17" s="1"/>
  <c r="CM13" i="17" s="1"/>
  <c r="CK6" i="17"/>
  <c r="CL6" i="17" s="1"/>
  <c r="CM6" i="17" s="1"/>
  <c r="CK7" i="17"/>
  <c r="CL7" i="17" s="1"/>
  <c r="CM7" i="17" s="1"/>
  <c r="CK16" i="17"/>
  <c r="CL16" i="17" s="1"/>
  <c r="CM16" i="17" s="1"/>
  <c r="CK10" i="17"/>
  <c r="CL10" i="17" s="1"/>
  <c r="CM10" i="17" s="1"/>
  <c r="CL17" i="17"/>
  <c r="CM17" i="17"/>
  <c r="CE3" i="17"/>
  <c r="CF3" i="17" s="1"/>
  <c r="CG3" i="17" s="1"/>
  <c r="CE17" i="17"/>
  <c r="CE8" i="17"/>
  <c r="CF8" i="17" s="1"/>
  <c r="CG8" i="17" s="1"/>
  <c r="CF11" i="17"/>
  <c r="CG11" i="17" s="1"/>
  <c r="CE9" i="17"/>
  <c r="CF9" i="17" s="1"/>
  <c r="CG9" i="17" s="1"/>
  <c r="CE16" i="17"/>
  <c r="CF16" i="17" s="1"/>
  <c r="CG16" i="17" s="1"/>
  <c r="CE15" i="17"/>
  <c r="CF15" i="17" s="1"/>
  <c r="CG15" i="17" s="1"/>
  <c r="CE11" i="17"/>
  <c r="CE12" i="17"/>
  <c r="CF12" i="17" s="1"/>
  <c r="CG12" i="17" s="1"/>
  <c r="CE7" i="17"/>
  <c r="CF7" i="17" s="1"/>
  <c r="CG7" i="17" s="1"/>
  <c r="CE13" i="17"/>
  <c r="CF13" i="17" s="1"/>
  <c r="CG13" i="17" s="1"/>
  <c r="CE14" i="17"/>
  <c r="CF14" i="17" s="1"/>
  <c r="CG14" i="17" s="1"/>
  <c r="CF17" i="17"/>
  <c r="CG17" i="17" s="1"/>
  <c r="CE10" i="17"/>
  <c r="CF10" i="17" s="1"/>
  <c r="CG10" i="17" s="1"/>
  <c r="CE4" i="17"/>
  <c r="CF4" i="17" s="1"/>
  <c r="CG4" i="17" s="1"/>
  <c r="CE5" i="17"/>
  <c r="CF5" i="17" s="1"/>
  <c r="CG5" i="17" s="1"/>
  <c r="CE6" i="17"/>
  <c r="CF6" i="17" s="1"/>
  <c r="CG6" i="17" s="1"/>
  <c r="BY3" i="17"/>
  <c r="BZ3" i="17" s="1"/>
  <c r="CA3" i="17" s="1"/>
  <c r="BY4" i="17"/>
  <c r="BZ4" i="17" s="1"/>
  <c r="CA4" i="17" s="1"/>
  <c r="BZ11" i="17"/>
  <c r="CA11" i="17" s="1"/>
  <c r="BY8" i="17"/>
  <c r="BZ8" i="17" s="1"/>
  <c r="CA8" i="17" s="1"/>
  <c r="BY9" i="17"/>
  <c r="BZ9" i="17" s="1"/>
  <c r="CA9" i="17" s="1"/>
  <c r="BZ17" i="17"/>
  <c r="CA17" i="17" s="1"/>
  <c r="BY16" i="17"/>
  <c r="BZ16" i="17" s="1"/>
  <c r="CA16" i="17" s="1"/>
  <c r="BY12" i="17"/>
  <c r="BZ12" i="17" s="1"/>
  <c r="CA12" i="17" s="1"/>
  <c r="BY14" i="17"/>
  <c r="BZ14" i="17" s="1"/>
  <c r="CA14" i="17" s="1"/>
  <c r="BY11" i="17"/>
  <c r="BY5" i="17"/>
  <c r="BZ5" i="17" s="1"/>
  <c r="CA5" i="17" s="1"/>
  <c r="BY6" i="17"/>
  <c r="BZ6" i="17" s="1"/>
  <c r="CA6" i="17" s="1"/>
  <c r="BY13" i="17"/>
  <c r="BZ13" i="17" s="1"/>
  <c r="CA13" i="17" s="1"/>
  <c r="BY15" i="17"/>
  <c r="BZ15" i="17" s="1"/>
  <c r="CA15" i="17" s="1"/>
  <c r="BY7" i="17"/>
  <c r="BZ7" i="17" s="1"/>
  <c r="CA7" i="17" s="1"/>
  <c r="BY17" i="17"/>
  <c r="BY10" i="17"/>
  <c r="BZ10" i="17" s="1"/>
  <c r="CA10" i="17" s="1"/>
  <c r="BS7" i="17"/>
  <c r="BT7" i="17" s="1"/>
  <c r="BU7" i="17" s="1"/>
  <c r="BS4" i="17"/>
  <c r="BT4" i="17" s="1"/>
  <c r="BU4" i="17" s="1"/>
  <c r="BS10" i="17"/>
  <c r="BS16" i="17"/>
  <c r="BS17" i="17"/>
  <c r="BT11" i="17"/>
  <c r="BU11" i="17" s="1"/>
  <c r="BS14" i="17"/>
  <c r="BT14" i="17" s="1"/>
  <c r="BU14" i="17" s="1"/>
  <c r="BT17" i="17"/>
  <c r="BU17" i="17" s="1"/>
  <c r="BT16" i="17"/>
  <c r="BU16" i="17" s="1"/>
  <c r="BS13" i="17"/>
  <c r="BT13" i="17" s="1"/>
  <c r="BU13" i="17" s="1"/>
  <c r="BS11" i="17"/>
  <c r="BS15" i="17"/>
  <c r="BT15" i="17" s="1"/>
  <c r="BU15" i="17" s="1"/>
  <c r="BS9" i="17"/>
  <c r="BT9" i="17" s="1"/>
  <c r="BU9" i="17" s="1"/>
  <c r="BS8" i="17"/>
  <c r="BT8" i="17" s="1"/>
  <c r="BU8" i="17" s="1"/>
  <c r="BS6" i="17"/>
  <c r="BT6" i="17" s="1"/>
  <c r="BU6" i="17" s="1"/>
  <c r="BS12" i="17"/>
  <c r="BT12" i="17" s="1"/>
  <c r="BU12" i="17" s="1"/>
  <c r="BS3" i="17"/>
  <c r="BT3" i="17" s="1"/>
  <c r="BU3" i="17" s="1"/>
  <c r="BT10" i="17"/>
  <c r="BU10" i="17" s="1"/>
  <c r="BS5" i="17"/>
  <c r="BT5" i="17" s="1"/>
  <c r="BU5" i="17" s="1"/>
  <c r="BM14" i="17"/>
  <c r="BN14" i="17" s="1"/>
  <c r="BO14" i="17" s="1"/>
  <c r="BM16" i="17"/>
  <c r="BN16" i="17" s="1"/>
  <c r="BO16" i="17" s="1"/>
  <c r="BM17" i="17"/>
  <c r="BM6" i="17"/>
  <c r="BN6" i="17" s="1"/>
  <c r="BO6" i="17" s="1"/>
  <c r="BM12" i="17"/>
  <c r="BN12" i="17" s="1"/>
  <c r="BO12" i="17" s="1"/>
  <c r="BM3" i="17"/>
  <c r="BN3" i="17" s="1"/>
  <c r="BO3" i="17" s="1"/>
  <c r="BN15" i="17"/>
  <c r="BO15" i="17" s="1"/>
  <c r="BM10" i="17"/>
  <c r="BN10" i="17" s="1"/>
  <c r="BO10" i="17" s="1"/>
  <c r="BM5" i="17"/>
  <c r="BN5" i="17" s="1"/>
  <c r="BO5" i="17" s="1"/>
  <c r="BM7" i="17"/>
  <c r="BN7" i="17" s="1"/>
  <c r="BO7" i="17" s="1"/>
  <c r="BM15" i="17"/>
  <c r="BM8" i="17"/>
  <c r="BN8" i="17" s="1"/>
  <c r="BO8" i="17" s="1"/>
  <c r="BM9" i="17"/>
  <c r="BN9" i="17" s="1"/>
  <c r="BO9" i="17" s="1"/>
  <c r="BM13" i="17"/>
  <c r="BN13" i="17" s="1"/>
  <c r="BO13" i="17" s="1"/>
  <c r="BN11" i="17"/>
  <c r="BO11" i="17" s="1"/>
  <c r="BN17" i="17"/>
  <c r="BO17" i="17" s="1"/>
  <c r="BM11" i="17"/>
  <c r="BM4" i="17"/>
  <c r="BN4" i="17" s="1"/>
  <c r="BO4" i="17" s="1"/>
  <c r="BG16" i="17"/>
  <c r="BH16" i="17" s="1"/>
  <c r="BI16" i="17" s="1"/>
  <c r="BG14" i="17"/>
  <c r="BH14" i="17" s="1"/>
  <c r="BI14" i="17" s="1"/>
  <c r="BG15" i="17"/>
  <c r="BH15" i="17" s="1"/>
  <c r="BI15" i="17" s="1"/>
  <c r="BG11" i="17"/>
  <c r="BG17" i="17"/>
  <c r="BG3" i="17"/>
  <c r="BH3" i="17" s="1"/>
  <c r="BI3" i="17" s="1"/>
  <c r="BH11" i="17"/>
  <c r="BI11" i="17" s="1"/>
  <c r="BH12" i="17"/>
  <c r="BI12" i="17" s="1"/>
  <c r="BG8" i="17"/>
  <c r="BH8" i="17" s="1"/>
  <c r="BI8" i="17" s="1"/>
  <c r="BG5" i="17"/>
  <c r="BH5" i="17" s="1"/>
  <c r="BI5" i="17" s="1"/>
  <c r="BG12" i="17"/>
  <c r="BG13" i="17"/>
  <c r="BH13" i="17" s="1"/>
  <c r="BI13" i="17" s="1"/>
  <c r="BG6" i="17"/>
  <c r="BH6" i="17" s="1"/>
  <c r="BI6" i="17" s="1"/>
  <c r="BG7" i="17"/>
  <c r="BH7" i="17" s="1"/>
  <c r="BI7" i="17" s="1"/>
  <c r="BG4" i="17"/>
  <c r="BH4" i="17" s="1"/>
  <c r="BI4" i="17" s="1"/>
  <c r="BG9" i="17"/>
  <c r="BH9" i="17" s="1"/>
  <c r="BI9" i="17" s="1"/>
  <c r="BG10" i="17"/>
  <c r="BH10" i="17" s="1"/>
  <c r="BI10" i="17" s="1"/>
  <c r="BH17" i="17"/>
  <c r="BI17" i="17" s="1"/>
  <c r="BB17" i="17"/>
  <c r="BC17" i="17"/>
  <c r="BB13" i="17"/>
  <c r="BC13" i="17" s="1"/>
  <c r="BB11" i="17"/>
  <c r="BC11" i="17" s="1"/>
  <c r="BA8" i="17"/>
  <c r="BB8" i="17" s="1"/>
  <c r="BC8" i="17" s="1"/>
  <c r="BA9" i="17"/>
  <c r="BB9" i="17" s="1"/>
  <c r="BC9" i="17" s="1"/>
  <c r="BA4" i="17"/>
  <c r="BB4" i="17" s="1"/>
  <c r="BC4" i="17" s="1"/>
  <c r="BA12" i="17"/>
  <c r="BB12" i="17" s="1"/>
  <c r="BC12" i="17" s="1"/>
  <c r="BA15" i="17"/>
  <c r="BB15" i="17" s="1"/>
  <c r="BC15" i="17" s="1"/>
  <c r="BA7" i="17"/>
  <c r="BB7" i="17" s="1"/>
  <c r="BC7" i="17" s="1"/>
  <c r="BA5" i="17"/>
  <c r="BB5" i="17" s="1"/>
  <c r="BC5" i="17" s="1"/>
  <c r="BA3" i="17"/>
  <c r="BB3" i="17" s="1"/>
  <c r="BC3" i="17" s="1"/>
  <c r="BA13" i="17"/>
  <c r="BA11" i="17"/>
  <c r="BA14" i="17"/>
  <c r="BB14" i="17" s="1"/>
  <c r="BC14" i="17" s="1"/>
  <c r="BA16" i="17"/>
  <c r="BB16" i="17" s="1"/>
  <c r="BC16" i="17" s="1"/>
  <c r="BA10" i="17"/>
  <c r="BB10" i="17" s="1"/>
  <c r="BC10" i="17" s="1"/>
  <c r="BA6" i="17"/>
  <c r="BB6" i="17" s="1"/>
  <c r="BC6" i="17" s="1"/>
  <c r="D29" i="18"/>
  <c r="D2" i="18"/>
  <c r="G5" i="18"/>
  <c r="G6" i="18"/>
  <c r="F26" i="18"/>
  <c r="H25" i="18"/>
  <c r="H2" i="18"/>
  <c r="N26" i="18"/>
  <c r="N24" i="18"/>
  <c r="N2" i="18"/>
  <c r="L27" i="18"/>
  <c r="C28" i="18"/>
  <c r="F24" i="18"/>
  <c r="F2" i="18"/>
  <c r="L30" i="18"/>
  <c r="E25" i="18"/>
  <c r="L23" i="18"/>
  <c r="L2" i="18"/>
  <c r="J27" i="18"/>
  <c r="B30" i="18"/>
  <c r="B2" i="18"/>
  <c r="G27" i="18"/>
  <c r="H3" i="18"/>
  <c r="E3" i="18"/>
  <c r="P3" i="18"/>
  <c r="M26" i="18"/>
  <c r="E2" i="18"/>
  <c r="E23" i="18"/>
  <c r="I23" i="18"/>
  <c r="I2" i="18"/>
  <c r="J29" i="18"/>
  <c r="B25" i="18"/>
  <c r="J28" i="18"/>
  <c r="J3" i="18"/>
  <c r="Q27" i="18"/>
  <c r="D30" i="18"/>
  <c r="E6" i="18"/>
  <c r="E5" i="18"/>
  <c r="F5" i="18"/>
  <c r="F6" i="18"/>
  <c r="D28" i="18"/>
  <c r="I25" i="18"/>
  <c r="C3" i="18"/>
  <c r="Q30" i="18"/>
  <c r="E26" i="18"/>
  <c r="L26" i="18"/>
  <c r="K3" i="18"/>
  <c r="H27" i="18"/>
  <c r="I3" i="18"/>
  <c r="C23" i="18"/>
  <c r="C2" i="18"/>
  <c r="J26" i="18"/>
  <c r="L29" i="18"/>
  <c r="J24" i="18"/>
  <c r="J2" i="18"/>
  <c r="L28" i="18"/>
  <c r="C24" i="18"/>
  <c r="P2" i="18"/>
  <c r="O26" i="18"/>
  <c r="B26" i="18"/>
  <c r="O29" i="18"/>
  <c r="B3" i="18"/>
  <c r="Q3" i="18"/>
  <c r="G28" i="18"/>
  <c r="F25" i="18"/>
  <c r="B23" i="18"/>
  <c r="B28" i="18"/>
  <c r="G24" i="18"/>
  <c r="P6" i="18"/>
  <c r="P5" i="18"/>
  <c r="M6" i="18"/>
  <c r="M5" i="18"/>
  <c r="N23" i="18"/>
  <c r="Q26" i="18"/>
  <c r="C29" i="18"/>
  <c r="G3" i="18"/>
  <c r="G17" i="18" s="1"/>
  <c r="M3" i="18"/>
  <c r="Q28" i="18"/>
  <c r="O6" i="18"/>
  <c r="O5" i="18"/>
  <c r="I29" i="18"/>
  <c r="K26" i="18"/>
  <c r="M29" i="18"/>
  <c r="D25" i="18"/>
  <c r="E30" i="18"/>
  <c r="G2" i="18"/>
  <c r="M23" i="18"/>
  <c r="K29" i="18"/>
  <c r="O2" i="18"/>
  <c r="D26" i="18"/>
  <c r="L3" i="18"/>
  <c r="K30" i="18"/>
  <c r="Q23" i="18"/>
  <c r="H6" i="18"/>
  <c r="C6" i="18"/>
  <c r="K5" i="18"/>
  <c r="J6" i="18"/>
  <c r="C5" i="18"/>
  <c r="D5" i="18"/>
  <c r="Q5" i="18"/>
  <c r="H5" i="18"/>
  <c r="N5" i="18"/>
  <c r="L25" i="18"/>
  <c r="E28" i="18"/>
  <c r="P23" i="18"/>
  <c r="H26" i="18"/>
  <c r="F28" i="18"/>
  <c r="O3" i="18"/>
  <c r="P24" i="18"/>
  <c r="M25" i="18"/>
  <c r="N3" i="18"/>
  <c r="C27" i="18"/>
  <c r="P28" i="18"/>
  <c r="D3" i="18"/>
  <c r="Q24" i="18"/>
  <c r="C25" i="18"/>
  <c r="F27" i="18"/>
  <c r="Q2" i="18"/>
  <c r="F30" i="18"/>
  <c r="K28" i="18"/>
  <c r="K27" i="18"/>
  <c r="F3" i="18"/>
  <c r="J25" i="18"/>
  <c r="M2" i="18"/>
  <c r="P30" i="18"/>
  <c r="O30" i="18"/>
  <c r="D23" i="18"/>
  <c r="K2" i="18"/>
  <c r="P27" i="18"/>
  <c r="L24" i="18"/>
  <c r="L5" i="18"/>
  <c r="H30" i="18"/>
  <c r="B29" i="18"/>
  <c r="M27" i="18"/>
  <c r="H24" i="18"/>
  <c r="D27" i="18"/>
  <c r="K25" i="18"/>
  <c r="N28" i="18"/>
  <c r="F23" i="18"/>
  <c r="H28" i="18"/>
  <c r="E29" i="18"/>
  <c r="O25" i="18"/>
  <c r="O24" i="18"/>
  <c r="E24" i="18"/>
  <c r="O28" i="18"/>
  <c r="H23" i="18"/>
  <c r="G25" i="18"/>
  <c r="M28" i="18"/>
  <c r="B27" i="18"/>
  <c r="P26" i="18"/>
  <c r="Q29" i="18"/>
  <c r="P25" i="18"/>
  <c r="N25" i="18"/>
  <c r="I28" i="18"/>
  <c r="C30" i="18"/>
  <c r="F29" i="18"/>
  <c r="O27" i="18"/>
  <c r="B24" i="18"/>
  <c r="G29" i="18"/>
  <c r="Q25" i="18"/>
  <c r="G23" i="18"/>
  <c r="J23" i="18"/>
  <c r="H29" i="18"/>
  <c r="K24" i="18"/>
  <c r="O23" i="18"/>
  <c r="C26" i="18"/>
  <c r="E27" i="18"/>
  <c r="P29" i="18"/>
  <c r="M24" i="18"/>
  <c r="N29" i="18"/>
  <c r="I26" i="18"/>
  <c r="I24" i="18"/>
  <c r="I27" i="18"/>
  <c r="N27" i="18"/>
  <c r="D24" i="18"/>
  <c r="K23" i="18"/>
  <c r="G26" i="18"/>
  <c r="BF19" i="17"/>
  <c r="K13" i="18" a="1"/>
  <c r="D13" i="18" a="1"/>
  <c r="N6" i="18" a="1"/>
  <c r="F13" i="18" a="1"/>
  <c r="P13" i="18" a="1"/>
  <c r="B13" i="18" a="1"/>
  <c r="O12" i="18" a="1"/>
  <c r="I13" i="18" a="1"/>
  <c r="O13" i="18" a="1"/>
  <c r="C13" i="18" a="1"/>
  <c r="E12" i="18" a="1"/>
  <c r="D12" i="18" a="1"/>
  <c r="L13" i="18" a="1"/>
  <c r="J30" i="18" a="1"/>
  <c r="I6" i="18" a="1"/>
  <c r="G30" i="18" a="1"/>
  <c r="B12" i="18" a="1"/>
  <c r="C12" i="18" a="1"/>
  <c r="G13" i="18" a="1"/>
  <c r="M30" i="18" a="1"/>
  <c r="Q12" i="18" a="1"/>
  <c r="H13" i="18" a="1"/>
  <c r="N30" i="18" a="1"/>
  <c r="L12" i="18" a="1"/>
  <c r="H12" i="18" a="1"/>
  <c r="G12" i="18" a="1"/>
  <c r="Q13" i="18" a="1"/>
  <c r="J13" i="18" a="1"/>
  <c r="K6" i="18" a="1"/>
  <c r="P12" i="18" a="1"/>
  <c r="E13" i="18" a="1"/>
  <c r="I30" i="18" a="1"/>
  <c r="M12" i="18" a="1"/>
  <c r="F12" i="18" a="1"/>
  <c r="J12" i="18" a="1"/>
  <c r="N12" i="18" a="1"/>
  <c r="I12" i="18" a="1"/>
  <c r="K12" i="18" a="1"/>
  <c r="N13" i="18" a="1"/>
  <c r="M13" i="18" a="1"/>
  <c r="J5" i="18" a="1"/>
  <c r="J5" i="18" l="1"/>
  <c r="M13" i="18"/>
  <c r="M18" i="18" s="1"/>
  <c r="N13" i="18"/>
  <c r="N17" i="18" s="1"/>
  <c r="K12" i="18"/>
  <c r="I12" i="18"/>
  <c r="I15" i="18" s="1"/>
  <c r="N12" i="18"/>
  <c r="N16" i="18" s="1"/>
  <c r="J12" i="18"/>
  <c r="J16" i="18" s="1"/>
  <c r="F12" i="18"/>
  <c r="F16" i="18" s="1"/>
  <c r="M12" i="18"/>
  <c r="M16" i="18" s="1"/>
  <c r="I30" i="18"/>
  <c r="E13" i="18"/>
  <c r="E18" i="18" s="1"/>
  <c r="P12" i="18"/>
  <c r="K6" i="18"/>
  <c r="J13" i="18"/>
  <c r="J17" i="18" s="1"/>
  <c r="Q13" i="18"/>
  <c r="Q18" i="18" s="1"/>
  <c r="G12" i="18"/>
  <c r="G15" i="18" s="1"/>
  <c r="H12" i="18"/>
  <c r="H16" i="18" s="1"/>
  <c r="L12" i="18"/>
  <c r="L16" i="18" s="1"/>
  <c r="N30" i="18"/>
  <c r="H13" i="18"/>
  <c r="H17" i="18" s="1"/>
  <c r="Q12" i="18"/>
  <c r="Q15" i="18" s="1"/>
  <c r="M30" i="18"/>
  <c r="G13" i="18"/>
  <c r="G18" i="18" s="1"/>
  <c r="C12" i="18"/>
  <c r="C15" i="18" s="1"/>
  <c r="B12" i="18"/>
  <c r="G30" i="18"/>
  <c r="I6" i="18"/>
  <c r="J30" i="18"/>
  <c r="L13" i="18"/>
  <c r="L17" i="18" s="1"/>
  <c r="D12" i="18"/>
  <c r="E12" i="18"/>
  <c r="E16" i="18" s="1"/>
  <c r="C13" i="18"/>
  <c r="C17" i="18" s="1"/>
  <c r="O13" i="18"/>
  <c r="O17" i="18" s="1"/>
  <c r="I13" i="18"/>
  <c r="I18" i="18" s="1"/>
  <c r="O12" i="18"/>
  <c r="B13" i="18"/>
  <c r="B17" i="18" s="1"/>
  <c r="P13" i="18"/>
  <c r="P17" i="18" s="1"/>
  <c r="F13" i="18"/>
  <c r="F18" i="18" s="1"/>
  <c r="N6" i="18"/>
  <c r="D13" i="18"/>
  <c r="D18" i="18" s="1"/>
  <c r="K13" i="18"/>
  <c r="K17" i="18" s="1"/>
  <c r="T29" i="18"/>
  <c r="U29" i="18"/>
  <c r="R29" i="18"/>
  <c r="S29" i="18"/>
  <c r="V29" i="18"/>
  <c r="T25" i="18"/>
  <c r="U25" i="18"/>
  <c r="V25" i="18"/>
  <c r="R25" i="18"/>
  <c r="S25" i="18"/>
  <c r="J9" i="18"/>
  <c r="J4" i="18"/>
  <c r="H4" i="18"/>
  <c r="H9" i="18"/>
  <c r="G4" i="18"/>
  <c r="G9" i="18"/>
  <c r="T3" i="18"/>
  <c r="R3" i="18"/>
  <c r="S3" i="18"/>
  <c r="V3" i="18"/>
  <c r="U3" i="18"/>
  <c r="I4" i="18"/>
  <c r="I9" i="18"/>
  <c r="F9" i="18"/>
  <c r="F4" i="18"/>
  <c r="K9" i="18"/>
  <c r="K4" i="18"/>
  <c r="B4" i="18"/>
  <c r="B9" i="18"/>
  <c r="R2" i="18"/>
  <c r="U2" i="18"/>
  <c r="S2" i="18"/>
  <c r="T2" i="18"/>
  <c r="V2" i="18"/>
  <c r="V9" i="18" s="1" a="1"/>
  <c r="V9" i="18" s="1"/>
  <c r="T26" i="18"/>
  <c r="R26" i="18"/>
  <c r="U26" i="18"/>
  <c r="S26" i="18"/>
  <c r="V26" i="18"/>
  <c r="S27" i="18"/>
  <c r="U27" i="18"/>
  <c r="R27" i="18"/>
  <c r="V27" i="18"/>
  <c r="T27" i="18"/>
  <c r="M4" i="18"/>
  <c r="M9" i="18"/>
  <c r="T28" i="18"/>
  <c r="U28" i="18"/>
  <c r="R28" i="18"/>
  <c r="S28" i="18"/>
  <c r="V28" i="18"/>
  <c r="C4" i="18"/>
  <c r="C9" i="18"/>
  <c r="E9" i="18"/>
  <c r="E4" i="18"/>
  <c r="V24" i="18"/>
  <c r="S24" i="18"/>
  <c r="U24" i="18"/>
  <c r="T24" i="18"/>
  <c r="R24" i="18"/>
  <c r="V23" i="18"/>
  <c r="S23" i="18"/>
  <c r="T23" i="18"/>
  <c r="R23" i="18"/>
  <c r="U23" i="18"/>
  <c r="P9" i="18"/>
  <c r="P4" i="18"/>
  <c r="L9" i="18"/>
  <c r="L4" i="18"/>
  <c r="N9" i="18"/>
  <c r="N4" i="18"/>
  <c r="D4" i="18"/>
  <c r="D9" i="18"/>
  <c r="Q9" i="18"/>
  <c r="Q4" i="18"/>
  <c r="O9" i="18"/>
  <c r="O4" i="18"/>
  <c r="E17" i="18" l="1"/>
  <c r="F15" i="18"/>
  <c r="D17" i="18"/>
  <c r="C18" i="18"/>
  <c r="O18" i="18"/>
  <c r="J18" i="18"/>
  <c r="F17" i="18"/>
  <c r="I17" i="18"/>
  <c r="S30" i="18"/>
  <c r="K14" i="18"/>
  <c r="K20" i="18" s="1"/>
  <c r="N18" i="18"/>
  <c r="Q16" i="18"/>
  <c r="P18" i="18"/>
  <c r="U30" i="18"/>
  <c r="L18" i="18"/>
  <c r="P16" i="18"/>
  <c r="P14" i="18"/>
  <c r="P20" i="18" s="1"/>
  <c r="O15" i="18"/>
  <c r="O14" i="18"/>
  <c r="O19" i="18" s="1"/>
  <c r="R30" i="18"/>
  <c r="L15" i="18"/>
  <c r="L14" i="18"/>
  <c r="L19" i="18" s="1"/>
  <c r="V30" i="18"/>
  <c r="W30" i="18" s="1"/>
  <c r="R4" i="18"/>
  <c r="S4" i="18"/>
  <c r="T4" i="18"/>
  <c r="U4" i="18"/>
  <c r="V4" i="18"/>
  <c r="W2" i="18" s="1"/>
  <c r="Q17" i="18"/>
  <c r="B16" i="18"/>
  <c r="R12" i="18"/>
  <c r="V12" i="18"/>
  <c r="S12" i="18"/>
  <c r="B14" i="18"/>
  <c r="T12" i="18"/>
  <c r="T16" i="18" s="1"/>
  <c r="U12" i="18"/>
  <c r="H15" i="18"/>
  <c r="H14" i="18"/>
  <c r="H20" i="18" s="1"/>
  <c r="M15" i="18"/>
  <c r="M14" i="18"/>
  <c r="M20" i="18" s="1"/>
  <c r="T30" i="18"/>
  <c r="B15" i="18"/>
  <c r="M17" i="18"/>
  <c r="C16" i="18"/>
  <c r="C14" i="18"/>
  <c r="C19" i="18" s="1"/>
  <c r="G16" i="18"/>
  <c r="G14" i="18"/>
  <c r="G20" i="18" s="1"/>
  <c r="F14" i="18"/>
  <c r="F19" i="18" s="1"/>
  <c r="T13" i="18"/>
  <c r="T17" i="18" s="1"/>
  <c r="S13" i="18"/>
  <c r="R13" i="18"/>
  <c r="U13" i="18"/>
  <c r="V13" i="18"/>
  <c r="P15" i="18"/>
  <c r="K16" i="18"/>
  <c r="E15" i="18"/>
  <c r="E14" i="18"/>
  <c r="E19" i="18" s="1"/>
  <c r="J15" i="18"/>
  <c r="J14" i="18"/>
  <c r="J20" i="18" s="1"/>
  <c r="O16" i="18"/>
  <c r="K15" i="18"/>
  <c r="H18" i="18"/>
  <c r="D16" i="18"/>
  <c r="D14" i="18"/>
  <c r="D20" i="18" s="1"/>
  <c r="N15" i="18"/>
  <c r="N14" i="18"/>
  <c r="N19" i="18" s="1"/>
  <c r="D15" i="18"/>
  <c r="K18" i="18"/>
  <c r="Q14" i="18"/>
  <c r="Q19" i="18" s="1"/>
  <c r="I16" i="18"/>
  <c r="I14" i="18"/>
  <c r="I20" i="18" s="1"/>
  <c r="B18" i="18"/>
  <c r="W9" i="18"/>
  <c r="R9" i="18"/>
  <c r="T9" i="18"/>
  <c r="S9" i="18"/>
  <c r="K19" i="18" l="1"/>
  <c r="T15" i="18"/>
  <c r="P19" i="18"/>
  <c r="D19" i="18"/>
  <c r="O20" i="18"/>
  <c r="L20" i="18"/>
  <c r="G19" i="18"/>
  <c r="W25" i="18"/>
  <c r="C20" i="18"/>
  <c r="R17" i="18"/>
  <c r="H19" i="18"/>
  <c r="W27" i="18"/>
  <c r="S17" i="18"/>
  <c r="J19" i="18"/>
  <c r="W28" i="18"/>
  <c r="F20" i="18"/>
  <c r="N20" i="18"/>
  <c r="I19" i="18"/>
  <c r="W24" i="18"/>
  <c r="W29" i="18"/>
  <c r="Q20" i="18"/>
  <c r="W23" i="18"/>
  <c r="W26" i="18"/>
  <c r="T18" i="18"/>
  <c r="R18" i="18"/>
  <c r="S18" i="18"/>
  <c r="B20" i="18"/>
  <c r="T14" i="18"/>
  <c r="T20" i="18" s="1"/>
  <c r="U14" i="18"/>
  <c r="V14" i="18"/>
  <c r="W12" i="18" s="1"/>
  <c r="R14" i="18"/>
  <c r="S14" i="18"/>
  <c r="B19" i="18"/>
  <c r="E20" i="18"/>
  <c r="S15" i="18"/>
  <c r="R15" i="18"/>
  <c r="S16" i="18"/>
  <c r="R16" i="18"/>
  <c r="M19" i="18"/>
  <c r="W3" i="18"/>
  <c r="S19" i="18" l="1"/>
  <c r="R19" i="18"/>
  <c r="W13" i="18"/>
  <c r="R20" i="18"/>
  <c r="S20" i="18"/>
  <c r="T19" i="18"/>
  <c r="I5" i="18" a="1"/>
  <c r="I5" i="18"/>
  <c r="D6" i="18" a="1"/>
  <c r="D6" i="18"/>
  <c r="Q6" i="18" a="1"/>
  <c r="Q6" i="18"/>
  <c r="L6" i="18" a="1"/>
  <c r="L6" i="18"/>
  <c r="S6" i="18" s="1"/>
  <c r="U5" i="18"/>
  <c r="V5" i="18"/>
  <c r="T5" i="18"/>
  <c r="S5" i="18"/>
  <c r="R5" i="18"/>
  <c r="T6" i="18" l="1"/>
  <c r="U6" i="18"/>
  <c r="R6" i="18"/>
  <c r="V6" i="18"/>
</calcChain>
</file>

<file path=xl/sharedStrings.xml><?xml version="1.0" encoding="utf-8"?>
<sst xmlns="http://schemas.openxmlformats.org/spreadsheetml/2006/main" count="2105" uniqueCount="384">
  <si>
    <t>SLOT</t>
  </si>
  <si>
    <t>PLAYER, TEAM POS</t>
  </si>
  <si>
    <t>OPP</t>
  </si>
  <si>
    <t>STATUS ET</t>
  </si>
  <si>
    <t>C/A</t>
  </si>
  <si>
    <t>YDS</t>
  </si>
  <si>
    <t>TD</t>
  </si>
  <si>
    <t>INT</t>
  </si>
  <si>
    <t>RUSH</t>
  </si>
  <si>
    <t>REC</t>
  </si>
  <si>
    <t>TAR</t>
  </si>
  <si>
    <t>2PC</t>
  </si>
  <si>
    <t>FUML</t>
  </si>
  <si>
    <t>PTS</t>
  </si>
  <si>
    <t>QB</t>
  </si>
  <si>
    <t>Carson Palmer, Ari QB</t>
  </si>
  <si>
    <t>@Det</t>
  </si>
  <si>
    <t>» L 23-35</t>
  </si>
  <si>
    <t>27/48</t>
  </si>
  <si>
    <t>RB1</t>
  </si>
  <si>
    <t>Ezekiel Elliott, Dal RB</t>
  </si>
  <si>
    <t>NYG</t>
  </si>
  <si>
    <t>» W 19-3</t>
  </si>
  <si>
    <t>0/0</t>
  </si>
  <si>
    <t>RB2</t>
  </si>
  <si>
    <t>Isaiah Crowell, Cle RB</t>
  </si>
  <si>
    <t>Pit</t>
  </si>
  <si>
    <t>» L 18-21</t>
  </si>
  <si>
    <t>WR1</t>
  </si>
  <si>
    <t>Martavis Bryant, Pit WR</t>
  </si>
  <si>
    <t>@Cle</t>
  </si>
  <si>
    <t>» W 21-18</t>
  </si>
  <si>
    <t>WR2</t>
  </si>
  <si>
    <t>Allen Robinson, Jax WR  Q</t>
  </si>
  <si>
    <t>@Hou</t>
  </si>
  <si>
    <t>» W 29-7</t>
  </si>
  <si>
    <t>TE</t>
  </si>
  <si>
    <t>Zach Ertz, Phi TE</t>
  </si>
  <si>
    <t>@Wsh</t>
  </si>
  <si>
    <t>» W 30-17</t>
  </si>
  <si>
    <t>FLEX</t>
  </si>
  <si>
    <t>Dalvin Cook, Min RB  Q</t>
  </si>
  <si>
    <t>NO</t>
  </si>
  <si>
    <t>» W 29-19</t>
  </si>
  <si>
    <t>Bench1</t>
  </si>
  <si>
    <t>Mike Evans, TB WR</t>
  </si>
  <si>
    <t>** BYE **</t>
  </si>
  <si>
    <t>--/--</t>
  </si>
  <si>
    <t>--</t>
  </si>
  <si>
    <t>Bench2</t>
  </si>
  <si>
    <t>Bilal Powell, NYJ RB</t>
  </si>
  <si>
    <t>@Buf</t>
  </si>
  <si>
    <t>» L 12-21</t>
  </si>
  <si>
    <t>Bench3</t>
  </si>
  <si>
    <t>Darren McFadden, Dal RB</t>
  </si>
  <si>
    <t>Bench4</t>
  </si>
  <si>
    <t>Darren Sproles, Phi RB  Q</t>
  </si>
  <si>
    <t>Bench5</t>
  </si>
  <si>
    <t>Jamaal Charles, Den RB</t>
  </si>
  <si>
    <t>LAC</t>
  </si>
  <si>
    <t>» W 24-21</t>
  </si>
  <si>
    <t>Bench6</t>
  </si>
  <si>
    <t>Robby Anderson, NYJ WR</t>
  </si>
  <si>
    <t>IR</t>
  </si>
  <si>
    <t>Andrew Luck, Ind QB  Q</t>
  </si>
  <si>
    <t>@LAR</t>
  </si>
  <si>
    <t>» L 9-46</t>
  </si>
  <si>
    <t>FR</t>
  </si>
  <si>
    <t>SCK</t>
  </si>
  <si>
    <t>SFTY</t>
  </si>
  <si>
    <t>BLK</t>
  </si>
  <si>
    <t>PA</t>
  </si>
  <si>
    <t>D/ST</t>
  </si>
  <si>
    <t>Texans D/ST D/ST</t>
  </si>
  <si>
    <t>Jax</t>
  </si>
  <si>
    <t>» L 7-29</t>
  </si>
  <si>
    <t>Jared Goff, LAR QB</t>
  </si>
  <si>
    <t>Wsh</t>
  </si>
  <si>
    <t>» L 20-27</t>
  </si>
  <si>
    <t>14/24</t>
  </si>
  <si>
    <t>@Den</t>
  </si>
  <si>
    <t>» L 17-42</t>
  </si>
  <si>
    <t>@Pit</t>
  </si>
  <si>
    <t>» L 9-26</t>
  </si>
  <si>
    <t>Chi</t>
  </si>
  <si>
    <t>Min</t>
  </si>
  <si>
    <t>» W 26-9</t>
  </si>
  <si>
    <t>@KC</t>
  </si>
  <si>
    <t>Ted Ginn Jr., NO WR</t>
  </si>
  <si>
    <t>NE</t>
  </si>
  <si>
    <t>» L 20-36</t>
  </si>
  <si>
    <t>@Bal</t>
  </si>
  <si>
    <t>» L 10-24</t>
  </si>
  <si>
    <t>@Oak</t>
  </si>
  <si>
    <t>» L 20-45</t>
  </si>
  <si>
    <t>Cooper Kupp, LAR WR</t>
  </si>
  <si>
    <t>Chris Carson, Sea RB  Q</t>
  </si>
  <si>
    <t>SF</t>
  </si>
  <si>
    <t>» W 12-9</t>
  </si>
  <si>
    <t>Mike Wallace, Bal WR</t>
  </si>
  <si>
    <t>Cle</t>
  </si>
  <si>
    <t>» W 24-10</t>
  </si>
  <si>
    <t>Donte Moncrief, Ind WR</t>
  </si>
  <si>
    <t>Ari</t>
  </si>
  <si>
    <t>» L 13-16</t>
  </si>
  <si>
    <t>Raiders D/ST D/ST</t>
  </si>
  <si>
    <t>NYJ</t>
  </si>
  <si>
    <t>» W 45-20</t>
  </si>
  <si>
    <t>Jay Cutler, Mia QB</t>
  </si>
  <si>
    <t>@NYJ</t>
  </si>
  <si>
    <t>» L 6-20</t>
  </si>
  <si>
    <t>26/44</t>
  </si>
  <si>
    <t>@Ari</t>
  </si>
  <si>
    <t>» W 28-17</t>
  </si>
  <si>
    <t>TB</t>
  </si>
  <si>
    <t>» W 34-17</t>
  </si>
  <si>
    <t>@Min</t>
  </si>
  <si>
    <t>» L 17-34</t>
  </si>
  <si>
    <t>Doug Baldwin, Sea WR</t>
  </si>
  <si>
    <t>@Ten</t>
  </si>
  <si>
    <t>» L 27-33</t>
  </si>
  <si>
    <t>» W 27-24</t>
  </si>
  <si>
    <t>@Ind</t>
  </si>
  <si>
    <t>» L 28-31</t>
  </si>
  <si>
    <t>@SF</t>
  </si>
  <si>
    <t>» W 41-39</t>
  </si>
  <si>
    <t>@Car</t>
  </si>
  <si>
    <t>» W 34-13</t>
  </si>
  <si>
    <t>» W 31-28</t>
  </si>
  <si>
    <t>Rob Kelley, Wsh RB  Q</t>
  </si>
  <si>
    <t>Oak</t>
  </si>
  <si>
    <t>» W 27-10</t>
  </si>
  <si>
    <t>Broncos D/ST D/ST</t>
  </si>
  <si>
    <t>» L 16-26</t>
  </si>
  <si>
    <t>Andy Dalton, Cin QB</t>
  </si>
  <si>
    <t>» W 31-7</t>
  </si>
  <si>
    <t>25/30</t>
  </si>
  <si>
    <t>LAR</t>
  </si>
  <si>
    <t>» L 30-35</t>
  </si>
  <si>
    <t>Det</t>
  </si>
  <si>
    <t>» L 7-14</t>
  </si>
  <si>
    <t>» W 25-23</t>
  </si>
  <si>
    <t>Ind</t>
  </si>
  <si>
    <t>» W 46-18</t>
  </si>
  <si>
    <t>@LAC</t>
  </si>
  <si>
    <t>» W 26-24</t>
  </si>
  <si>
    <t>Cin</t>
  </si>
  <si>
    <t>» L 7-31</t>
  </si>
  <si>
    <t>» L 20-29</t>
  </si>
  <si>
    <t>Wendell Smallwood, Phi RB</t>
  </si>
  <si>
    <t>Alfred Morris, Dal RB</t>
  </si>
  <si>
    <t>@Sea</t>
  </si>
  <si>
    <t>» L 18-46</t>
  </si>
  <si>
    <t>Alex Collins, Bal RB</t>
  </si>
  <si>
    <t>» W 16-10</t>
  </si>
  <si>
    <t>Deshaun Watson, Hou QB  Q</t>
  </si>
  <si>
    <t>KC</t>
  </si>
  <si>
    <t>» L 34-42</t>
  </si>
  <si>
    <t>16/31</t>
  </si>
  <si>
    <t>GB</t>
  </si>
  <si>
    <t>» L 31-35</t>
  </si>
  <si>
    <t>» L 14-17</t>
  </si>
  <si>
    <t>» L 14-19</t>
  </si>
  <si>
    <t>» W 34-7</t>
  </si>
  <si>
    <t>Latavius Murray, Min RB</t>
  </si>
  <si>
    <t>@Chi</t>
  </si>
  <si>
    <t>» W 20-17</t>
  </si>
  <si>
    <t>Wayne Gallman, NYG RB</t>
  </si>
  <si>
    <t>» L 22-27</t>
  </si>
  <si>
    <t>» W 26-23</t>
  </si>
  <si>
    <t>Bills D/ST D/ST</t>
  </si>
  <si>
    <t>@Cin</t>
  </si>
  <si>
    <t>» L 16-20</t>
  </si>
  <si>
    <t>Matt Ryan, Atl QB</t>
  </si>
  <si>
    <t>Mia</t>
  </si>
  <si>
    <t>» L 17-20</t>
  </si>
  <si>
    <t>24/35</t>
  </si>
  <si>
    <t>» L 17-33</t>
  </si>
  <si>
    <t>Elijah McGuire, NYJ RB</t>
  </si>
  <si>
    <t>» L 17-24</t>
  </si>
  <si>
    <t>» L 33-38</t>
  </si>
  <si>
    <t>Julio Jones, Atl WR</t>
  </si>
  <si>
    <t>Austin Seferian-Jenkins, NYJ TE  Q</t>
  </si>
  <si>
    <t>Taylor Gabriel, Atl WR</t>
  </si>
  <si>
    <t>Thomas Rawls, Sea RB</t>
  </si>
  <si>
    <t>» L 22-36</t>
  </si>
  <si>
    <t>» L 10-23</t>
  </si>
  <si>
    <t>@NE</t>
  </si>
  <si>
    <t>» L 7-23</t>
  </si>
  <si>
    <t>23/33</t>
  </si>
  <si>
    <t>» W 40-10</t>
  </si>
  <si>
    <t>Chris Ivory, Jax RB</t>
  </si>
  <si>
    <t>» W 27-0</t>
  </si>
  <si>
    <t>» L 27-30</t>
  </si>
  <si>
    <t>@Mia</t>
  </si>
  <si>
    <t>@NYG</t>
  </si>
  <si>
    <t>» W 24-7</t>
  </si>
  <si>
    <t>Ten</t>
  </si>
  <si>
    <t>» L 9-12</t>
  </si>
  <si>
    <t>@Phi</t>
  </si>
  <si>
    <t>» L 24-34</t>
  </si>
  <si>
    <t>Orleans Darkwa, NYG RB</t>
  </si>
  <si>
    <t>Sea</t>
  </si>
  <si>
    <t>» L 7-24</t>
  </si>
  <si>
    <t>» W 34-24</t>
  </si>
  <si>
    <t>Dion Lewis, NE RB</t>
  </si>
  <si>
    <t>Atl</t>
  </si>
  <si>
    <t>» W 23-7</t>
  </si>
  <si>
    <t>» L 0-27</t>
  </si>
  <si>
    <t>» L 0-21</t>
  </si>
  <si>
    <t>» W 25-20</t>
  </si>
  <si>
    <t>18/29</t>
  </si>
  <si>
    <t>» W 33-19</t>
  </si>
  <si>
    <t>» W 21-13</t>
  </si>
  <si>
    <t>Car</t>
  </si>
  <si>
    <t>» L 3-17</t>
  </si>
  <si>
    <t>» L 20-25</t>
  </si>
  <si>
    <t>Hou</t>
  </si>
  <si>
    <t>» W 41-38</t>
  </si>
  <si>
    <t>» L 16-33</t>
  </si>
  <si>
    <t>Dal</t>
  </si>
  <si>
    <t>» L 19-33</t>
  </si>
  <si>
    <t>» W 33-10</t>
  </si>
  <si>
    <t>Austin Ekeler, LAC RB</t>
  </si>
  <si>
    <t>» L 13-21</t>
  </si>
  <si>
    <t>Charles Clay, Buf TE</t>
  </si>
  <si>
    <t>» W 34-14</t>
  </si>
  <si>
    <t>» L 19-29</t>
  </si>
  <si>
    <t>24/38</t>
  </si>
  <si>
    <t>» L 20-23</t>
  </si>
  <si>
    <t>@NO</t>
  </si>
  <si>
    <t>» L 10-30</t>
  </si>
  <si>
    <t>Buf</t>
  </si>
  <si>
    <t>» W 34-21</t>
  </si>
  <si>
    <t>» L 17-51</t>
  </si>
  <si>
    <t>Kenyan Drake, Mia RB</t>
  </si>
  <si>
    <t>» L 24-27</t>
  </si>
  <si>
    <t>Eddie Lacy, Sea RB</t>
  </si>
  <si>
    <t> </t>
  </si>
  <si>
    <t>» L 23-51</t>
  </si>
  <si>
    <t>» W 27-7</t>
  </si>
  <si>
    <t>22/29</t>
  </si>
  <si>
    <t>» L 21-31</t>
  </si>
  <si>
    <t>@Atl</t>
  </si>
  <si>
    <t>» L 7-27</t>
  </si>
  <si>
    <t>» W 22-16</t>
  </si>
  <si>
    <t>Hunter Henry, LAC TE  Q</t>
  </si>
  <si>
    <t>@Jax</t>
  </si>
  <si>
    <t>@TB</t>
  </si>
  <si>
    <t>» L 10-15</t>
  </si>
  <si>
    <t>» W 15-10</t>
  </si>
  <si>
    <t>» L 24-38</t>
  </si>
  <si>
    <t>» L 21-45</t>
  </si>
  <si>
    <t>Rod Smith, Dal RB</t>
  </si>
  <si>
    <t>Greg Olsen, Car TE</t>
  </si>
  <si>
    <t>» W 45-21</t>
  </si>
  <si>
    <t>» L 16-41</t>
  </si>
  <si>
    <t>» W 34-31</t>
  </si>
  <si>
    <t>19/27</t>
  </si>
  <si>
    <t>» L 20-30</t>
  </si>
  <si>
    <t>» L 31-34</t>
  </si>
  <si>
    <t>Cameron Brate, TB TE</t>
  </si>
  <si>
    <t>» W 30-20</t>
  </si>
  <si>
    <t>Phi</t>
  </si>
  <si>
    <t>» L 9-37</t>
  </si>
  <si>
    <t>» L 7-19</t>
  </si>
  <si>
    <t>Samaje Perine, Wsh RB</t>
  </si>
  <si>
    <t>» W 34-20</t>
  </si>
  <si>
    <t>26/35</t>
  </si>
  <si>
    <t>» L 6-28</t>
  </si>
  <si>
    <t>» W 20-10</t>
  </si>
  <si>
    <t>» W 24-13</t>
  </si>
  <si>
    <t>» W 35-27</t>
  </si>
  <si>
    <t>» L 20-34</t>
  </si>
  <si>
    <t>» L 16-30</t>
  </si>
  <si>
    <t>» L 10-20</t>
  </si>
  <si>
    <t>» L 17-35</t>
  </si>
  <si>
    <t>» L 27-35</t>
  </si>
  <si>
    <t>Ty Montgomery, GB RB  Q</t>
  </si>
  <si>
    <t>Aaron Rodgers, GB QB</t>
  </si>
  <si>
    <t>Falcons D/ST D/ST</t>
  </si>
  <si>
    <t>» L 9-14</t>
  </si>
  <si>
    <t>16/29</t>
  </si>
  <si>
    <t>Den</t>
  </si>
  <si>
    <t>» W 35-9</t>
  </si>
  <si>
    <t>@Dal</t>
  </si>
  <si>
    <t>» L 14-38</t>
  </si>
  <si>
    <t>» W 19-10</t>
  </si>
  <si>
    <t>@GB</t>
  </si>
  <si>
    <t>» L 20-26</t>
  </si>
  <si>
    <t>» W 38-14</t>
  </si>
  <si>
    <t>» L 10-19</t>
  </si>
  <si>
    <t>» W 38-31</t>
  </si>
  <si>
    <t>Jameis Winston, TB QB</t>
  </si>
  <si>
    <t>21/32</t>
  </si>
  <si>
    <t>» W 26-20</t>
  </si>
  <si>
    <t>Bears D/ST D/ST</t>
  </si>
  <si>
    <t>» L 14-15</t>
  </si>
  <si>
    <t>15/27</t>
  </si>
  <si>
    <t>» L 13-30</t>
  </si>
  <si>
    <t>Giovani Bernard, Cin RB</t>
  </si>
  <si>
    <t>» L 7-33</t>
  </si>
  <si>
    <t>» L 21-24</t>
  </si>
  <si>
    <t>» W 30-13</t>
  </si>
  <si>
    <t>» W 27-20</t>
  </si>
  <si>
    <t>» W 30-10</t>
  </si>
  <si>
    <t>» L 21-27</t>
  </si>
  <si>
    <t>» L 24-30</t>
  </si>
  <si>
    <t>26/38</t>
  </si>
  <si>
    <t>» W 27-21</t>
  </si>
  <si>
    <t>» W 13-7</t>
  </si>
  <si>
    <t>Colts D/ST D/ST</t>
  </si>
  <si>
    <t>» L 7-13</t>
  </si>
  <si>
    <t>» L 24-31</t>
  </si>
  <si>
    <t>26/45</t>
  </si>
  <si>
    <t>» L 16-24</t>
  </si>
  <si>
    <t>» W 20-15</t>
  </si>
  <si>
    <t>» L 7-42</t>
  </si>
  <si>
    <t>Bal</t>
  </si>
  <si>
    <t>» L 10-27</t>
  </si>
  <si>
    <t>27/35</t>
  </si>
  <si>
    <t>Kerwynn Williams, Ari RB</t>
  </si>
  <si>
    <t>» L 15-20</t>
  </si>
  <si>
    <t>» L 7-34</t>
  </si>
  <si>
    <t>» W 24-16</t>
  </si>
  <si>
    <t>» L 19-22</t>
  </si>
  <si>
    <t>21/27</t>
  </si>
  <si>
    <t>» L 13-29</t>
  </si>
  <si>
    <t>» W 21-12</t>
  </si>
  <si>
    <t>» L 13-23</t>
  </si>
  <si>
    <t>Antonio Gates, LAC TE</t>
  </si>
  <si>
    <t>» W 14-7</t>
  </si>
  <si>
    <t>» L 3-20</t>
  </si>
  <si>
    <t>» W 27-11</t>
  </si>
  <si>
    <t>» L 0-16</t>
  </si>
  <si>
    <t>» W 23-0</t>
  </si>
  <si>
    <t>» W 26-17</t>
  </si>
  <si>
    <t>» W 20-3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</si>
  <si>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</si>
  <si>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</si>
  <si>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</si>
  <si>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</si>
  <si>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</si>
  <si>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</si>
  <si>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</si>
  <si>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</si>
  <si>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</si>
  <si>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</si>
  <si>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</si>
  <si>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</si>
  <si>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</si>
  <si>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</si>
  <si>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</si>
  <si>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</si>
  <si>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Player</t>
  </si>
  <si>
    <t>Position</t>
  </si>
  <si>
    <t>Points</t>
  </si>
  <si>
    <t>TDs</t>
  </si>
  <si>
    <t>TD %</t>
  </si>
  <si>
    <t>Other %</t>
  </si>
  <si>
    <t>Starters Total</t>
  </si>
  <si>
    <t>Bench Total</t>
  </si>
  <si>
    <t>Team Total</t>
  </si>
  <si>
    <t>New Starters</t>
  </si>
  <si>
    <t>New Players</t>
  </si>
  <si>
    <t>N/A</t>
  </si>
  <si>
    <t>Max</t>
  </si>
  <si>
    <t>Total</t>
  </si>
  <si>
    <t>Average</t>
  </si>
  <si>
    <t>Std Dev</t>
  </si>
  <si>
    <t>% of Points</t>
  </si>
  <si>
    <t>Point Breakdown</t>
  </si>
  <si>
    <t>Starters Total TDs</t>
  </si>
  <si>
    <t>Bench Total TDs</t>
  </si>
  <si>
    <t>Team Total TDs</t>
  </si>
  <si>
    <t>Starters % of Points by TD</t>
  </si>
  <si>
    <t>Bench % of Points by TD</t>
  </si>
  <si>
    <t>Team % of Points by TD</t>
  </si>
  <si>
    <t>Starters % of Points by Other</t>
  </si>
  <si>
    <t>Bench % of Points by Other</t>
  </si>
  <si>
    <t>Team % of Points by Other</t>
  </si>
  <si>
    <t>Bench Players Outscored Starters</t>
  </si>
  <si>
    <t>Max Score</t>
  </si>
  <si>
    <t>% of Max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</si>
</sst>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164" fontId="0" fillId="0" borderId="4" xfId="1" applyNumberFormat="1" applyFont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4" xfId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65" fontId="0" fillId="0" borderId="0" xfId="0" applyNumberFormat="1"/>
    <xf numFmtId="0" fontId="0" fillId="2" borderId="4" xfId="0" applyFill="1" applyBorder="1" applyAlignment="1">
      <alignment horizontal="center"/>
    </xf>
    <xf numFmtId="164" fontId="0" fillId="3" borderId="4" xfId="1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Normal" xfId="0" builtinId="0"/>
    <cellStyle name="Percent" xfId="1" builtinId="5"/>
  </cellStyles>
  <dxfs count="70"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E1E9B-10E5-4A72-A503-D5D9D9E4B6A1}">
  <sheetPr codeName="Sheet1">
    <pageSetUpPr autoPageBreaks="0"/>
  </sheetPr>
  <dimension ref="A1:W31"/>
  <sheetViews>
    <sheetView tabSelected="1" zoomScale="70" zoomScaleNormal="70" workbookViewId="0">
      <pane xSplit="1" ySplit="1" topLeftCell="B2" activePane="bottomRight" state="frozen"/>
      <selection activeCell="B16" sqref="B16"/>
      <selection pane="topRight" activeCell="B16" sqref="B16"/>
      <selection pane="bottomLeft" activeCell="B16" sqref="B16"/>
      <selection pane="bottomRight" activeCell="B16" sqref="B16"/>
    </sheetView>
  </sheetViews>
  <sheetFormatPr defaultRowHeight="14.75" x14ac:dyDescent="0.75"/>
  <cols>
    <col min="1" max="1" width="27.953125" bestFit="1" customWidth="1"/>
    <col min="3" max="3" width="9.86328125" bestFit="1" customWidth="1"/>
    <col min="8" max="8" width="9.86328125" bestFit="1" customWidth="1"/>
    <col min="13" max="13" width="9.6796875" bestFit="1" customWidth="1"/>
    <col min="20" max="20" width="8.6796875" customWidth="1"/>
    <col min="23" max="23" width="9.6796875" bestFit="1" customWidth="1"/>
  </cols>
  <sheetData>
    <row r="1" spans="1:23" ht="16.25" thickTop="1" thickBot="1" x14ac:dyDescent="0.9">
      <c r="A1" s="6" t="s">
        <v>356</v>
      </c>
      <c r="B1" s="2" t="s">
        <v>338</v>
      </c>
      <c r="C1" s="2" t="s">
        <v>339</v>
      </c>
      <c r="D1" s="2" t="s">
        <v>340</v>
      </c>
      <c r="E1" s="2" t="s">
        <v>341</v>
      </c>
      <c r="F1" s="2" t="s">
        <v>342</v>
      </c>
      <c r="G1" s="2" t="s">
        <v>343</v>
      </c>
      <c r="H1" s="2" t="s">
        <v>344</v>
      </c>
      <c r="I1" s="2" t="s">
        <v>345</v>
      </c>
      <c r="J1" s="2" t="s">
        <v>346</v>
      </c>
      <c r="K1" s="2" t="s">
        <v>347</v>
      </c>
      <c r="L1" s="2" t="s">
        <v>348</v>
      </c>
      <c r="M1" s="2" t="s">
        <v>349</v>
      </c>
      <c r="N1" s="2" t="s">
        <v>350</v>
      </c>
      <c r="O1" s="2" t="s">
        <v>351</v>
      </c>
      <c r="P1" s="2" t="s">
        <v>352</v>
      </c>
      <c r="Q1" s="2" t="s">
        <v>353</v>
      </c>
      <c r="R1" s="11" t="s">
        <v>85</v>
      </c>
      <c r="S1" s="11" t="s">
        <v>366</v>
      </c>
      <c r="T1" s="11" t="s">
        <v>368</v>
      </c>
      <c r="U1" s="11" t="s">
        <v>369</v>
      </c>
      <c r="V1" s="11" t="s">
        <v>367</v>
      </c>
      <c r="W1" s="11" t="s">
        <v>370</v>
      </c>
    </row>
    <row r="2" spans="1:23" ht="16.25" thickTop="1" thickBot="1" x14ac:dyDescent="0.9">
      <c r="A2" s="2" t="s">
        <v>360</v>
      </c>
      <c r="B2" s="2">
        <f t="array" aca="1" ref="B2" ca="1">SUM(INDIRECT("Summary!"&amp;ADDRESS(3,SMALL(IF(Summary!$A$2:$CS$2="Points",COLUMN(Summary!$A$2:$CS$2)-MIN(COLUMN(Summary!$A$2:$CS$2))+1),INT(MID(B1,FIND(" ",B1),LEN(B1)-FIND(" ",B1)+1))))&amp;":"&amp;ADDRESS(10,SMALL(IF(Summary!$A$2:$CS$2="Points",COLUMN(Summary!$A$2:$CS$2)-MIN(COLUMN(Summary!$A$2:$CS$2))+1),INT(MID(B1,FIND(" ",B1),LEN(B1)-FIND(" ",B1)+1))))))</f>
        <v>72.100000000000009</v>
      </c>
      <c r="C2" s="2">
        <f t="array" aca="1" ref="C2" ca="1">SUM(INDIRECT("Summary!"&amp;ADDRESS(3,SMALL(IF(Summary!$A$2:$CS$2="Points",COLUMN(Summary!$A$2:$CS$2)-MIN(COLUMN(Summary!$A$2:$CS$2))+1),INT(MID(C1,FIND(" ",C1),LEN(C1)-FIND(" ",C1)+1))))&amp;":"&amp;ADDRESS(10,SMALL(IF(Summary!$A$2:$CS$2="Points",COLUMN(Summary!$A$2:$CS$2)-MIN(COLUMN(Summary!$A$2:$CS$2))+1),INT(MID(C1,FIND(" ",C1),LEN(C1)-FIND(" ",C1)+1))))))</f>
        <v>86.7</v>
      </c>
      <c r="D2" s="2">
        <f t="array" aca="1" ref="D2" ca="1">SUM(INDIRECT("Summary!"&amp;ADDRESS(3,SMALL(IF(Summary!$A$2:$CS$2="Points",COLUMN(Summary!$A$2:$CS$2)-MIN(COLUMN(Summary!$A$2:$CS$2))+1),INT(MID(D1,FIND(" ",D1),LEN(D1)-FIND(" ",D1)+1))))&amp;":"&amp;ADDRESS(10,SMALL(IF(Summary!$A$2:$CS$2="Points",COLUMN(Summary!$A$2:$CS$2)-MIN(COLUMN(Summary!$A$2:$CS$2))+1),INT(MID(D1,FIND(" ",D1),LEN(D1)-FIND(" ",D1)+1))))))</f>
        <v>113.60000000000001</v>
      </c>
      <c r="E2" s="2">
        <f t="array" aca="1" ref="E2" ca="1">SUM(INDIRECT("Summary!"&amp;ADDRESS(3,SMALL(IF(Summary!$A$2:$CS$2="Points",COLUMN(Summary!$A$2:$CS$2)-MIN(COLUMN(Summary!$A$2:$CS$2))+1),INT(MID(E1,FIND(" ",E1),LEN(E1)-FIND(" ",E1)+1))))&amp;":"&amp;ADDRESS(10,SMALL(IF(Summary!$A$2:$CS$2="Points",COLUMN(Summary!$A$2:$CS$2)-MIN(COLUMN(Summary!$A$2:$CS$2))+1),INT(MID(E1,FIND(" ",E1),LEN(E1)-FIND(" ",E1)+1))))))</f>
        <v>126.99999999999999</v>
      </c>
      <c r="F2" s="2">
        <f t="array" aca="1" ref="F2" ca="1">SUM(INDIRECT("Summary!"&amp;ADDRESS(3,SMALL(IF(Summary!$A$2:$CS$2="Points",COLUMN(Summary!$A$2:$CS$2)-MIN(COLUMN(Summary!$A$2:$CS$2))+1),INT(MID(F1,FIND(" ",F1),LEN(F1)-FIND(" ",F1)+1))))&amp;":"&amp;ADDRESS(10,SMALL(IF(Summary!$A$2:$CS$2="Points",COLUMN(Summary!$A$2:$CS$2)-MIN(COLUMN(Summary!$A$2:$CS$2))+1),INT(MID(F1,FIND(" ",F1),LEN(F1)-FIND(" ",F1)+1))))))</f>
        <v>106.4</v>
      </c>
      <c r="G2" s="2">
        <f t="array" aca="1" ref="G2" ca="1">SUM(INDIRECT("Summary!"&amp;ADDRESS(3,SMALL(IF(Summary!$A$2:$CS$2="Points",COLUMN(Summary!$A$2:$CS$2)-MIN(COLUMN(Summary!$A$2:$CS$2))+1),INT(MID(G1,FIND(" ",G1),LEN(G1)-FIND(" ",G1)+1))))&amp;":"&amp;ADDRESS(10,SMALL(IF(Summary!$A$2:$CS$2="Points",COLUMN(Summary!$A$2:$CS$2)-MIN(COLUMN(Summary!$A$2:$CS$2))+1),INT(MID(G1,FIND(" ",G1),LEN(G1)-FIND(" ",G1)+1))))))</f>
        <v>78.100000000000009</v>
      </c>
      <c r="H2" s="2">
        <f t="array" aca="1" ref="H2" ca="1">SUM(INDIRECT("Summary!"&amp;ADDRESS(3,SMALL(IF(Summary!$A$2:$CS$2="Points",COLUMN(Summary!$A$2:$CS$2)-MIN(COLUMN(Summary!$A$2:$CS$2))+1),INT(MID(H1,FIND(" ",H1),LEN(H1)-FIND(" ",H1)+1))))&amp;":"&amp;ADDRESS(10,SMALL(IF(Summary!$A$2:$CS$2="Points",COLUMN(Summary!$A$2:$CS$2)-MIN(COLUMN(Summary!$A$2:$CS$2))+1),INT(MID(H1,FIND(" ",H1),LEN(H1)-FIND(" ",H1)+1))))))</f>
        <v>141.09999999999997</v>
      </c>
      <c r="I2" s="2">
        <f t="array" aca="1" ref="I2" ca="1">SUM(INDIRECT("Summary!"&amp;ADDRESS(3,SMALL(IF(Summary!$A$2:$CS$2="Points",COLUMN(Summary!$A$2:$CS$2)-MIN(COLUMN(Summary!$A$2:$CS$2))+1),INT(MID(I1,FIND(" ",I1),LEN(I1)-FIND(" ",I1)+1))))&amp;":"&amp;ADDRESS(10,SMALL(IF(Summary!$A$2:$CS$2="Points",COLUMN(Summary!$A$2:$CS$2)-MIN(COLUMN(Summary!$A$2:$CS$2))+1),INT(MID(I1,FIND(" ",I1),LEN(I1)-FIND(" ",I1)+1))))))</f>
        <v>90.3</v>
      </c>
      <c r="J2" s="2">
        <f t="array" aca="1" ref="J2" ca="1">SUM(INDIRECT("Summary!"&amp;ADDRESS(3,SMALL(IF(Summary!$A$2:$CS$2="Points",COLUMN(Summary!$A$2:$CS$2)-MIN(COLUMN(Summary!$A$2:$CS$2))+1),INT(MID(J1,FIND(" ",J1),LEN(J1)-FIND(" ",J1)+1))))&amp;":"&amp;ADDRESS(10,SMALL(IF(Summary!$A$2:$CS$2="Points",COLUMN(Summary!$A$2:$CS$2)-MIN(COLUMN(Summary!$A$2:$CS$2))+1),INT(MID(J1,FIND(" ",J1),LEN(J1)-FIND(" ",J1)+1))))))</f>
        <v>84.7</v>
      </c>
      <c r="K2" s="2">
        <f t="array" aca="1" ref="K2" ca="1">SUM(INDIRECT("Summary!"&amp;ADDRESS(3,SMALL(IF(Summary!$A$2:$CS$2="Points",COLUMN(Summary!$A$2:$CS$2)-MIN(COLUMN(Summary!$A$2:$CS$2))+1),INT(MID(K1,FIND(" ",K1),LEN(K1)-FIND(" ",K1)+1))))&amp;":"&amp;ADDRESS(10,SMALL(IF(Summary!$A$2:$CS$2="Points",COLUMN(Summary!$A$2:$CS$2)-MIN(COLUMN(Summary!$A$2:$CS$2))+1),INT(MID(K1,FIND(" ",K1),LEN(K1)-FIND(" ",K1)+1))))))</f>
        <v>64.300000000000011</v>
      </c>
      <c r="L2" s="2">
        <f t="array" aca="1" ref="L2" ca="1">SUM(INDIRECT("Summary!"&amp;ADDRESS(3,SMALL(IF(Summary!$A$2:$CS$2="Points",COLUMN(Summary!$A$2:$CS$2)-MIN(COLUMN(Summary!$A$2:$CS$2))+1),INT(MID(L1,FIND(" ",L1),LEN(L1)-FIND(" ",L1)+1))))&amp;":"&amp;ADDRESS(10,SMALL(IF(Summary!$A$2:$CS$2="Points",COLUMN(Summary!$A$2:$CS$2)-MIN(COLUMN(Summary!$A$2:$CS$2))+1),INT(MID(L1,FIND(" ",L1),LEN(L1)-FIND(" ",L1)+1))))))</f>
        <v>79.900000000000006</v>
      </c>
      <c r="M2" s="2">
        <f t="array" aca="1" ref="M2" ca="1">SUM(INDIRECT("Summary!"&amp;ADDRESS(3,SMALL(IF(Summary!$A$2:$CS$2="Points",COLUMN(Summary!$A$2:$CS$2)-MIN(COLUMN(Summary!$A$2:$CS$2))+1),INT(MID(M1,FIND(" ",M1),LEN(M1)-FIND(" ",M1)+1))))&amp;":"&amp;ADDRESS(10,SMALL(IF(Summary!$A$2:$CS$2="Points",COLUMN(Summary!$A$2:$CS$2)-MIN(COLUMN(Summary!$A$2:$CS$2))+1),INT(MID(M1,FIND(" ",M1),LEN(M1)-FIND(" ",M1)+1))))))</f>
        <v>98.8</v>
      </c>
      <c r="N2" s="2">
        <f t="array" aca="1" ref="N2" ca="1">SUM(INDIRECT("Summary!"&amp;ADDRESS(3,SMALL(IF(Summary!$A$2:$CS$2="Points",COLUMN(Summary!$A$2:$CS$2)-MIN(COLUMN(Summary!$A$2:$CS$2))+1),INT(MID(N1,FIND(" ",N1),LEN(N1)-FIND(" ",N1)+1))))&amp;":"&amp;ADDRESS(10,SMALL(IF(Summary!$A$2:$CS$2="Points",COLUMN(Summary!$A$2:$CS$2)-MIN(COLUMN(Summary!$A$2:$CS$2))+1),INT(MID(N1,FIND(" ",N1),LEN(N1)-FIND(" ",N1)+1))))))</f>
        <v>77.2</v>
      </c>
      <c r="O2" s="2">
        <f t="array" aca="1" ref="O2" ca="1">SUM(INDIRECT("Summary!"&amp;ADDRESS(3,SMALL(IF(Summary!$A$2:$CS$2="Points",COLUMN(Summary!$A$2:$CS$2)-MIN(COLUMN(Summary!$A$2:$CS$2))+1),INT(MID(O1,FIND(" ",O1),LEN(O1)-FIND(" ",O1)+1))))&amp;":"&amp;ADDRESS(10,SMALL(IF(Summary!$A$2:$CS$2="Points",COLUMN(Summary!$A$2:$CS$2)-MIN(COLUMN(Summary!$A$2:$CS$2))+1),INT(MID(O1,FIND(" ",O1),LEN(O1)-FIND(" ",O1)+1))))))</f>
        <v>88.6</v>
      </c>
      <c r="P2" s="2">
        <f t="array" aca="1" ref="P2" ca="1">SUM(INDIRECT("Summary!"&amp;ADDRESS(3,SMALL(IF(Summary!$A$2:$CS$2="Points",COLUMN(Summary!$A$2:$CS$2)-MIN(COLUMN(Summary!$A$2:$CS$2))+1),INT(MID(P1,FIND(" ",P1),LEN(P1)-FIND(" ",P1)+1))))&amp;":"&amp;ADDRESS(10,SMALL(IF(Summary!$A$2:$CS$2="Points",COLUMN(Summary!$A$2:$CS$2)-MIN(COLUMN(Summary!$A$2:$CS$2))+1),INT(MID(P1,FIND(" ",P1),LEN(P1)-FIND(" ",P1)+1))))))</f>
        <v>85.2</v>
      </c>
      <c r="Q2" s="2">
        <f t="array" aca="1" ref="Q2" ca="1">SUM(INDIRECT("Summary!"&amp;ADDRESS(3,SMALL(IF(Summary!$A$2:$CS$2="Points",COLUMN(Summary!$A$2:$CS$2)-MIN(COLUMN(Summary!$A$2:$CS$2))+1),INT(MID(Q1,FIND(" ",Q1),LEN(Q1)-FIND(" ",Q1)+1))))&amp;":"&amp;ADDRESS(10,SMALL(IF(Summary!$A$2:$CS$2="Points",COLUMN(Summary!$A$2:$CS$2)-MIN(COLUMN(Summary!$A$2:$CS$2))+1),INT(MID(Q1,FIND(" ",Q1),LEN(Q1)-FIND(" ",Q1)+1))))))</f>
        <v>108.50000000000001</v>
      </c>
      <c r="R2" s="2">
        <f ca="1">MIN($B2:$Q2)</f>
        <v>64.300000000000011</v>
      </c>
      <c r="S2" s="2">
        <f ca="1">MAX($B2:$Q2)</f>
        <v>141.09999999999997</v>
      </c>
      <c r="T2" s="8">
        <f ca="1">AVERAGE($B2:$Q2)</f>
        <v>93.90625</v>
      </c>
      <c r="U2" s="7">
        <f ca="1">_xlfn.STDEV.P(B2:Q2)</f>
        <v>20.053225075720363</v>
      </c>
      <c r="V2" s="2">
        <f ca="1">SUM($B2:$Q2)</f>
        <v>1502.5</v>
      </c>
      <c r="W2" s="3">
        <f ca="1">V2/V4</f>
        <v>0.72346879815100151</v>
      </c>
    </row>
    <row r="3" spans="1:23" ht="16.25" thickTop="1" thickBot="1" x14ac:dyDescent="0.9">
      <c r="A3" s="2" t="s">
        <v>361</v>
      </c>
      <c r="B3" s="2">
        <f t="array" aca="1" ref="B3" ca="1">SUM(INDIRECT("Summary!"&amp;ADDRESS(11,SMALL(IF(Summary!$A$2:$CS$2="Points",COLUMN(Summary!$A$2:$CS$2)-MIN(COLUMN(Summary!$A$2:$CS$2))+1),INT(MID(B1,FIND(" ",B1),LEN(B1)-FIND(" ",B1)+1))))&amp;":"&amp;ADDRESS(17,SMALL(IF(Summary!$A$2:$CS$2="Points",COLUMN(Summary!$A$2:$CS$2)-MIN(COLUMN(Summary!$A$2:$CS$2))+1),INT(MID(B1,FIND(" ",B1),LEN(B1)-FIND(" ",B1)+1))))))</f>
        <v>19.600000000000001</v>
      </c>
      <c r="C3" s="2">
        <f t="array" aca="1" ref="C3" ca="1">SUM(INDIRECT("Summary!"&amp;ADDRESS(11,SMALL(IF(Summary!$A$2:$CS$2="Points",COLUMN(Summary!$A$2:$CS$2)-MIN(COLUMN(Summary!$A$2:$CS$2))+1),INT(MID(C1,FIND(" ",C1),LEN(C1)-FIND(" ",C1)+1))))&amp;":"&amp;ADDRESS(17,SMALL(IF(Summary!$A$2:$CS$2="Points",COLUMN(Summary!$A$2:$CS$2)-MIN(COLUMN(Summary!$A$2:$CS$2))+1),INT(MID(C1,FIND(" ",C1),LEN(C1)-FIND(" ",C1)+1))))))</f>
        <v>24.3</v>
      </c>
      <c r="D3" s="2">
        <f t="array" aca="1" ref="D3" ca="1">SUM(INDIRECT("Summary!"&amp;ADDRESS(11,SMALL(IF(Summary!$A$2:$CS$2="Points",COLUMN(Summary!$A$2:$CS$2)-MIN(COLUMN(Summary!$A$2:$CS$2))+1),INT(MID(D1,FIND(" ",D1),LEN(D1)-FIND(" ",D1)+1))))&amp;":"&amp;ADDRESS(17,SMALL(IF(Summary!$A$2:$CS$2="Points",COLUMN(Summary!$A$2:$CS$2)-MIN(COLUMN(Summary!$A$2:$CS$2))+1),INT(MID(D1,FIND(" ",D1),LEN(D1)-FIND(" ",D1)+1))))))</f>
        <v>33.199999999999996</v>
      </c>
      <c r="E3" s="2">
        <f t="array" aca="1" ref="E3" ca="1">SUM(INDIRECT("Summary!"&amp;ADDRESS(11,SMALL(IF(Summary!$A$2:$CS$2="Points",COLUMN(Summary!$A$2:$CS$2)-MIN(COLUMN(Summary!$A$2:$CS$2))+1),INT(MID(E1,FIND(" ",E1),LEN(E1)-FIND(" ",E1)+1))))&amp;":"&amp;ADDRESS(17,SMALL(IF(Summary!$A$2:$CS$2="Points",COLUMN(Summary!$A$2:$CS$2)-MIN(COLUMN(Summary!$A$2:$CS$2))+1),INT(MID(E1,FIND(" ",E1),LEN(E1)-FIND(" ",E1)+1))))))</f>
        <v>45.7</v>
      </c>
      <c r="F3" s="2">
        <f t="array" aca="1" ref="F3" ca="1">SUM(INDIRECT("Summary!"&amp;ADDRESS(11,SMALL(IF(Summary!$A$2:$CS$2="Points",COLUMN(Summary!$A$2:$CS$2)-MIN(COLUMN(Summary!$A$2:$CS$2))+1),INT(MID(F1,FIND(" ",F1),LEN(F1)-FIND(" ",F1)+1))))&amp;":"&amp;ADDRESS(17,SMALL(IF(Summary!$A$2:$CS$2="Points",COLUMN(Summary!$A$2:$CS$2)-MIN(COLUMN(Summary!$A$2:$CS$2))+1),INT(MID(F1,FIND(" ",F1),LEN(F1)-FIND(" ",F1)+1))))))</f>
        <v>17.2</v>
      </c>
      <c r="G3" s="2">
        <f t="array" aca="1" ref="G3" ca="1">SUM(INDIRECT("Summary!"&amp;ADDRESS(11,SMALL(IF(Summary!$A$2:$CS$2="Points",COLUMN(Summary!$A$2:$CS$2)-MIN(COLUMN(Summary!$A$2:$CS$2))+1),INT(MID(G1,FIND(" ",G1),LEN(G1)-FIND(" ",G1)+1))))&amp;":"&amp;ADDRESS(17,SMALL(IF(Summary!$A$2:$CS$2="Points",COLUMN(Summary!$A$2:$CS$2)-MIN(COLUMN(Summary!$A$2:$CS$2))+1),INT(MID(G1,FIND(" ",G1),LEN(G1)-FIND(" ",G1)+1))))))</f>
        <v>0</v>
      </c>
      <c r="H3" s="2">
        <f t="array" aca="1" ref="H3" ca="1">SUM(INDIRECT("Summary!"&amp;ADDRESS(11,SMALL(IF(Summary!$A$2:$CS$2="Points",COLUMN(Summary!$A$2:$CS$2)-MIN(COLUMN(Summary!$A$2:$CS$2))+1),INT(MID(H1,FIND(" ",H1),LEN(H1)-FIND(" ",H1)+1))))&amp;":"&amp;ADDRESS(17,SMALL(IF(Summary!$A$2:$CS$2="Points",COLUMN(Summary!$A$2:$CS$2)-MIN(COLUMN(Summary!$A$2:$CS$2))+1),INT(MID(H1,FIND(" ",H1),LEN(H1)-FIND(" ",H1)+1))))))</f>
        <v>36.700000000000003</v>
      </c>
      <c r="I3" s="2">
        <f t="array" aca="1" ref="I3" ca="1">SUM(INDIRECT("Summary!"&amp;ADDRESS(11,SMALL(IF(Summary!$A$2:$CS$2="Points",COLUMN(Summary!$A$2:$CS$2)-MIN(COLUMN(Summary!$A$2:$CS$2))+1),INT(MID(I1,FIND(" ",I1),LEN(I1)-FIND(" ",I1)+1))))&amp;":"&amp;ADDRESS(17,SMALL(IF(Summary!$A$2:$CS$2="Points",COLUMN(Summary!$A$2:$CS$2)-MIN(COLUMN(Summary!$A$2:$CS$2))+1),INT(MID(I1,FIND(" ",I1),LEN(I1)-FIND(" ",I1)+1))))))</f>
        <v>30.1</v>
      </c>
      <c r="J3" s="2">
        <f t="array" aca="1" ref="J3" ca="1">SUM(INDIRECT("Summary!"&amp;ADDRESS(11,SMALL(IF(Summary!$A$2:$CS$2="Points",COLUMN(Summary!$A$2:$CS$2)-MIN(COLUMN(Summary!$A$2:$CS$2))+1),INT(MID(J1,FIND(" ",J1),LEN(J1)-FIND(" ",J1)+1))))&amp;":"&amp;ADDRESS(17,SMALL(IF(Summary!$A$2:$CS$2="Points",COLUMN(Summary!$A$2:$CS$2)-MIN(COLUMN(Summary!$A$2:$CS$2))+1),INT(MID(J1,FIND(" ",J1),LEN(J1)-FIND(" ",J1)+1))))))</f>
        <v>27.299999999999997</v>
      </c>
      <c r="K3" s="2">
        <f t="array" aca="1" ref="K3" ca="1">SUM(INDIRECT("Summary!"&amp;ADDRESS(11,SMALL(IF(Summary!$A$2:$CS$2="Points",COLUMN(Summary!$A$2:$CS$2)-MIN(COLUMN(Summary!$A$2:$CS$2))+1),INT(MID(K1,FIND(" ",K1),LEN(K1)-FIND(" ",K1)+1))))&amp;":"&amp;ADDRESS(17,SMALL(IF(Summary!$A$2:$CS$2="Points",COLUMN(Summary!$A$2:$CS$2)-MIN(COLUMN(Summary!$A$2:$CS$2))+1),INT(MID(K1,FIND(" ",K1),LEN(K1)-FIND(" ",K1)+1))))))</f>
        <v>36.9</v>
      </c>
      <c r="L3" s="2">
        <f t="array" aca="1" ref="L3" ca="1">SUM(INDIRECT("Summary!"&amp;ADDRESS(11,SMALL(IF(Summary!$A$2:$CS$2="Points",COLUMN(Summary!$A$2:$CS$2)-MIN(COLUMN(Summary!$A$2:$CS$2))+1),INT(MID(L1,FIND(" ",L1),LEN(L1)-FIND(" ",L1)+1))))&amp;":"&amp;ADDRESS(17,SMALL(IF(Summary!$A$2:$CS$2="Points",COLUMN(Summary!$A$2:$CS$2)-MIN(COLUMN(Summary!$A$2:$CS$2))+1),INT(MID(L1,FIND(" ",L1),LEN(L1)-FIND(" ",L1)+1))))))</f>
        <v>31.1</v>
      </c>
      <c r="M3" s="2">
        <f t="array" aca="1" ref="M3" ca="1">SUM(INDIRECT("Summary!"&amp;ADDRESS(11,SMALL(IF(Summary!$A$2:$CS$2="Points",COLUMN(Summary!$A$2:$CS$2)-MIN(COLUMN(Summary!$A$2:$CS$2))+1),INT(MID(M1,FIND(" ",M1),LEN(M1)-FIND(" ",M1)+1))))&amp;":"&amp;ADDRESS(17,SMALL(IF(Summary!$A$2:$CS$2="Points",COLUMN(Summary!$A$2:$CS$2)-MIN(COLUMN(Summary!$A$2:$CS$2))+1),INT(MID(M1,FIND(" ",M1),LEN(M1)-FIND(" ",M1)+1))))))</f>
        <v>29.3</v>
      </c>
      <c r="N3" s="2">
        <f t="array" aca="1" ref="N3" ca="1">SUM(INDIRECT("Summary!"&amp;ADDRESS(11,SMALL(IF(Summary!$A$2:$CS$2="Points",COLUMN(Summary!$A$2:$CS$2)-MIN(COLUMN(Summary!$A$2:$CS$2))+1),INT(MID(N1,FIND(" ",N1),LEN(N1)-FIND(" ",N1)+1))))&amp;":"&amp;ADDRESS(17,SMALL(IF(Summary!$A$2:$CS$2="Points",COLUMN(Summary!$A$2:$CS$2)-MIN(COLUMN(Summary!$A$2:$CS$2))+1),INT(MID(N1,FIND(" ",N1),LEN(N1)-FIND(" ",N1)+1))))))</f>
        <v>57.500000000000007</v>
      </c>
      <c r="O3" s="2">
        <f t="array" aca="1" ref="O3" ca="1">SUM(INDIRECT("Summary!"&amp;ADDRESS(11,SMALL(IF(Summary!$A$2:$CS$2="Points",COLUMN(Summary!$A$2:$CS$2)-MIN(COLUMN(Summary!$A$2:$CS$2))+1),INT(MID(O1,FIND(" ",O1),LEN(O1)-FIND(" ",O1)+1))))&amp;":"&amp;ADDRESS(17,SMALL(IF(Summary!$A$2:$CS$2="Points",COLUMN(Summary!$A$2:$CS$2)-MIN(COLUMN(Summary!$A$2:$CS$2))+1),INT(MID(O1,FIND(" ",O1),LEN(O1)-FIND(" ",O1)+1))))))</f>
        <v>65.3</v>
      </c>
      <c r="P3" s="2">
        <f t="array" aca="1" ref="P3" ca="1">SUM(INDIRECT("Summary!"&amp;ADDRESS(11,SMALL(IF(Summary!$A$2:$CS$2="Points",COLUMN(Summary!$A$2:$CS$2)-MIN(COLUMN(Summary!$A$2:$CS$2))+1),INT(MID(P1,FIND(" ",P1),LEN(P1)-FIND(" ",P1)+1))))&amp;":"&amp;ADDRESS(17,SMALL(IF(Summary!$A$2:$CS$2="Points",COLUMN(Summary!$A$2:$CS$2)-MIN(COLUMN(Summary!$A$2:$CS$2))+1),INT(MID(P1,FIND(" ",P1),LEN(P1)-FIND(" ",P1)+1))))))</f>
        <v>74.600000000000009</v>
      </c>
      <c r="Q3" s="2">
        <f t="array" aca="1" ref="Q3" ca="1">SUM(INDIRECT("Summary!"&amp;ADDRESS(11,SMALL(IF(Summary!$A$2:$CS$2="Points",COLUMN(Summary!$A$2:$CS$2)-MIN(COLUMN(Summary!$A$2:$CS$2))+1),INT(MID(Q1,FIND(" ",Q1),LEN(Q1)-FIND(" ",Q1)+1))))&amp;":"&amp;ADDRESS(17,SMALL(IF(Summary!$A$2:$CS$2="Points",COLUMN(Summary!$A$2:$CS$2)-MIN(COLUMN(Summary!$A$2:$CS$2))+1),INT(MID(Q1,FIND(" ",Q1),LEN(Q1)-FIND(" ",Q1)+1))))))</f>
        <v>45.5</v>
      </c>
      <c r="R3" s="2">
        <f t="shared" ref="R3:R9" ca="1" si="0">MIN($B3:$Q3)</f>
        <v>0</v>
      </c>
      <c r="S3" s="2">
        <f t="shared" ref="S3:S9" ca="1" si="1">MAX($B3:$Q3)</f>
        <v>74.600000000000009</v>
      </c>
      <c r="T3" s="8">
        <f t="shared" ref="T3:T9" ca="1" si="2">AVERAGE($B3:$Q3)</f>
        <v>35.893749999999997</v>
      </c>
      <c r="U3" s="7">
        <f t="shared" ref="U3:U6" ca="1" si="3">_xlfn.STDEV.P(B3:Q3)</f>
        <v>18.094697729929074</v>
      </c>
      <c r="V3" s="2">
        <f t="shared" ref="V3:V8" ca="1" si="4">SUM($B3:$Q3)</f>
        <v>574.29999999999995</v>
      </c>
      <c r="W3" s="3">
        <f ca="1">V3/V4</f>
        <v>0.27653120184899843</v>
      </c>
    </row>
    <row r="4" spans="1:23" ht="16.25" thickTop="1" thickBot="1" x14ac:dyDescent="0.9">
      <c r="A4" s="2" t="s">
        <v>362</v>
      </c>
      <c r="B4" s="2">
        <f t="shared" ref="B4:Q4" ca="1" si="5">SUM(B2:B3)</f>
        <v>91.700000000000017</v>
      </c>
      <c r="C4" s="2">
        <f t="shared" ca="1" si="5"/>
        <v>111</v>
      </c>
      <c r="D4" s="2">
        <f t="shared" ca="1" si="5"/>
        <v>146.80000000000001</v>
      </c>
      <c r="E4" s="2">
        <f t="shared" ca="1" si="5"/>
        <v>172.7</v>
      </c>
      <c r="F4" s="2">
        <f t="shared" ca="1" si="5"/>
        <v>123.60000000000001</v>
      </c>
      <c r="G4" s="2">
        <f t="shared" ca="1" si="5"/>
        <v>78.100000000000009</v>
      </c>
      <c r="H4" s="2">
        <f t="shared" ca="1" si="5"/>
        <v>177.79999999999995</v>
      </c>
      <c r="I4" s="2">
        <f t="shared" ca="1" si="5"/>
        <v>120.4</v>
      </c>
      <c r="J4" s="2">
        <f t="shared" ca="1" si="5"/>
        <v>112</v>
      </c>
      <c r="K4" s="2">
        <f t="shared" ca="1" si="5"/>
        <v>101.20000000000002</v>
      </c>
      <c r="L4" s="2">
        <f t="shared" ca="1" si="5"/>
        <v>111</v>
      </c>
      <c r="M4" s="2">
        <f t="shared" ca="1" si="5"/>
        <v>128.1</v>
      </c>
      <c r="N4" s="2">
        <f t="shared" ca="1" si="5"/>
        <v>134.70000000000002</v>
      </c>
      <c r="O4" s="2">
        <f t="shared" ca="1" si="5"/>
        <v>153.89999999999998</v>
      </c>
      <c r="P4" s="2">
        <f t="shared" ca="1" si="5"/>
        <v>159.80000000000001</v>
      </c>
      <c r="Q4" s="2">
        <f t="shared" ca="1" si="5"/>
        <v>154</v>
      </c>
      <c r="R4" s="2">
        <f t="shared" ca="1" si="0"/>
        <v>78.100000000000009</v>
      </c>
      <c r="S4" s="2">
        <f t="shared" ca="1" si="1"/>
        <v>177.79999999999995</v>
      </c>
      <c r="T4" s="8">
        <f t="shared" ca="1" si="2"/>
        <v>129.80000000000001</v>
      </c>
      <c r="U4" s="7">
        <f t="shared" ca="1" si="3"/>
        <v>28.084404034979908</v>
      </c>
      <c r="V4" s="2">
        <f t="shared" ca="1" si="4"/>
        <v>2076.8000000000002</v>
      </c>
      <c r="W4" s="2" t="s">
        <v>365</v>
      </c>
    </row>
    <row r="5" spans="1:23" ht="16.25" thickTop="1" thickBot="1" x14ac:dyDescent="0.9">
      <c r="A5" s="2" t="s">
        <v>363</v>
      </c>
      <c r="B5" s="2" t="str">
        <f t="array" aca="1" ref="B5" ca="1">IF(B1="Week 1","N/A",COUNTA(INDIRECT("Summary!"
&amp;ADDRESS(3,SMALL(IF(Summary!$A$2:$CS$2="Player",COLUMN(Summary!$A$2:$CS$2)-MIN(COLUMN(Summary!$A$2:$CS$2))+1),INT(MID(B1,FIND(" ",B1),LEN(B1)-FIND(" ",B1)+1))))
&amp;":"&amp;ADDRESS(10,SMALL(IF(Summary!$A$2:$CS$2="Player",COLUMN(Summary!$A$2:$CS$2)-MIN(COLUMN(Summary!$A$2:$CS$2))+1),INT(MID(B1,FIND(" ",B1),LEN(B1)-FIND(" ",B1)+1))))))
-SUMPRODUCT(COUNTIF(
INDIRECT("Summary!"&amp;ADDRESS(3,SMALL(IF(Summary!$A$2:$CS$2="Player",COLUMN(Summary!$A$2:$CS$2)-MIN(COLUMN(Summary!$A$2:$CS$2))+1),INT(MID(B1,FIND(" ",B1),LEN(B1)-FIND(" ",B1)+1))-1))&amp;":"&amp;ADDRESS(10,SMALL(IF(Summary!$A$2:$CS$2="Player",COLUMN(Summary!$A$2:$CS$2)-MIN(COLUMN(Summary!$A$2:$CS$2))+1),INT(MID(B1,FIND(" ",B1),LEN(B1)-FIND(" ",B1)+1))-1))),
INDIRECT("Summary!"&amp;ADDRESS(3,SMALL(IF(Summary!$A$2:$CS$2="Player",COLUMN(Summary!$A$2:$CS$2)-MIN(COLUMN(Summary!$A$2:$CS$2))+1),INT(MID(B1,FIND(" ",B1),LEN(B1)-FIND(" ",B1)+1))))&amp;":"&amp;ADDRESS(10,SMALL(IF(Summary!$A$2:$CS$2="Player",COLUMN(Summary!$A$2:$CS$2)-MIN(COLUMN(Summary!$A$2:$CS$2))+1),INT(MID(B1,FIND(" ",B1),LEN(B1)-FIND(" ",B1)+1))))))))</f>
        <v>N/A</v>
      </c>
      <c r="C5" s="2">
        <f t="array" aca="1" ref="C5" ca="1">IF(C1="Week 1","N/A",COUNTA(INDIRECT("Summary!"
&amp;ADDRESS(3,SMALL(IF(Summary!$A$2:$CS$2="Player",COLUMN(Summary!$A$2:$CS$2)-MIN(COLUMN(Summary!$A$2:$CS$2))+1),INT(MID(C1,FIND(" ",C1),LEN(C1)-FIND(" ",C1)+1))))
&amp;":"&amp;ADDRESS(10,SMALL(IF(Summary!$A$2:$CS$2="Player",COLUMN(Summary!$A$2:$CS$2)-MIN(COLUMN(Summary!$A$2:$CS$2))+1),INT(MID(C1,FIND(" ",C1),LEN(C1)-FIND(" ",C1)+1))))))
-SUMPRODUCT(COUNTIF(
INDIRECT("Summary!"&amp;ADDRESS(3,SMALL(IF(Summary!$A$2:$CS$2="Player",COLUMN(Summary!$A$2:$CS$2)-MIN(COLUMN(Summary!$A$2:$CS$2))+1),INT(MID(C1,FIND(" ",C1),LEN(C1)-FIND(" ",C1)+1))-1))&amp;":"&amp;ADDRESS(10,SMALL(IF(Summary!$A$2:$CS$2="Player",COLUMN(Summary!$A$2:$CS$2)-MIN(COLUMN(Summary!$A$2:$CS$2))+1),INT(MID(C1,FIND(" ",C1),LEN(C1)-FIND(" ",C1)+1))-1))),
INDIRECT("Summary!"&amp;ADDRESS(3,SMALL(IF(Summary!$A$2:$CS$2="Player",COLUMN(Summary!$A$2:$CS$2)-MIN(COLUMN(Summary!$A$2:$CS$2))+1),INT(MID(C1,FIND(" ",C1),LEN(C1)-FIND(" ",C1)+1))))&amp;":"&amp;ADDRESS(10,SMALL(IF(Summary!$A$2:$CS$2="Player",COLUMN(Summary!$A$2:$CS$2)-MIN(COLUMN(Summary!$A$2:$CS$2))+1),INT(MID(C1,FIND(" ",C1),LEN(C1)-FIND(" ",C1)+1))))))))</f>
        <v>4</v>
      </c>
      <c r="D5" s="2">
        <f t="array" aca="1" ref="D5" ca="1">IF(D1="Week 1","N/A",COUNTA(INDIRECT("Summary!"
&amp;ADDRESS(3,SMALL(IF(Summary!$A$2:$CS$2="Player",COLUMN(Summary!$A$2:$CS$2)-MIN(COLUMN(Summary!$A$2:$CS$2))+1),INT(MID(D1,FIND(" ",D1),LEN(D1)-FIND(" ",D1)+1))))
&amp;":"&amp;ADDRESS(10,SMALL(IF(Summary!$A$2:$CS$2="Player",COLUMN(Summary!$A$2:$CS$2)-MIN(COLUMN(Summary!$A$2:$CS$2))+1),INT(MID(D1,FIND(" ",D1),LEN(D1)-FIND(" ",D1)+1))))))
-SUMPRODUCT(COUNTIF(
INDIRECT("Summary!"&amp;ADDRESS(3,SMALL(IF(Summary!$A$2:$CS$2="Player",COLUMN(Summary!$A$2:$CS$2)-MIN(COLUMN(Summary!$A$2:$CS$2))+1),INT(MID(D1,FIND(" ",D1),LEN(D1)-FIND(" ",D1)+1))-1))&amp;":"&amp;ADDRESS(10,SMALL(IF(Summary!$A$2:$CS$2="Player",COLUMN(Summary!$A$2:$CS$2)-MIN(COLUMN(Summary!$A$2:$CS$2))+1),INT(MID(D1,FIND(" ",D1),LEN(D1)-FIND(" ",D1)+1))-1))),
INDIRECT("Summary!"&amp;ADDRESS(3,SMALL(IF(Summary!$A$2:$CS$2="Player",COLUMN(Summary!$A$2:$CS$2)-MIN(COLUMN(Summary!$A$2:$CS$2))+1),INT(MID(D1,FIND(" ",D1),LEN(D1)-FIND(" ",D1)+1))))&amp;":"&amp;ADDRESS(10,SMALL(IF(Summary!$A$2:$CS$2="Player",COLUMN(Summary!$A$2:$CS$2)-MIN(COLUMN(Summary!$A$2:$CS$2))+1),INT(MID(D1,FIND(" ",D1),LEN(D1)-FIND(" ",D1)+1))))))))</f>
        <v>4</v>
      </c>
      <c r="E5" s="2">
        <f t="array" aca="1" ref="E5" ca="1">IF(E1="Week 1","N/A",COUNTA(INDIRECT("Summary!"
&amp;ADDRESS(3,SMALL(IF(Summary!$A$2:$CS$2="Player",COLUMN(Summary!$A$2:$CS$2)-MIN(COLUMN(Summary!$A$2:$CS$2))+1),INT(MID(E1,FIND(" ",E1),LEN(E1)-FIND(" ",E1)+1))))
&amp;":"&amp;ADDRESS(10,SMALL(IF(Summary!$A$2:$CS$2="Player",COLUMN(Summary!$A$2:$CS$2)-MIN(COLUMN(Summary!$A$2:$CS$2))+1),INT(MID(E1,FIND(" ",E1),LEN(E1)-FIND(" ",E1)+1))))))
-SUMPRODUCT(COUNTIF(
INDIRECT("Summary!"&amp;ADDRESS(3,SMALL(IF(Summary!$A$2:$CS$2="Player",COLUMN(Summary!$A$2:$CS$2)-MIN(COLUMN(Summary!$A$2:$CS$2))+1),INT(MID(E1,FIND(" ",E1),LEN(E1)-FIND(" ",E1)+1))-1))&amp;":"&amp;ADDRESS(10,SMALL(IF(Summary!$A$2:$CS$2="Player",COLUMN(Summary!$A$2:$CS$2)-MIN(COLUMN(Summary!$A$2:$CS$2))+1),INT(MID(E1,FIND(" ",E1),LEN(E1)-FIND(" ",E1)+1))-1))),
INDIRECT("Summary!"&amp;ADDRESS(3,SMALL(IF(Summary!$A$2:$CS$2="Player",COLUMN(Summary!$A$2:$CS$2)-MIN(COLUMN(Summary!$A$2:$CS$2))+1),INT(MID(E1,FIND(" ",E1),LEN(E1)-FIND(" ",E1)+1))))&amp;":"&amp;ADDRESS(10,SMALL(IF(Summary!$A$2:$CS$2="Player",COLUMN(Summary!$A$2:$CS$2)-MIN(COLUMN(Summary!$A$2:$CS$2))+1),INT(MID(E1,FIND(" ",E1),LEN(E1)-FIND(" ",E1)+1))))))))</f>
        <v>2</v>
      </c>
      <c r="F5" s="2">
        <f t="array" aca="1" ref="F5" ca="1">IF(F1="Week 1","N/A",COUNTA(INDIRECT("Summary!"
&amp;ADDRESS(3,SMALL(IF(Summary!$A$2:$CS$2="Player",COLUMN(Summary!$A$2:$CS$2)-MIN(COLUMN(Summary!$A$2:$CS$2))+1),INT(MID(F1,FIND(" ",F1),LEN(F1)-FIND(" ",F1)+1))))
&amp;":"&amp;ADDRESS(10,SMALL(IF(Summary!$A$2:$CS$2="Player",COLUMN(Summary!$A$2:$CS$2)-MIN(COLUMN(Summary!$A$2:$CS$2))+1),INT(MID(F1,FIND(" ",F1),LEN(F1)-FIND(" ",F1)+1))))))
-SUMPRODUCT(COUNTIF(
INDIRECT("Summary!"&amp;ADDRESS(3,SMALL(IF(Summary!$A$2:$CS$2="Player",COLUMN(Summary!$A$2:$CS$2)-MIN(COLUMN(Summary!$A$2:$CS$2))+1),INT(MID(F1,FIND(" ",F1),LEN(F1)-FIND(" ",F1)+1))-1))&amp;":"&amp;ADDRESS(10,SMALL(IF(Summary!$A$2:$CS$2="Player",COLUMN(Summary!$A$2:$CS$2)-MIN(COLUMN(Summary!$A$2:$CS$2))+1),INT(MID(F1,FIND(" ",F1),LEN(F1)-FIND(" ",F1)+1))-1))),
INDIRECT("Summary!"&amp;ADDRESS(3,SMALL(IF(Summary!$A$2:$CS$2="Player",COLUMN(Summary!$A$2:$CS$2)-MIN(COLUMN(Summary!$A$2:$CS$2))+1),INT(MID(F1,FIND(" ",F1),LEN(F1)-FIND(" ",F1)+1))))&amp;":"&amp;ADDRESS(10,SMALL(IF(Summary!$A$2:$CS$2="Player",COLUMN(Summary!$A$2:$CS$2)-MIN(COLUMN(Summary!$A$2:$CS$2))+1),INT(MID(F1,FIND(" ",F1),LEN(F1)-FIND(" ",F1)+1))))))))</f>
        <v>4</v>
      </c>
      <c r="G5" s="2">
        <f t="array" aca="1" ref="G5" ca="1">IF(G1="Week 1","N/A",COUNTA(INDIRECT("Summary!"
&amp;ADDRESS(3,SMALL(IF(Summary!$A$2:$CS$2="Player",COLUMN(Summary!$A$2:$CS$2)-MIN(COLUMN(Summary!$A$2:$CS$2))+1),INT(MID(G1,FIND(" ",G1),LEN(G1)-FIND(" ",G1)+1))))
&amp;":"&amp;ADDRESS(10,SMALL(IF(Summary!$A$2:$CS$2="Player",COLUMN(Summary!$A$2:$CS$2)-MIN(COLUMN(Summary!$A$2:$CS$2))+1),INT(MID(G1,FIND(" ",G1),LEN(G1)-FIND(" ",G1)+1))))))
-SUMPRODUCT(COUNTIF(
INDIRECT("Summary!"&amp;ADDRESS(3,SMALL(IF(Summary!$A$2:$CS$2="Player",COLUMN(Summary!$A$2:$CS$2)-MIN(COLUMN(Summary!$A$2:$CS$2))+1),INT(MID(G1,FIND(" ",G1),LEN(G1)-FIND(" ",G1)+1))-1))&amp;":"&amp;ADDRESS(10,SMALL(IF(Summary!$A$2:$CS$2="Player",COLUMN(Summary!$A$2:$CS$2)-MIN(COLUMN(Summary!$A$2:$CS$2))+1),INT(MID(G1,FIND(" ",G1),LEN(G1)-FIND(" ",G1)+1))-1))),
INDIRECT("Summary!"&amp;ADDRESS(3,SMALL(IF(Summary!$A$2:$CS$2="Player",COLUMN(Summary!$A$2:$CS$2)-MIN(COLUMN(Summary!$A$2:$CS$2))+1),INT(MID(G1,FIND(" ",G1),LEN(G1)-FIND(" ",G1)+1))))&amp;":"&amp;ADDRESS(10,SMALL(IF(Summary!$A$2:$CS$2="Player",COLUMN(Summary!$A$2:$CS$2)-MIN(COLUMN(Summary!$A$2:$CS$2))+1),INT(MID(G1,FIND(" ",G1),LEN(G1)-FIND(" ",G1)+1))))))))</f>
        <v>6</v>
      </c>
      <c r="H5" s="2">
        <f t="array" aca="1" ref="H5" ca="1">IF(H1="Week 1","N/A",COUNTA(INDIRECT("Summary!"
&amp;ADDRESS(3,SMALL(IF(Summary!$A$2:$CS$2="Player",COLUMN(Summary!$A$2:$CS$2)-MIN(COLUMN(Summary!$A$2:$CS$2))+1),INT(MID(H1,FIND(" ",H1),LEN(H1)-FIND(" ",H1)+1))))
&amp;":"&amp;ADDRESS(10,SMALL(IF(Summary!$A$2:$CS$2="Player",COLUMN(Summary!$A$2:$CS$2)-MIN(COLUMN(Summary!$A$2:$CS$2))+1),INT(MID(H1,FIND(" ",H1),LEN(H1)-FIND(" ",H1)+1))))))
-SUMPRODUCT(COUNTIF(
INDIRECT("Summary!"&amp;ADDRESS(3,SMALL(IF(Summary!$A$2:$CS$2="Player",COLUMN(Summary!$A$2:$CS$2)-MIN(COLUMN(Summary!$A$2:$CS$2))+1),INT(MID(H1,FIND(" ",H1),LEN(H1)-FIND(" ",H1)+1))-1))&amp;":"&amp;ADDRESS(10,SMALL(IF(Summary!$A$2:$CS$2="Player",COLUMN(Summary!$A$2:$CS$2)-MIN(COLUMN(Summary!$A$2:$CS$2))+1),INT(MID(H1,FIND(" ",H1),LEN(H1)-FIND(" ",H1)+1))-1))),
INDIRECT("Summary!"&amp;ADDRESS(3,SMALL(IF(Summary!$A$2:$CS$2="Player",COLUMN(Summary!$A$2:$CS$2)-MIN(COLUMN(Summary!$A$2:$CS$2))+1),INT(MID(H1,FIND(" ",H1),LEN(H1)-FIND(" ",H1)+1))))&amp;":"&amp;ADDRESS(10,SMALL(IF(Summary!$A$2:$CS$2="Player",COLUMN(Summary!$A$2:$CS$2)-MIN(COLUMN(Summary!$A$2:$CS$2))+1),INT(MID(H1,FIND(" ",H1),LEN(H1)-FIND(" ",H1)+1))))))))</f>
        <v>3</v>
      </c>
      <c r="I5" s="2">
        <f t="array" aca="1" ref="I5" ca="1">IF(I1="Week 1","N/A",COUNTA(INDIRECT("Summary!"
&amp;ADDRESS(3,SMALL(IF(Summary!$A$2:$CS$2="Player",COLUMN(Summary!$A$2:$CS$2)-MIN(COLUMN(Summary!$A$2:$CS$2))+1),INT(MID(I1,FIND(" ",I1),LEN(I1)-FIND(" ",I1)+1))))
&amp;":"&amp;ADDRESS(10,SMALL(IF(Summary!$A$2:$CS$2="Player",COLUMN(Summary!$A$2:$CS$2)-MIN(COLUMN(Summary!$A$2:$CS$2))+1),INT(MID(I1,FIND(" ",I1),LEN(I1)-FIND(" ",I1)+1))))))
-SUMPRODUCT(COUNTIF(
INDIRECT("Summary!"&amp;ADDRESS(3,SMALL(IF(Summary!$A$2:$CS$2="Player",COLUMN(Summary!$A$2:$CS$2)-MIN(COLUMN(Summary!$A$2:$CS$2))+1),INT(MID(I1,FIND(" ",I1),LEN(I1)-FIND(" ",I1)+1))-1))&amp;":"&amp;ADDRESS(10,SMALL(IF(Summary!$A$2:$CS$2="Player",COLUMN(Summary!$A$2:$CS$2)-MIN(COLUMN(Summary!$A$2:$CS$2))+1),INT(MID(I1,FIND(" ",I1),LEN(I1)-FIND(" ",I1)+1))-1))),
INDIRECT("Summary!"&amp;ADDRESS(3,SMALL(IF(Summary!$A$2:$CS$2="Player",COLUMN(Summary!$A$2:$CS$2)-MIN(COLUMN(Summary!$A$2:$CS$2))+1),INT(MID(I1,FIND(" ",I1),LEN(I1)-FIND(" ",I1)+1))))&amp;":"&amp;ADDRESS(10,SMALL(IF(Summary!$A$2:$CS$2="Player",COLUMN(Summary!$A$2:$CS$2)-MIN(COLUMN(Summary!$A$2:$CS$2))+1),INT(MID(I1,FIND(" ",I1),LEN(I1)-FIND(" ",I1)+1))))))))</f>
        <v>1</v>
      </c>
      <c r="J5" s="2">
        <f t="array" aca="1" ref="J5" ca="1">IF(J1="Week 1","N/A",COUNTA(INDIRECT("Summary!"
&amp;ADDRESS(3,SMALL(IF(Summary!$A$2:$CS$2="Player",COLUMN(Summary!$A$2:$CS$2)-MIN(COLUMN(Summary!$A$2:$CS$2))+1),INT(MID(J1,FIND(" ",J1),LEN(J1)-FIND(" ",J1)+1))))
&amp;":"&amp;ADDRESS(10,SMALL(IF(Summary!$A$2:$CS$2="Player",COLUMN(Summary!$A$2:$CS$2)-MIN(COLUMN(Summary!$A$2:$CS$2))+1),INT(MID(J1,FIND(" ",J1),LEN(J1)-FIND(" ",J1)+1))))))
-SUMPRODUCT(COUNTIF(
INDIRECT("Summary!"&amp;ADDRESS(3,SMALL(IF(Summary!$A$2:$CS$2="Player",COLUMN(Summary!$A$2:$CS$2)-MIN(COLUMN(Summary!$A$2:$CS$2))+1),INT(MID(J1,FIND(" ",J1),LEN(J1)-FIND(" ",J1)+1))-1))&amp;":"&amp;ADDRESS(10,SMALL(IF(Summary!$A$2:$CS$2="Player",COLUMN(Summary!$A$2:$CS$2)-MIN(COLUMN(Summary!$A$2:$CS$2))+1),INT(MID(J1,FIND(" ",J1),LEN(J1)-FIND(" ",J1)+1))-1))),
INDIRECT("Summary!"&amp;ADDRESS(3,SMALL(IF(Summary!$A$2:$CS$2="Player",COLUMN(Summary!$A$2:$CS$2)-MIN(COLUMN(Summary!$A$2:$CS$2))+1),INT(MID(J1,FIND(" ",J1),LEN(J1)-FIND(" ",J1)+1))))&amp;":"&amp;ADDRESS(10,SMALL(IF(Summary!$A$2:$CS$2="Player",COLUMN(Summary!$A$2:$CS$2)-MIN(COLUMN(Summary!$A$2:$CS$2))+1),INT(MID(J1,FIND(" ",J1),LEN(J1)-FIND(" ",J1)+1))))))))</f>
        <v>1</v>
      </c>
      <c r="K5" s="2">
        <f t="array" aca="1" ref="K5" ca="1">IF(K1="Week 1","N/A",COUNTA(INDIRECT("Summary!"
&amp;ADDRESS(3,SMALL(IF(Summary!$A$2:$CS$2="Player",COLUMN(Summary!$A$2:$CS$2)-MIN(COLUMN(Summary!$A$2:$CS$2))+1),INT(MID(K1,FIND(" ",K1),LEN(K1)-FIND(" ",K1)+1))))
&amp;":"&amp;ADDRESS(10,SMALL(IF(Summary!$A$2:$CS$2="Player",COLUMN(Summary!$A$2:$CS$2)-MIN(COLUMN(Summary!$A$2:$CS$2))+1),INT(MID(K1,FIND(" ",K1),LEN(K1)-FIND(" ",K1)+1))))))
-SUMPRODUCT(COUNTIF(
INDIRECT("Summary!"&amp;ADDRESS(3,SMALL(IF(Summary!$A$2:$CS$2="Player",COLUMN(Summary!$A$2:$CS$2)-MIN(COLUMN(Summary!$A$2:$CS$2))+1),INT(MID(K1,FIND(" ",K1),LEN(K1)-FIND(" ",K1)+1))-1))&amp;":"&amp;ADDRESS(10,SMALL(IF(Summary!$A$2:$CS$2="Player",COLUMN(Summary!$A$2:$CS$2)-MIN(COLUMN(Summary!$A$2:$CS$2))+1),INT(MID(K1,FIND(" ",K1),LEN(K1)-FIND(" ",K1)+1))-1))),
INDIRECT("Summary!"&amp;ADDRESS(3,SMALL(IF(Summary!$A$2:$CS$2="Player",COLUMN(Summary!$A$2:$CS$2)-MIN(COLUMN(Summary!$A$2:$CS$2))+1),INT(MID(K1,FIND(" ",K1),LEN(K1)-FIND(" ",K1)+1))))&amp;":"&amp;ADDRESS(10,SMALL(IF(Summary!$A$2:$CS$2="Player",COLUMN(Summary!$A$2:$CS$2)-MIN(COLUMN(Summary!$A$2:$CS$2))+1),INT(MID(K1,FIND(" ",K1),LEN(K1)-FIND(" ",K1)+1))))))))</f>
        <v>3</v>
      </c>
      <c r="L5" s="2">
        <f t="array" aca="1" ref="L5" ca="1">IF(L1="Week 1","N/A",COUNTA(INDIRECT("Summary!"
&amp;ADDRESS(3,SMALL(IF(Summary!$A$2:$CS$2="Player",COLUMN(Summary!$A$2:$CS$2)-MIN(COLUMN(Summary!$A$2:$CS$2))+1),INT(MID(L1,FIND(" ",L1),LEN(L1)-FIND(" ",L1)+1))))
&amp;":"&amp;ADDRESS(10,SMALL(IF(Summary!$A$2:$CS$2="Player",COLUMN(Summary!$A$2:$CS$2)-MIN(COLUMN(Summary!$A$2:$CS$2))+1),INT(MID(L1,FIND(" ",L1),LEN(L1)-FIND(" ",L1)+1))))))
-SUMPRODUCT(COUNTIF(
INDIRECT("Summary!"&amp;ADDRESS(3,SMALL(IF(Summary!$A$2:$CS$2="Player",COLUMN(Summary!$A$2:$CS$2)-MIN(COLUMN(Summary!$A$2:$CS$2))+1),INT(MID(L1,FIND(" ",L1),LEN(L1)-FIND(" ",L1)+1))-1))&amp;":"&amp;ADDRESS(10,SMALL(IF(Summary!$A$2:$CS$2="Player",COLUMN(Summary!$A$2:$CS$2)-MIN(COLUMN(Summary!$A$2:$CS$2))+1),INT(MID(L1,FIND(" ",L1),LEN(L1)-FIND(" ",L1)+1))-1))),
INDIRECT("Summary!"&amp;ADDRESS(3,SMALL(IF(Summary!$A$2:$CS$2="Player",COLUMN(Summary!$A$2:$CS$2)-MIN(COLUMN(Summary!$A$2:$CS$2))+1),INT(MID(L1,FIND(" ",L1),LEN(L1)-FIND(" ",L1)+1))))&amp;":"&amp;ADDRESS(10,SMALL(IF(Summary!$A$2:$CS$2="Player",COLUMN(Summary!$A$2:$CS$2)-MIN(COLUMN(Summary!$A$2:$CS$2))+1),INT(MID(L1,FIND(" ",L1),LEN(L1)-FIND(" ",L1)+1))))))))</f>
        <v>3</v>
      </c>
      <c r="M5" s="2">
        <f t="array" aca="1" ref="M5" ca="1">IF(M1="Week 1","N/A",COUNTA(INDIRECT("Summary!"
&amp;ADDRESS(3,SMALL(IF(Summary!$A$2:$CS$2="Player",COLUMN(Summary!$A$2:$CS$2)-MIN(COLUMN(Summary!$A$2:$CS$2))+1),INT(MID(M1,FIND(" ",M1),LEN(M1)-FIND(" ",M1)+1))))
&amp;":"&amp;ADDRESS(10,SMALL(IF(Summary!$A$2:$CS$2="Player",COLUMN(Summary!$A$2:$CS$2)-MIN(COLUMN(Summary!$A$2:$CS$2))+1),INT(MID(M1,FIND(" ",M1),LEN(M1)-FIND(" ",M1)+1))))))
-SUMPRODUCT(COUNTIF(
INDIRECT("Summary!"&amp;ADDRESS(3,SMALL(IF(Summary!$A$2:$CS$2="Player",COLUMN(Summary!$A$2:$CS$2)-MIN(COLUMN(Summary!$A$2:$CS$2))+1),INT(MID(M1,FIND(" ",M1),LEN(M1)-FIND(" ",M1)+1))-1))&amp;":"&amp;ADDRESS(10,SMALL(IF(Summary!$A$2:$CS$2="Player",COLUMN(Summary!$A$2:$CS$2)-MIN(COLUMN(Summary!$A$2:$CS$2))+1),INT(MID(M1,FIND(" ",M1),LEN(M1)-FIND(" ",M1)+1))-1))),
INDIRECT("Summary!"&amp;ADDRESS(3,SMALL(IF(Summary!$A$2:$CS$2="Player",COLUMN(Summary!$A$2:$CS$2)-MIN(COLUMN(Summary!$A$2:$CS$2))+1),INT(MID(M1,FIND(" ",M1),LEN(M1)-FIND(" ",M1)+1))))&amp;":"&amp;ADDRESS(10,SMALL(IF(Summary!$A$2:$CS$2="Player",COLUMN(Summary!$A$2:$CS$2)-MIN(COLUMN(Summary!$A$2:$CS$2))+1),INT(MID(M1,FIND(" ",M1),LEN(M1)-FIND(" ",M1)+1))))))))</f>
        <v>4</v>
      </c>
      <c r="N5" s="2">
        <f t="array" aca="1" ref="N5" ca="1">IF(N1="Week 1","N/A",COUNTA(INDIRECT("Summary!"
&amp;ADDRESS(3,SMALL(IF(Summary!$A$2:$CS$2="Player",COLUMN(Summary!$A$2:$CS$2)-MIN(COLUMN(Summary!$A$2:$CS$2))+1),INT(MID(N1,FIND(" ",N1),LEN(N1)-FIND(" ",N1)+1))))
&amp;":"&amp;ADDRESS(10,SMALL(IF(Summary!$A$2:$CS$2="Player",COLUMN(Summary!$A$2:$CS$2)-MIN(COLUMN(Summary!$A$2:$CS$2))+1),INT(MID(N1,FIND(" ",N1),LEN(N1)-FIND(" ",N1)+1))))))
-SUMPRODUCT(COUNTIF(
INDIRECT("Summary!"&amp;ADDRESS(3,SMALL(IF(Summary!$A$2:$CS$2="Player",COLUMN(Summary!$A$2:$CS$2)-MIN(COLUMN(Summary!$A$2:$CS$2))+1),INT(MID(N1,FIND(" ",N1),LEN(N1)-FIND(" ",N1)+1))-1))&amp;":"&amp;ADDRESS(10,SMALL(IF(Summary!$A$2:$CS$2="Player",COLUMN(Summary!$A$2:$CS$2)-MIN(COLUMN(Summary!$A$2:$CS$2))+1),INT(MID(N1,FIND(" ",N1),LEN(N1)-FIND(" ",N1)+1))-1))),
INDIRECT("Summary!"&amp;ADDRESS(3,SMALL(IF(Summary!$A$2:$CS$2="Player",COLUMN(Summary!$A$2:$CS$2)-MIN(COLUMN(Summary!$A$2:$CS$2))+1),INT(MID(N1,FIND(" ",N1),LEN(N1)-FIND(" ",N1)+1))))&amp;":"&amp;ADDRESS(10,SMALL(IF(Summary!$A$2:$CS$2="Player",COLUMN(Summary!$A$2:$CS$2)-MIN(COLUMN(Summary!$A$2:$CS$2))+1),INT(MID(N1,FIND(" ",N1),LEN(N1)-FIND(" ",N1)+1))))))))</f>
        <v>3</v>
      </c>
      <c r="O5" s="2">
        <f t="array" aca="1" ref="O5" ca="1">IF(O1="Week 1","N/A",COUNTA(INDIRECT("Summary!"
&amp;ADDRESS(3,SMALL(IF(Summary!$A$2:$CS$2="Player",COLUMN(Summary!$A$2:$CS$2)-MIN(COLUMN(Summary!$A$2:$CS$2))+1),INT(MID(O1,FIND(" ",O1),LEN(O1)-FIND(" ",O1)+1))))
&amp;":"&amp;ADDRESS(10,SMALL(IF(Summary!$A$2:$CS$2="Player",COLUMN(Summary!$A$2:$CS$2)-MIN(COLUMN(Summary!$A$2:$CS$2))+1),INT(MID(O1,FIND(" ",O1),LEN(O1)-FIND(" ",O1)+1))))))
-SUMPRODUCT(COUNTIF(
INDIRECT("Summary!"&amp;ADDRESS(3,SMALL(IF(Summary!$A$2:$CS$2="Player",COLUMN(Summary!$A$2:$CS$2)-MIN(COLUMN(Summary!$A$2:$CS$2))+1),INT(MID(O1,FIND(" ",O1),LEN(O1)-FIND(" ",O1)+1))-1))&amp;":"&amp;ADDRESS(10,SMALL(IF(Summary!$A$2:$CS$2="Player",COLUMN(Summary!$A$2:$CS$2)-MIN(COLUMN(Summary!$A$2:$CS$2))+1),INT(MID(O1,FIND(" ",O1),LEN(O1)-FIND(" ",O1)+1))-1))),
INDIRECT("Summary!"&amp;ADDRESS(3,SMALL(IF(Summary!$A$2:$CS$2="Player",COLUMN(Summary!$A$2:$CS$2)-MIN(COLUMN(Summary!$A$2:$CS$2))+1),INT(MID(O1,FIND(" ",O1),LEN(O1)-FIND(" ",O1)+1))))&amp;":"&amp;ADDRESS(10,SMALL(IF(Summary!$A$2:$CS$2="Player",COLUMN(Summary!$A$2:$CS$2)-MIN(COLUMN(Summary!$A$2:$CS$2))+1),INT(MID(O1,FIND(" ",O1),LEN(O1)-FIND(" ",O1)+1))))))))</f>
        <v>2</v>
      </c>
      <c r="P5" s="2">
        <f t="array" aca="1" ref="P5" ca="1">IF(P1="Week 1","N/A",COUNTA(INDIRECT("Summary!"
&amp;ADDRESS(3,SMALL(IF(Summary!$A$2:$CS$2="Player",COLUMN(Summary!$A$2:$CS$2)-MIN(COLUMN(Summary!$A$2:$CS$2))+1),INT(MID(P1,FIND(" ",P1),LEN(P1)-FIND(" ",P1)+1))))
&amp;":"&amp;ADDRESS(10,SMALL(IF(Summary!$A$2:$CS$2="Player",COLUMN(Summary!$A$2:$CS$2)-MIN(COLUMN(Summary!$A$2:$CS$2))+1),INT(MID(P1,FIND(" ",P1),LEN(P1)-FIND(" ",P1)+1))))))
-SUMPRODUCT(COUNTIF(
INDIRECT("Summary!"&amp;ADDRESS(3,SMALL(IF(Summary!$A$2:$CS$2="Player",COLUMN(Summary!$A$2:$CS$2)-MIN(COLUMN(Summary!$A$2:$CS$2))+1),INT(MID(P1,FIND(" ",P1),LEN(P1)-FIND(" ",P1)+1))-1))&amp;":"&amp;ADDRESS(10,SMALL(IF(Summary!$A$2:$CS$2="Player",COLUMN(Summary!$A$2:$CS$2)-MIN(COLUMN(Summary!$A$2:$CS$2))+1),INT(MID(P1,FIND(" ",P1),LEN(P1)-FIND(" ",P1)+1))-1))),
INDIRECT("Summary!"&amp;ADDRESS(3,SMALL(IF(Summary!$A$2:$CS$2="Player",COLUMN(Summary!$A$2:$CS$2)-MIN(COLUMN(Summary!$A$2:$CS$2))+1),INT(MID(P1,FIND(" ",P1),LEN(P1)-FIND(" ",P1)+1))))&amp;":"&amp;ADDRESS(10,SMALL(IF(Summary!$A$2:$CS$2="Player",COLUMN(Summary!$A$2:$CS$2)-MIN(COLUMN(Summary!$A$2:$CS$2))+1),INT(MID(P1,FIND(" ",P1),LEN(P1)-FIND(" ",P1)+1))))))))</f>
        <v>3</v>
      </c>
      <c r="Q5" s="2">
        <f t="array" aca="1" ref="Q5" ca="1">IF(Q1="Week 1","N/A",COUNTA(INDIRECT("Summary!"
&amp;ADDRESS(3,SMALL(IF(Summary!$A$2:$CS$2="Player",COLUMN(Summary!$A$2:$CS$2)-MIN(COLUMN(Summary!$A$2:$CS$2))+1),INT(MID(Q1,FIND(" ",Q1),LEN(Q1)-FIND(" ",Q1)+1))))
&amp;":"&amp;ADDRESS(10,SMALL(IF(Summary!$A$2:$CS$2="Player",COLUMN(Summary!$A$2:$CS$2)-MIN(COLUMN(Summary!$A$2:$CS$2))+1),INT(MID(Q1,FIND(" ",Q1),LEN(Q1)-FIND(" ",Q1)+1))))))
-SUMPRODUCT(COUNTIF(
INDIRECT("Summary!"&amp;ADDRESS(3,SMALL(IF(Summary!$A$2:$CS$2="Player",COLUMN(Summary!$A$2:$CS$2)-MIN(COLUMN(Summary!$A$2:$CS$2))+1),INT(MID(Q1,FIND(" ",Q1),LEN(Q1)-FIND(" ",Q1)+1))-1))&amp;":"&amp;ADDRESS(10,SMALL(IF(Summary!$A$2:$CS$2="Player",COLUMN(Summary!$A$2:$CS$2)-MIN(COLUMN(Summary!$A$2:$CS$2))+1),INT(MID(Q1,FIND(" ",Q1),LEN(Q1)-FIND(" ",Q1)+1))-1))),
INDIRECT("Summary!"&amp;ADDRESS(3,SMALL(IF(Summary!$A$2:$CS$2="Player",COLUMN(Summary!$A$2:$CS$2)-MIN(COLUMN(Summary!$A$2:$CS$2))+1),INT(MID(Q1,FIND(" ",Q1),LEN(Q1)-FIND(" ",Q1)+1))))&amp;":"&amp;ADDRESS(10,SMALL(IF(Summary!$A$2:$CS$2="Player",COLUMN(Summary!$A$2:$CS$2)-MIN(COLUMN(Summary!$A$2:$CS$2))+1),INT(MID(Q1,FIND(" ",Q1),LEN(Q1)-FIND(" ",Q1)+1))))))))</f>
        <v>5</v>
      </c>
      <c r="R5" s="2">
        <f t="shared" ca="1" si="0"/>
        <v>1</v>
      </c>
      <c r="S5" s="2">
        <f t="shared" ca="1" si="1"/>
        <v>6</v>
      </c>
      <c r="T5" s="8">
        <f t="shared" ca="1" si="2"/>
        <v>3.2</v>
      </c>
      <c r="U5" s="7">
        <f t="shared" ca="1" si="3"/>
        <v>1.3266499161421599</v>
      </c>
      <c r="V5" s="2">
        <f t="shared" ca="1" si="4"/>
        <v>48</v>
      </c>
      <c r="W5" s="2" t="s">
        <v>365</v>
      </c>
    </row>
    <row r="6" spans="1:23" ht="16.25" thickTop="1" thickBot="1" x14ac:dyDescent="0.9">
      <c r="A6" s="2" t="s">
        <v>364</v>
      </c>
      <c r="B6" s="2" t="str">
        <f t="array" aca="1" ref="B6" ca="1">IF(B1="Week 1","N/A",COUNTA(INDIRECT("Summary!"
&amp;ADDRESS(3,SMALL(IF(Summary!$A$2:$CS$2="Player",COLUMN(Summary!$A$2:$CS$2)-MIN(COLUMN(Summary!$A$2:$CS$2))+1),INT(MID(B1,FIND(" ",B1),LEN(B1)-FIND(" ",B1)+1))))
&amp;":"&amp;ADDRESS(16,SMALL(IF(Summary!$A$2:$CS$2="Player",COLUMN(Summary!$A$2:$CS$2)-MIN(COLUMN(Summary!$A$2:$CS$2))+1),INT(MID(B1,FIND(" ",B1),LEN(B1)-FIND(" ",B1)+1))))))
-SUMPRODUCT(COUNTIF(
INDIRECT("Summary!"&amp;ADDRESS(3,SMALL(IF(Summary!$A$2:$CS$2="Player",COLUMN(Summary!$A$2:$CS$2)-MIN(COLUMN(Summary!$A$2:$CS$2))+1),INT(MID(B1,FIND(" ",B1),LEN(B1)-FIND(" ",B1)+1))-1))&amp;":"&amp;ADDRESS(16,SMALL(IF(Summary!$A$2:$CS$2="Player",COLUMN(Summary!$A$2:$CS$2)-MIN(COLUMN(Summary!$A$2:$CS$2))+1),INT(MID(B1,FIND(" ",B1),LEN(B1)-FIND(" ",B1)+1))-1))),
INDIRECT("Summary!"&amp;ADDRESS(3,SMALL(IF(Summary!$A$2:$CS$2="Player",COLUMN(Summary!$A$2:$CS$2)-MIN(COLUMN(Summary!$A$2:$CS$2))+1),INT(MID(B1,FIND(" ",B1),LEN(B1)-FIND(" ",B1)+1))))&amp;":"&amp;ADDRESS(16,SMALL(IF(Summary!$A$2:$CS$2="Player",COLUMN(Summary!$A$2:$CS$2)-MIN(COLUMN(Summary!$A$2:$CS$2))+1),INT(MID(B1,FIND(" ",B1),LEN(B1)-FIND(" ",B1)+1))))))))</f>
        <v>N/A</v>
      </c>
      <c r="C6" s="2">
        <f t="array" aca="1" ref="C6" ca="1">IF(C1="Week 1","N/A",COUNTA(INDIRECT("Summary!"
&amp;ADDRESS(3,SMALL(IF(Summary!$A$2:$CS$2="Player",COLUMN(Summary!$A$2:$CS$2)-MIN(COLUMN(Summary!$A$2:$CS$2))+1),INT(MID(C1,FIND(" ",C1),LEN(C1)-FIND(" ",C1)+1))))
&amp;":"&amp;ADDRESS(16,SMALL(IF(Summary!$A$2:$CS$2="Player",COLUMN(Summary!$A$2:$CS$2)-MIN(COLUMN(Summary!$A$2:$CS$2))+1),INT(MID(C1,FIND(" ",C1),LEN(C1)-FIND(" ",C1)+1))))))
-SUMPRODUCT(COUNTIF(
INDIRECT("Summary!"&amp;ADDRESS(3,SMALL(IF(Summary!$A$2:$CS$2="Player",COLUMN(Summary!$A$2:$CS$2)-MIN(COLUMN(Summary!$A$2:$CS$2))+1),INT(MID(C1,FIND(" ",C1),LEN(C1)-FIND(" ",C1)+1))-1))&amp;":"&amp;ADDRESS(16,SMALL(IF(Summary!$A$2:$CS$2="Player",COLUMN(Summary!$A$2:$CS$2)-MIN(COLUMN(Summary!$A$2:$CS$2))+1),INT(MID(C1,FIND(" ",C1),LEN(C1)-FIND(" ",C1)+1))-1))),
INDIRECT("Summary!"&amp;ADDRESS(3,SMALL(IF(Summary!$A$2:$CS$2="Player",COLUMN(Summary!$A$2:$CS$2)-MIN(COLUMN(Summary!$A$2:$CS$2))+1),INT(MID(C1,FIND(" ",C1),LEN(C1)-FIND(" ",C1)+1))))&amp;":"&amp;ADDRESS(16,SMALL(IF(Summary!$A$2:$CS$2="Player",COLUMN(Summary!$A$2:$CS$2)-MIN(COLUMN(Summary!$A$2:$CS$2))+1),INT(MID(C1,FIND(" ",C1),LEN(C1)-FIND(" ",C1)+1))))))))</f>
        <v>7</v>
      </c>
      <c r="D6" s="2">
        <f t="array" aca="1" ref="D6" ca="1">IF(D1="Week 1","N/A",COUNTA(INDIRECT("Summary!"
&amp;ADDRESS(3,SMALL(IF(Summary!$A$2:$CS$2="Player",COLUMN(Summary!$A$2:$CS$2)-MIN(COLUMN(Summary!$A$2:$CS$2))+1),INT(MID(D1,FIND(" ",D1),LEN(D1)-FIND(" ",D1)+1))))
&amp;":"&amp;ADDRESS(16,SMALL(IF(Summary!$A$2:$CS$2="Player",COLUMN(Summary!$A$2:$CS$2)-MIN(COLUMN(Summary!$A$2:$CS$2))+1),INT(MID(D1,FIND(" ",D1),LEN(D1)-FIND(" ",D1)+1))))))
-SUMPRODUCT(COUNTIF(
INDIRECT("Summary!"&amp;ADDRESS(3,SMALL(IF(Summary!$A$2:$CS$2="Player",COLUMN(Summary!$A$2:$CS$2)-MIN(COLUMN(Summary!$A$2:$CS$2))+1),INT(MID(D1,FIND(" ",D1),LEN(D1)-FIND(" ",D1)+1))-1))&amp;":"&amp;ADDRESS(16,SMALL(IF(Summary!$A$2:$CS$2="Player",COLUMN(Summary!$A$2:$CS$2)-MIN(COLUMN(Summary!$A$2:$CS$2))+1),INT(MID(D1,FIND(" ",D1),LEN(D1)-FIND(" ",D1)+1))-1))),
INDIRECT("Summary!"&amp;ADDRESS(3,SMALL(IF(Summary!$A$2:$CS$2="Player",COLUMN(Summary!$A$2:$CS$2)-MIN(COLUMN(Summary!$A$2:$CS$2))+1),INT(MID(D1,FIND(" ",D1),LEN(D1)-FIND(" ",D1)+1))))&amp;":"&amp;ADDRESS(16,SMALL(IF(Summary!$A$2:$CS$2="Player",COLUMN(Summary!$A$2:$CS$2)-MIN(COLUMN(Summary!$A$2:$CS$2))+1),INT(MID(D1,FIND(" ",D1),LEN(D1)-FIND(" ",D1)+1))))))))</f>
        <v>5</v>
      </c>
      <c r="E6" s="2">
        <f t="array" aca="1" ref="E6" ca="1">IF(E1="Week 1","N/A",COUNTA(INDIRECT("Summary!"
&amp;ADDRESS(3,SMALL(IF(Summary!$A$2:$CS$2="Player",COLUMN(Summary!$A$2:$CS$2)-MIN(COLUMN(Summary!$A$2:$CS$2))+1),INT(MID(E1,FIND(" ",E1),LEN(E1)-FIND(" ",E1)+1))))
&amp;":"&amp;ADDRESS(16,SMALL(IF(Summary!$A$2:$CS$2="Player",COLUMN(Summary!$A$2:$CS$2)-MIN(COLUMN(Summary!$A$2:$CS$2))+1),INT(MID(E1,FIND(" ",E1),LEN(E1)-FIND(" ",E1)+1))))))
-SUMPRODUCT(COUNTIF(
INDIRECT("Summary!"&amp;ADDRESS(3,SMALL(IF(Summary!$A$2:$CS$2="Player",COLUMN(Summary!$A$2:$CS$2)-MIN(COLUMN(Summary!$A$2:$CS$2))+1),INT(MID(E1,FIND(" ",E1),LEN(E1)-FIND(" ",E1)+1))-1))&amp;":"&amp;ADDRESS(16,SMALL(IF(Summary!$A$2:$CS$2="Player",COLUMN(Summary!$A$2:$CS$2)-MIN(COLUMN(Summary!$A$2:$CS$2))+1),INT(MID(E1,FIND(" ",E1),LEN(E1)-FIND(" ",E1)+1))-1))),
INDIRECT("Summary!"&amp;ADDRESS(3,SMALL(IF(Summary!$A$2:$CS$2="Player",COLUMN(Summary!$A$2:$CS$2)-MIN(COLUMN(Summary!$A$2:$CS$2))+1),INT(MID(E1,FIND(" ",E1),LEN(E1)-FIND(" ",E1)+1))))&amp;":"&amp;ADDRESS(16,SMALL(IF(Summary!$A$2:$CS$2="Player",COLUMN(Summary!$A$2:$CS$2)-MIN(COLUMN(Summary!$A$2:$CS$2))+1),INT(MID(E1,FIND(" ",E1),LEN(E1)-FIND(" ",E1)+1))))))))</f>
        <v>4</v>
      </c>
      <c r="F6" s="2">
        <f t="array" aca="1" ref="F6" ca="1">IF(F1="Week 1","N/A",COUNTA(INDIRECT("Summary!"
&amp;ADDRESS(3,SMALL(IF(Summary!$A$2:$CS$2="Player",COLUMN(Summary!$A$2:$CS$2)-MIN(COLUMN(Summary!$A$2:$CS$2))+1),INT(MID(F1,FIND(" ",F1),LEN(F1)-FIND(" ",F1)+1))))
&amp;":"&amp;ADDRESS(16,SMALL(IF(Summary!$A$2:$CS$2="Player",COLUMN(Summary!$A$2:$CS$2)-MIN(COLUMN(Summary!$A$2:$CS$2))+1),INT(MID(F1,FIND(" ",F1),LEN(F1)-FIND(" ",F1)+1))))))
-SUMPRODUCT(COUNTIF(
INDIRECT("Summary!"&amp;ADDRESS(3,SMALL(IF(Summary!$A$2:$CS$2="Player",COLUMN(Summary!$A$2:$CS$2)-MIN(COLUMN(Summary!$A$2:$CS$2))+1),INT(MID(F1,FIND(" ",F1),LEN(F1)-FIND(" ",F1)+1))-1))&amp;":"&amp;ADDRESS(16,SMALL(IF(Summary!$A$2:$CS$2="Player",COLUMN(Summary!$A$2:$CS$2)-MIN(COLUMN(Summary!$A$2:$CS$2))+1),INT(MID(F1,FIND(" ",F1),LEN(F1)-FIND(" ",F1)+1))-1))),
INDIRECT("Summary!"&amp;ADDRESS(3,SMALL(IF(Summary!$A$2:$CS$2="Player",COLUMN(Summary!$A$2:$CS$2)-MIN(COLUMN(Summary!$A$2:$CS$2))+1),INT(MID(F1,FIND(" ",F1),LEN(F1)-FIND(" ",F1)+1))))&amp;":"&amp;ADDRESS(16,SMALL(IF(Summary!$A$2:$CS$2="Player",COLUMN(Summary!$A$2:$CS$2)-MIN(COLUMN(Summary!$A$2:$CS$2))+1),INT(MID(F1,FIND(" ",F1),LEN(F1)-FIND(" ",F1)+1))))))))</f>
        <v>4</v>
      </c>
      <c r="G6" s="2">
        <f t="array" aca="1" ref="G6" ca="1">IF(G1="Week 1","N/A",COUNTA(INDIRECT("Summary!"
&amp;ADDRESS(3,SMALL(IF(Summary!$A$2:$CS$2="Player",COLUMN(Summary!$A$2:$CS$2)-MIN(COLUMN(Summary!$A$2:$CS$2))+1),INT(MID(G1,FIND(" ",G1),LEN(G1)-FIND(" ",G1)+1))))
&amp;":"&amp;ADDRESS(16,SMALL(IF(Summary!$A$2:$CS$2="Player",COLUMN(Summary!$A$2:$CS$2)-MIN(COLUMN(Summary!$A$2:$CS$2))+1),INT(MID(G1,FIND(" ",G1),LEN(G1)-FIND(" ",G1)+1))))))
-SUMPRODUCT(COUNTIF(
INDIRECT("Summary!"&amp;ADDRESS(3,SMALL(IF(Summary!$A$2:$CS$2="Player",COLUMN(Summary!$A$2:$CS$2)-MIN(COLUMN(Summary!$A$2:$CS$2))+1),INT(MID(G1,FIND(" ",G1),LEN(G1)-FIND(" ",G1)+1))-1))&amp;":"&amp;ADDRESS(16,SMALL(IF(Summary!$A$2:$CS$2="Player",COLUMN(Summary!$A$2:$CS$2)-MIN(COLUMN(Summary!$A$2:$CS$2))+1),INT(MID(G1,FIND(" ",G1),LEN(G1)-FIND(" ",G1)+1))-1))),
INDIRECT("Summary!"&amp;ADDRESS(3,SMALL(IF(Summary!$A$2:$CS$2="Player",COLUMN(Summary!$A$2:$CS$2)-MIN(COLUMN(Summary!$A$2:$CS$2))+1),INT(MID(G1,FIND(" ",G1),LEN(G1)-FIND(" ",G1)+1))))&amp;":"&amp;ADDRESS(16,SMALL(IF(Summary!$A$2:$CS$2="Player",COLUMN(Summary!$A$2:$CS$2)-MIN(COLUMN(Summary!$A$2:$CS$2))+1),INT(MID(G1,FIND(" ",G1),LEN(G1)-FIND(" ",G1)+1))))))))</f>
        <v>7</v>
      </c>
      <c r="H6" s="2">
        <f t="array" aca="1" ref="H6" ca="1">IF(H1="Week 1","N/A",COUNTA(INDIRECT("Summary!"
&amp;ADDRESS(3,SMALL(IF(Summary!$A$2:$CS$2="Player",COLUMN(Summary!$A$2:$CS$2)-MIN(COLUMN(Summary!$A$2:$CS$2))+1),INT(MID(H1,FIND(" ",H1),LEN(H1)-FIND(" ",H1)+1))))
&amp;":"&amp;ADDRESS(16,SMALL(IF(Summary!$A$2:$CS$2="Player",COLUMN(Summary!$A$2:$CS$2)-MIN(COLUMN(Summary!$A$2:$CS$2))+1),INT(MID(H1,FIND(" ",H1),LEN(H1)-FIND(" ",H1)+1))))))
-SUMPRODUCT(COUNTIF(
INDIRECT("Summary!"&amp;ADDRESS(3,SMALL(IF(Summary!$A$2:$CS$2="Player",COLUMN(Summary!$A$2:$CS$2)-MIN(COLUMN(Summary!$A$2:$CS$2))+1),INT(MID(H1,FIND(" ",H1),LEN(H1)-FIND(" ",H1)+1))-1))&amp;":"&amp;ADDRESS(16,SMALL(IF(Summary!$A$2:$CS$2="Player",COLUMN(Summary!$A$2:$CS$2)-MIN(COLUMN(Summary!$A$2:$CS$2))+1),INT(MID(H1,FIND(" ",H1),LEN(H1)-FIND(" ",H1)+1))-1))),
INDIRECT("Summary!"&amp;ADDRESS(3,SMALL(IF(Summary!$A$2:$CS$2="Player",COLUMN(Summary!$A$2:$CS$2)-MIN(COLUMN(Summary!$A$2:$CS$2))+1),INT(MID(H1,FIND(" ",H1),LEN(H1)-FIND(" ",H1)+1))))&amp;":"&amp;ADDRESS(16,SMALL(IF(Summary!$A$2:$CS$2="Player",COLUMN(Summary!$A$2:$CS$2)-MIN(COLUMN(Summary!$A$2:$CS$2))+1),INT(MID(H1,FIND(" ",H1),LEN(H1)-FIND(" ",H1)+1))))))))</f>
        <v>4</v>
      </c>
      <c r="I6" s="2">
        <f t="array" aca="1" ref="I6" ca="1">IF(I1="Week 1","N/A",COUNTA(INDIRECT("Summary!"
&amp;ADDRESS(3,SMALL(IF(Summary!$A$2:$CS$2="Player",COLUMN(Summary!$A$2:$CS$2)-MIN(COLUMN(Summary!$A$2:$CS$2))+1),INT(MID(I1,FIND(" ",I1),LEN(I1)-FIND(" ",I1)+1))))
&amp;":"&amp;ADDRESS(16,SMALL(IF(Summary!$A$2:$CS$2="Player",COLUMN(Summary!$A$2:$CS$2)-MIN(COLUMN(Summary!$A$2:$CS$2))+1),INT(MID(I1,FIND(" ",I1),LEN(I1)-FIND(" ",I1)+1))))))
-SUMPRODUCT(COUNTIF(
INDIRECT("Summary!"&amp;ADDRESS(3,SMALL(IF(Summary!$A$2:$CS$2="Player",COLUMN(Summary!$A$2:$CS$2)-MIN(COLUMN(Summary!$A$2:$CS$2))+1),INT(MID(I1,FIND(" ",I1),LEN(I1)-FIND(" ",I1)+1))-1))&amp;":"&amp;ADDRESS(16,SMALL(IF(Summary!$A$2:$CS$2="Player",COLUMN(Summary!$A$2:$CS$2)-MIN(COLUMN(Summary!$A$2:$CS$2))+1),INT(MID(I1,FIND(" ",I1),LEN(I1)-FIND(" ",I1)+1))-1))),
INDIRECT("Summary!"&amp;ADDRESS(3,SMALL(IF(Summary!$A$2:$CS$2="Player",COLUMN(Summary!$A$2:$CS$2)-MIN(COLUMN(Summary!$A$2:$CS$2))+1),INT(MID(I1,FIND(" ",I1),LEN(I1)-FIND(" ",I1)+1))))&amp;":"&amp;ADDRESS(16,SMALL(IF(Summary!$A$2:$CS$2="Player",COLUMN(Summary!$A$2:$CS$2)-MIN(COLUMN(Summary!$A$2:$CS$2))+1),INT(MID(I1,FIND(" ",I1),LEN(I1)-FIND(" ",I1)+1))))))))</f>
        <v>1</v>
      </c>
      <c r="J6" s="2">
        <f t="array" aca="1" ref="J6" ca="1">IF(J1="Week 1","N/A",COUNTA(INDIRECT("Summary!"
&amp;ADDRESS(3,SMALL(IF(Summary!$A$2:$CS$2="Player",COLUMN(Summary!$A$2:$CS$2)-MIN(COLUMN(Summary!$A$2:$CS$2))+1),INT(MID(J1,FIND(" ",J1),LEN(J1)-FIND(" ",J1)+1))))
&amp;":"&amp;ADDRESS(16,SMALL(IF(Summary!$A$2:$CS$2="Player",COLUMN(Summary!$A$2:$CS$2)-MIN(COLUMN(Summary!$A$2:$CS$2))+1),INT(MID(J1,FIND(" ",J1),LEN(J1)-FIND(" ",J1)+1))))))
-SUMPRODUCT(COUNTIF(
INDIRECT("Summary!"&amp;ADDRESS(3,SMALL(IF(Summary!$A$2:$CS$2="Player",COLUMN(Summary!$A$2:$CS$2)-MIN(COLUMN(Summary!$A$2:$CS$2))+1),INT(MID(J1,FIND(" ",J1),LEN(J1)-FIND(" ",J1)+1))-1))&amp;":"&amp;ADDRESS(16,SMALL(IF(Summary!$A$2:$CS$2="Player",COLUMN(Summary!$A$2:$CS$2)-MIN(COLUMN(Summary!$A$2:$CS$2))+1),INT(MID(J1,FIND(" ",J1),LEN(J1)-FIND(" ",J1)+1))-1))),
INDIRECT("Summary!"&amp;ADDRESS(3,SMALL(IF(Summary!$A$2:$CS$2="Player",COLUMN(Summary!$A$2:$CS$2)-MIN(COLUMN(Summary!$A$2:$CS$2))+1),INT(MID(J1,FIND(" ",J1),LEN(J1)-FIND(" ",J1)+1))))&amp;":"&amp;ADDRESS(16,SMALL(IF(Summary!$A$2:$CS$2="Player",COLUMN(Summary!$A$2:$CS$2)-MIN(COLUMN(Summary!$A$2:$CS$2))+1),INT(MID(J1,FIND(" ",J1),LEN(J1)-FIND(" ",J1)+1))))))))</f>
        <v>4</v>
      </c>
      <c r="K6" s="2">
        <f t="array" aca="1" ref="K6" ca="1">IF(K1="Week 1","N/A",COUNTA(INDIRECT("Summary!"
&amp;ADDRESS(3,SMALL(IF(Summary!$A$2:$CS$2="Player",COLUMN(Summary!$A$2:$CS$2)-MIN(COLUMN(Summary!$A$2:$CS$2))+1),INT(MID(K1,FIND(" ",K1),LEN(K1)-FIND(" ",K1)+1))))
&amp;":"&amp;ADDRESS(16,SMALL(IF(Summary!$A$2:$CS$2="Player",COLUMN(Summary!$A$2:$CS$2)-MIN(COLUMN(Summary!$A$2:$CS$2))+1),INT(MID(K1,FIND(" ",K1),LEN(K1)-FIND(" ",K1)+1))))))
-SUMPRODUCT(COUNTIF(
INDIRECT("Summary!"&amp;ADDRESS(3,SMALL(IF(Summary!$A$2:$CS$2="Player",COLUMN(Summary!$A$2:$CS$2)-MIN(COLUMN(Summary!$A$2:$CS$2))+1),INT(MID(K1,FIND(" ",K1),LEN(K1)-FIND(" ",K1)+1))-1))&amp;":"&amp;ADDRESS(16,SMALL(IF(Summary!$A$2:$CS$2="Player",COLUMN(Summary!$A$2:$CS$2)-MIN(COLUMN(Summary!$A$2:$CS$2))+1),INT(MID(K1,FIND(" ",K1),LEN(K1)-FIND(" ",K1)+1))-1))),
INDIRECT("Summary!"&amp;ADDRESS(3,SMALL(IF(Summary!$A$2:$CS$2="Player",COLUMN(Summary!$A$2:$CS$2)-MIN(COLUMN(Summary!$A$2:$CS$2))+1),INT(MID(K1,FIND(" ",K1),LEN(K1)-FIND(" ",K1)+1))))&amp;":"&amp;ADDRESS(16,SMALL(IF(Summary!$A$2:$CS$2="Player",COLUMN(Summary!$A$2:$CS$2)-MIN(COLUMN(Summary!$A$2:$CS$2))+1),INT(MID(K1,FIND(" ",K1),LEN(K1)-FIND(" ",K1)+1))))))))</f>
        <v>3</v>
      </c>
      <c r="L6" s="2">
        <f t="array" aca="1" ref="L6" ca="1">IF(L1="Week 1","N/A",COUNTA(INDIRECT("Summary!"
&amp;ADDRESS(3,SMALL(IF(Summary!$A$2:$CS$2="Player",COLUMN(Summary!$A$2:$CS$2)-MIN(COLUMN(Summary!$A$2:$CS$2))+1),INT(MID(L1,FIND(" ",L1),LEN(L1)-FIND(" ",L1)+1))))
&amp;":"&amp;ADDRESS(16,SMALL(IF(Summary!$A$2:$CS$2="Player",COLUMN(Summary!$A$2:$CS$2)-MIN(COLUMN(Summary!$A$2:$CS$2))+1),INT(MID(L1,FIND(" ",L1),LEN(L1)-FIND(" ",L1)+1))))))
-SUMPRODUCT(COUNTIF(
INDIRECT("Summary!"&amp;ADDRESS(3,SMALL(IF(Summary!$A$2:$CS$2="Player",COLUMN(Summary!$A$2:$CS$2)-MIN(COLUMN(Summary!$A$2:$CS$2))+1),INT(MID(L1,FIND(" ",L1),LEN(L1)-FIND(" ",L1)+1))-1))&amp;":"&amp;ADDRESS(16,SMALL(IF(Summary!$A$2:$CS$2="Player",COLUMN(Summary!$A$2:$CS$2)-MIN(COLUMN(Summary!$A$2:$CS$2))+1),INT(MID(L1,FIND(" ",L1),LEN(L1)-FIND(" ",L1)+1))-1))),
INDIRECT("Summary!"&amp;ADDRESS(3,SMALL(IF(Summary!$A$2:$CS$2="Player",COLUMN(Summary!$A$2:$CS$2)-MIN(COLUMN(Summary!$A$2:$CS$2))+1),INT(MID(L1,FIND(" ",L1),LEN(L1)-FIND(" ",L1)+1))))&amp;":"&amp;ADDRESS(16,SMALL(IF(Summary!$A$2:$CS$2="Player",COLUMN(Summary!$A$2:$CS$2)-MIN(COLUMN(Summary!$A$2:$CS$2))+1),INT(MID(L1,FIND(" ",L1),LEN(L1)-FIND(" ",L1)+1))))))))</f>
        <v>2</v>
      </c>
      <c r="M6" s="2">
        <f t="array" aca="1" ref="M6" ca="1">IF(M1="Week 1","N/A",COUNTA(INDIRECT("Summary!"
&amp;ADDRESS(3,SMALL(IF(Summary!$A$2:$CS$2="Player",COLUMN(Summary!$A$2:$CS$2)-MIN(COLUMN(Summary!$A$2:$CS$2))+1),INT(MID(M1,FIND(" ",M1),LEN(M1)-FIND(" ",M1)+1))))
&amp;":"&amp;ADDRESS(16,SMALL(IF(Summary!$A$2:$CS$2="Player",COLUMN(Summary!$A$2:$CS$2)-MIN(COLUMN(Summary!$A$2:$CS$2))+1),INT(MID(M1,FIND(" ",M1),LEN(M1)-FIND(" ",M1)+1))))))
-SUMPRODUCT(COUNTIF(
INDIRECT("Summary!"&amp;ADDRESS(3,SMALL(IF(Summary!$A$2:$CS$2="Player",COLUMN(Summary!$A$2:$CS$2)-MIN(COLUMN(Summary!$A$2:$CS$2))+1),INT(MID(M1,FIND(" ",M1),LEN(M1)-FIND(" ",M1)+1))-1))&amp;":"&amp;ADDRESS(16,SMALL(IF(Summary!$A$2:$CS$2="Player",COLUMN(Summary!$A$2:$CS$2)-MIN(COLUMN(Summary!$A$2:$CS$2))+1),INT(MID(M1,FIND(" ",M1),LEN(M1)-FIND(" ",M1)+1))-1))),
INDIRECT("Summary!"&amp;ADDRESS(3,SMALL(IF(Summary!$A$2:$CS$2="Player",COLUMN(Summary!$A$2:$CS$2)-MIN(COLUMN(Summary!$A$2:$CS$2))+1),INT(MID(M1,FIND(" ",M1),LEN(M1)-FIND(" ",M1)+1))))&amp;":"&amp;ADDRESS(16,SMALL(IF(Summary!$A$2:$CS$2="Player",COLUMN(Summary!$A$2:$CS$2)-MIN(COLUMN(Summary!$A$2:$CS$2))+1),INT(MID(M1,FIND(" ",M1),LEN(M1)-FIND(" ",M1)+1))))))))</f>
        <v>3</v>
      </c>
      <c r="N6" s="2">
        <f t="array" aca="1" ref="N6" ca="1">IF(N1="Week 1","N/A",COUNTA(INDIRECT("Summary!"
&amp;ADDRESS(3,SMALL(IF(Summary!$A$2:$CS$2="Player",COLUMN(Summary!$A$2:$CS$2)-MIN(COLUMN(Summary!$A$2:$CS$2))+1),INT(MID(N1,FIND(" ",N1),LEN(N1)-FIND(" ",N1)+1))))
&amp;":"&amp;ADDRESS(16,SMALL(IF(Summary!$A$2:$CS$2="Player",COLUMN(Summary!$A$2:$CS$2)-MIN(COLUMN(Summary!$A$2:$CS$2))+1),INT(MID(N1,FIND(" ",N1),LEN(N1)-FIND(" ",N1)+1))))))
-SUMPRODUCT(COUNTIF(
INDIRECT("Summary!"&amp;ADDRESS(3,SMALL(IF(Summary!$A$2:$CS$2="Player",COLUMN(Summary!$A$2:$CS$2)-MIN(COLUMN(Summary!$A$2:$CS$2))+1),INT(MID(N1,FIND(" ",N1),LEN(N1)-FIND(" ",N1)+1))-1))&amp;":"&amp;ADDRESS(16,SMALL(IF(Summary!$A$2:$CS$2="Player",COLUMN(Summary!$A$2:$CS$2)-MIN(COLUMN(Summary!$A$2:$CS$2))+1),INT(MID(N1,FIND(" ",N1),LEN(N1)-FIND(" ",N1)+1))-1))),
INDIRECT("Summary!"&amp;ADDRESS(3,SMALL(IF(Summary!$A$2:$CS$2="Player",COLUMN(Summary!$A$2:$CS$2)-MIN(COLUMN(Summary!$A$2:$CS$2))+1),INT(MID(N1,FIND(" ",N1),LEN(N1)-FIND(" ",N1)+1))))&amp;":"&amp;ADDRESS(16,SMALL(IF(Summary!$A$2:$CS$2="Player",COLUMN(Summary!$A$2:$CS$2)-MIN(COLUMN(Summary!$A$2:$CS$2))+1),INT(MID(N1,FIND(" ",N1),LEN(N1)-FIND(" ",N1)+1))))))))</f>
        <v>3</v>
      </c>
      <c r="O6" s="2">
        <f t="array" aca="1" ref="O6" ca="1">IF(O1="Week 1","N/A",COUNTA(INDIRECT("Summary!"
&amp;ADDRESS(3,SMALL(IF(Summary!$A$2:$CS$2="Player",COLUMN(Summary!$A$2:$CS$2)-MIN(COLUMN(Summary!$A$2:$CS$2))+1),INT(MID(O1,FIND(" ",O1),LEN(O1)-FIND(" ",O1)+1))))
&amp;":"&amp;ADDRESS(16,SMALL(IF(Summary!$A$2:$CS$2="Player",COLUMN(Summary!$A$2:$CS$2)-MIN(COLUMN(Summary!$A$2:$CS$2))+1),INT(MID(O1,FIND(" ",O1),LEN(O1)-FIND(" ",O1)+1))))))
-SUMPRODUCT(COUNTIF(
INDIRECT("Summary!"&amp;ADDRESS(3,SMALL(IF(Summary!$A$2:$CS$2="Player",COLUMN(Summary!$A$2:$CS$2)-MIN(COLUMN(Summary!$A$2:$CS$2))+1),INT(MID(O1,FIND(" ",O1),LEN(O1)-FIND(" ",O1)+1))-1))&amp;":"&amp;ADDRESS(16,SMALL(IF(Summary!$A$2:$CS$2="Player",COLUMN(Summary!$A$2:$CS$2)-MIN(COLUMN(Summary!$A$2:$CS$2))+1),INT(MID(O1,FIND(" ",O1),LEN(O1)-FIND(" ",O1)+1))-1))),
INDIRECT("Summary!"&amp;ADDRESS(3,SMALL(IF(Summary!$A$2:$CS$2="Player",COLUMN(Summary!$A$2:$CS$2)-MIN(COLUMN(Summary!$A$2:$CS$2))+1),INT(MID(O1,FIND(" ",O1),LEN(O1)-FIND(" ",O1)+1))))&amp;":"&amp;ADDRESS(16,SMALL(IF(Summary!$A$2:$CS$2="Player",COLUMN(Summary!$A$2:$CS$2)-MIN(COLUMN(Summary!$A$2:$CS$2))+1),INT(MID(O1,FIND(" ",O1),LEN(O1)-FIND(" ",O1)+1))))))))</f>
        <v>3</v>
      </c>
      <c r="P6" s="2">
        <f t="array" aca="1" ref="P6" ca="1">IF(P1="Week 1","N/A",COUNTA(INDIRECT("Summary!"
&amp;ADDRESS(3,SMALL(IF(Summary!$A$2:$CS$2="Player",COLUMN(Summary!$A$2:$CS$2)-MIN(COLUMN(Summary!$A$2:$CS$2))+1),INT(MID(P1,FIND(" ",P1),LEN(P1)-FIND(" ",P1)+1))))
&amp;":"&amp;ADDRESS(16,SMALL(IF(Summary!$A$2:$CS$2="Player",COLUMN(Summary!$A$2:$CS$2)-MIN(COLUMN(Summary!$A$2:$CS$2))+1),INT(MID(P1,FIND(" ",P1),LEN(P1)-FIND(" ",P1)+1))))))
-SUMPRODUCT(COUNTIF(
INDIRECT("Summary!"&amp;ADDRESS(3,SMALL(IF(Summary!$A$2:$CS$2="Player",COLUMN(Summary!$A$2:$CS$2)-MIN(COLUMN(Summary!$A$2:$CS$2))+1),INT(MID(P1,FIND(" ",P1),LEN(P1)-FIND(" ",P1)+1))-1))&amp;":"&amp;ADDRESS(16,SMALL(IF(Summary!$A$2:$CS$2="Player",COLUMN(Summary!$A$2:$CS$2)-MIN(COLUMN(Summary!$A$2:$CS$2))+1),INT(MID(P1,FIND(" ",P1),LEN(P1)-FIND(" ",P1)+1))-1))),
INDIRECT("Summary!"&amp;ADDRESS(3,SMALL(IF(Summary!$A$2:$CS$2="Player",COLUMN(Summary!$A$2:$CS$2)-MIN(COLUMN(Summary!$A$2:$CS$2))+1),INT(MID(P1,FIND(" ",P1),LEN(P1)-FIND(" ",P1)+1))))&amp;":"&amp;ADDRESS(16,SMALL(IF(Summary!$A$2:$CS$2="Player",COLUMN(Summary!$A$2:$CS$2)-MIN(COLUMN(Summary!$A$2:$CS$2))+1),INT(MID(P1,FIND(" ",P1),LEN(P1)-FIND(" ",P1)+1))))))))</f>
        <v>2</v>
      </c>
      <c r="Q6" s="2">
        <f t="array" aca="1" ref="Q6" ca="1">IF(Q1="Week 1","N/A",COUNTA(INDIRECT("Summary!"
&amp;ADDRESS(3,SMALL(IF(Summary!$A$2:$CS$2="Player",COLUMN(Summary!$A$2:$CS$2)-MIN(COLUMN(Summary!$A$2:$CS$2))+1),INT(MID(Q1,FIND(" ",Q1),LEN(Q1)-FIND(" ",Q1)+1))))
&amp;":"&amp;ADDRESS(16,SMALL(IF(Summary!$A$2:$CS$2="Player",COLUMN(Summary!$A$2:$CS$2)-MIN(COLUMN(Summary!$A$2:$CS$2))+1),INT(MID(Q1,FIND(" ",Q1),LEN(Q1)-FIND(" ",Q1)+1))))))
-SUMPRODUCT(COUNTIF(
INDIRECT("Summary!"&amp;ADDRESS(3,SMALL(IF(Summary!$A$2:$CS$2="Player",COLUMN(Summary!$A$2:$CS$2)-MIN(COLUMN(Summary!$A$2:$CS$2))+1),INT(MID(Q1,FIND(" ",Q1),LEN(Q1)-FIND(" ",Q1)+1))-1))&amp;":"&amp;ADDRESS(16,SMALL(IF(Summary!$A$2:$CS$2="Player",COLUMN(Summary!$A$2:$CS$2)-MIN(COLUMN(Summary!$A$2:$CS$2))+1),INT(MID(Q1,FIND(" ",Q1),LEN(Q1)-FIND(" ",Q1)+1))-1))),
INDIRECT("Summary!"&amp;ADDRESS(3,SMALL(IF(Summary!$A$2:$CS$2="Player",COLUMN(Summary!$A$2:$CS$2)-MIN(COLUMN(Summary!$A$2:$CS$2))+1),INT(MID(Q1,FIND(" ",Q1),LEN(Q1)-FIND(" ",Q1)+1))))&amp;":"&amp;ADDRESS(16,SMALL(IF(Summary!$A$2:$CS$2="Player",COLUMN(Summary!$A$2:$CS$2)-MIN(COLUMN(Summary!$A$2:$CS$2))+1),INT(MID(Q1,FIND(" ",Q1),LEN(Q1)-FIND(" ",Q1)+1))))))))</f>
        <v>2</v>
      </c>
      <c r="R6" s="2">
        <f t="shared" ca="1" si="0"/>
        <v>1</v>
      </c>
      <c r="S6" s="2">
        <f t="shared" ca="1" si="1"/>
        <v>7</v>
      </c>
      <c r="T6" s="8">
        <f t="shared" ca="1" si="2"/>
        <v>3.6</v>
      </c>
      <c r="U6" s="7">
        <f t="shared" ca="1" si="3"/>
        <v>1.6653327995729061</v>
      </c>
      <c r="V6" s="2">
        <f t="shared" ca="1" si="4"/>
        <v>54</v>
      </c>
      <c r="W6" s="2" t="s">
        <v>365</v>
      </c>
    </row>
    <row r="7" spans="1:23" ht="16.25" thickTop="1" thickBot="1" x14ac:dyDescent="0.9">
      <c r="A7" s="2" t="s">
        <v>381</v>
      </c>
      <c r="B7" s="2">
        <v>1</v>
      </c>
      <c r="C7" s="2">
        <v>2</v>
      </c>
      <c r="D7" s="2">
        <v>2</v>
      </c>
      <c r="E7" s="2">
        <v>2</v>
      </c>
      <c r="F7" s="2">
        <v>2</v>
      </c>
      <c r="G7" s="2">
        <v>0</v>
      </c>
      <c r="H7" s="2">
        <v>1</v>
      </c>
      <c r="I7" s="2">
        <v>2</v>
      </c>
      <c r="J7" s="2">
        <v>2</v>
      </c>
      <c r="K7" s="2">
        <v>2</v>
      </c>
      <c r="L7" s="2">
        <v>2</v>
      </c>
      <c r="M7" s="2">
        <v>3</v>
      </c>
      <c r="N7" s="2">
        <v>4</v>
      </c>
      <c r="O7" s="2">
        <v>5</v>
      </c>
      <c r="P7" s="2">
        <v>4</v>
      </c>
      <c r="Q7" s="2">
        <v>3</v>
      </c>
      <c r="R7" s="2">
        <f t="shared" si="0"/>
        <v>0</v>
      </c>
      <c r="S7" s="2">
        <f t="shared" si="1"/>
        <v>5</v>
      </c>
      <c r="T7" s="8">
        <f t="shared" si="2"/>
        <v>2.3125</v>
      </c>
      <c r="U7" s="7">
        <f t="shared" ref="U7:U8" si="6">_xlfn.STDEV.P(B7:Q7)</f>
        <v>1.2103072956898178</v>
      </c>
      <c r="V7" s="2">
        <f t="shared" si="4"/>
        <v>37</v>
      </c>
      <c r="W7" s="2" t="s">
        <v>365</v>
      </c>
    </row>
    <row r="8" spans="1:23" ht="16.25" thickTop="1" thickBot="1" x14ac:dyDescent="0.9">
      <c r="A8" s="2" t="s">
        <v>382</v>
      </c>
      <c r="B8" s="2">
        <v>74.099999999999994</v>
      </c>
      <c r="C8" s="2">
        <v>93.9</v>
      </c>
      <c r="D8" s="2">
        <v>122.1</v>
      </c>
      <c r="E8" s="2">
        <v>138.29999999999998</v>
      </c>
      <c r="F8" s="2">
        <v>111.8</v>
      </c>
      <c r="G8" s="2">
        <v>78.099999999999994</v>
      </c>
      <c r="H8" s="2">
        <v>141.5</v>
      </c>
      <c r="I8" s="2">
        <v>101.7</v>
      </c>
      <c r="J8" s="2">
        <v>100.1</v>
      </c>
      <c r="K8" s="2">
        <v>90</v>
      </c>
      <c r="L8" s="2">
        <v>97.1</v>
      </c>
      <c r="M8" s="2">
        <v>113.8</v>
      </c>
      <c r="N8" s="2">
        <v>109.3</v>
      </c>
      <c r="O8" s="2">
        <v>118.4</v>
      </c>
      <c r="P8" s="2">
        <v>110</v>
      </c>
      <c r="Q8" s="2">
        <v>129.1</v>
      </c>
      <c r="R8" s="2">
        <f t="shared" si="0"/>
        <v>74.099999999999994</v>
      </c>
      <c r="S8" s="2">
        <f t="shared" si="1"/>
        <v>141.5</v>
      </c>
      <c r="T8" s="8">
        <f t="shared" si="2"/>
        <v>108.08124999999998</v>
      </c>
      <c r="U8" s="7">
        <f t="shared" si="6"/>
        <v>18.763535739233763</v>
      </c>
      <c r="V8" s="2">
        <f t="shared" si="4"/>
        <v>1729.2999999999997</v>
      </c>
      <c r="W8" s="2" t="s">
        <v>365</v>
      </c>
    </row>
    <row r="9" spans="1:23" ht="16.25" thickTop="1" thickBot="1" x14ac:dyDescent="0.9">
      <c r="A9" s="2" t="s">
        <v>383</v>
      </c>
      <c r="B9" s="3">
        <f t="shared" ref="B9" ca="1" si="7">B2/B8</f>
        <v>0.97300944669365741</v>
      </c>
      <c r="C9" s="3">
        <f t="shared" ref="C9" ca="1" si="8">C2/C8</f>
        <v>0.92332268370607029</v>
      </c>
      <c r="D9" s="3">
        <f t="shared" ref="D9" ca="1" si="9">D2/D8</f>
        <v>0.93038493038493053</v>
      </c>
      <c r="E9" s="3">
        <f t="shared" ref="E9" ca="1" si="10">E2/E8</f>
        <v>0.91829356471438905</v>
      </c>
      <c r="F9" s="3">
        <f t="shared" ref="F9" ca="1" si="11">F2/F8</f>
        <v>0.95169946332737043</v>
      </c>
      <c r="G9" s="3">
        <f t="shared" ref="G9" ca="1" si="12">G2/G8</f>
        <v>1.0000000000000002</v>
      </c>
      <c r="H9" s="3">
        <f t="shared" ref="H9" ca="1" si="13">H2/H8</f>
        <v>0.9971731448763248</v>
      </c>
      <c r="I9" s="3">
        <f t="shared" ref="I9" ca="1" si="14">I2/I8</f>
        <v>0.88790560471976399</v>
      </c>
      <c r="J9" s="3">
        <f t="shared" ref="J9" ca="1" si="15">J2/J8</f>
        <v>0.84615384615384626</v>
      </c>
      <c r="K9" s="3">
        <f t="shared" ref="K9" ca="1" si="16">K2/K8</f>
        <v>0.71444444444444455</v>
      </c>
      <c r="L9" s="3">
        <f t="shared" ref="L9" ca="1" si="17">L2/L8</f>
        <v>0.82286302780638532</v>
      </c>
      <c r="M9" s="3">
        <f t="shared" ref="M9" ca="1" si="18">M2/M8</f>
        <v>0.86818980667838308</v>
      </c>
      <c r="N9" s="3">
        <f t="shared" ref="N9" ca="1" si="19">N2/N8</f>
        <v>0.70631290027447402</v>
      </c>
      <c r="O9" s="3">
        <f t="shared" ref="O9" ca="1" si="20">O2/O8</f>
        <v>0.74831081081081074</v>
      </c>
      <c r="P9" s="3">
        <f t="shared" ref="P9" ca="1" si="21">P2/P8</f>
        <v>0.77454545454545454</v>
      </c>
      <c r="Q9" s="3">
        <f t="shared" ref="Q9" ca="1" si="22">Q2/Q8</f>
        <v>0.84043377226955862</v>
      </c>
      <c r="R9" s="3">
        <f t="shared" ca="1" si="0"/>
        <v>0.70631290027447402</v>
      </c>
      <c r="S9" s="5">
        <f t="shared" ca="1" si="1"/>
        <v>1.0000000000000002</v>
      </c>
      <c r="T9" s="3">
        <f t="shared" ca="1" si="2"/>
        <v>0.86894018133786655</v>
      </c>
      <c r="U9" s="7" t="s">
        <v>365</v>
      </c>
      <c r="V9" s="12">
        <f t="array" aca="1" ref="V9" ca="1">V2/V8</f>
        <v>0.8688486670907305</v>
      </c>
      <c r="W9" s="2">
        <f ca="1">COUNTIF(B9:Q9,1)</f>
        <v>1</v>
      </c>
    </row>
    <row r="10" spans="1:23" ht="16.25" thickTop="1" thickBot="1" x14ac:dyDescent="0.9"/>
    <row r="11" spans="1:23" ht="16.25" thickTop="1" thickBot="1" x14ac:dyDescent="0.9">
      <c r="A11" s="6" t="s">
        <v>371</v>
      </c>
      <c r="B11" s="2" t="s">
        <v>338</v>
      </c>
      <c r="C11" s="2" t="s">
        <v>339</v>
      </c>
      <c r="D11" s="2" t="s">
        <v>340</v>
      </c>
      <c r="E11" s="2" t="s">
        <v>341</v>
      </c>
      <c r="F11" s="2" t="s">
        <v>342</v>
      </c>
      <c r="G11" s="2" t="s">
        <v>343</v>
      </c>
      <c r="H11" s="2" t="s">
        <v>344</v>
      </c>
      <c r="I11" s="2" t="s">
        <v>345</v>
      </c>
      <c r="J11" s="2" t="s">
        <v>346</v>
      </c>
      <c r="K11" s="2" t="s">
        <v>347</v>
      </c>
      <c r="L11" s="2" t="s">
        <v>348</v>
      </c>
      <c r="M11" s="2" t="s">
        <v>349</v>
      </c>
      <c r="N11" s="2" t="s">
        <v>350</v>
      </c>
      <c r="O11" s="2" t="s">
        <v>351</v>
      </c>
      <c r="P11" s="2" t="s">
        <v>352</v>
      </c>
      <c r="Q11" s="2" t="s">
        <v>353</v>
      </c>
      <c r="R11" s="11" t="s">
        <v>85</v>
      </c>
      <c r="S11" s="11" t="s">
        <v>366</v>
      </c>
      <c r="T11" s="11" t="s">
        <v>368</v>
      </c>
      <c r="U11" s="11" t="s">
        <v>369</v>
      </c>
      <c r="V11" s="11" t="s">
        <v>367</v>
      </c>
      <c r="W11" s="11" t="s">
        <v>370</v>
      </c>
    </row>
    <row r="12" spans="1:23" ht="16.25" thickTop="1" thickBot="1" x14ac:dyDescent="0.9">
      <c r="A12" s="2" t="s">
        <v>372</v>
      </c>
      <c r="B12" s="2">
        <f t="array" aca="1" ref="B12" ca="1">SUM(INDIRECT("Summary!"&amp;ADDRESS(3,SMALL(IF(Summary!$A$2:$CS$2="TDs",COLUMN(Summary!$A$2:$CS$2)-MIN(COLUMN(Summary!$A$2:$CS$2))+1),INT(MID(B11,FIND(" ",B11),LEN(B11)-FIND(" ",B11)+1))))&amp;":"&amp;ADDRESS(10,SMALL(IF(Summary!$A$2:$CS$2="TDs",COLUMN(Summary!$A$2:$CS$2)-MIN(COLUMN(Summary!$A$2:$CS$2))+1),INT(MID(B11,FIND(" ",B11),LEN(B11)-FIND(" ",B11)+1))))))</f>
        <v>1</v>
      </c>
      <c r="C12" s="2">
        <f t="array" aca="1" ref="C12" ca="1">SUM(INDIRECT("Summary!"&amp;ADDRESS(3,SMALL(IF(Summary!$A$2:$CS$2="TDs",COLUMN(Summary!$A$2:$CS$2)-MIN(COLUMN(Summary!$A$2:$CS$2))+1),INT(MID(C11,FIND(" ",C11),LEN(C11)-FIND(" ",C11)+1))))&amp;":"&amp;ADDRESS(10,SMALL(IF(Summary!$A$2:$CS$2="TDs",COLUMN(Summary!$A$2:$CS$2)-MIN(COLUMN(Summary!$A$2:$CS$2))+1),INT(MID(C11,FIND(" ",C11),LEN(C11)-FIND(" ",C11)+1))))))</f>
        <v>3</v>
      </c>
      <c r="D12" s="2">
        <f t="array" aca="1" ref="D12" ca="1">SUM(INDIRECT("Summary!"&amp;ADDRESS(3,SMALL(IF(Summary!$A$2:$CS$2="TDs",COLUMN(Summary!$A$2:$CS$2)-MIN(COLUMN(Summary!$A$2:$CS$2))+1),INT(MID(D11,FIND(" ",D11),LEN(D11)-FIND(" ",D11)+1))))&amp;":"&amp;ADDRESS(10,SMALL(IF(Summary!$A$2:$CS$2="TDs",COLUMN(Summary!$A$2:$CS$2)-MIN(COLUMN(Summary!$A$2:$CS$2))+1),INT(MID(D11,FIND(" ",D11),LEN(D11)-FIND(" ",D11)+1))))))</f>
        <v>5</v>
      </c>
      <c r="E12" s="2">
        <f t="array" aca="1" ref="E12" ca="1">SUM(INDIRECT("Summary!"&amp;ADDRESS(3,SMALL(IF(Summary!$A$2:$CS$2="TDs",COLUMN(Summary!$A$2:$CS$2)-MIN(COLUMN(Summary!$A$2:$CS$2))+1),INT(MID(E11,FIND(" ",E11),LEN(E11)-FIND(" ",E11)+1))))&amp;":"&amp;ADDRESS(10,SMALL(IF(Summary!$A$2:$CS$2="TDs",COLUMN(Summary!$A$2:$CS$2)-MIN(COLUMN(Summary!$A$2:$CS$2))+1),INT(MID(E11,FIND(" ",E11),LEN(E11)-FIND(" ",E11)+1))))))</f>
        <v>8</v>
      </c>
      <c r="F12" s="2">
        <f t="array" aca="1" ref="F12" ca="1">SUM(INDIRECT("Summary!"&amp;ADDRESS(3,SMALL(IF(Summary!$A$2:$CS$2="TDs",COLUMN(Summary!$A$2:$CS$2)-MIN(COLUMN(Summary!$A$2:$CS$2))+1),INT(MID(F11,FIND(" ",F11),LEN(F11)-FIND(" ",F11)+1))))&amp;":"&amp;ADDRESS(10,SMALL(IF(Summary!$A$2:$CS$2="TDs",COLUMN(Summary!$A$2:$CS$2)-MIN(COLUMN(Summary!$A$2:$CS$2))+1),INT(MID(F11,FIND(" ",F11),LEN(F11)-FIND(" ",F11)+1))))))</f>
        <v>6</v>
      </c>
      <c r="G12" s="2">
        <f t="array" aca="1" ref="G12" ca="1">SUM(INDIRECT("Summary!"&amp;ADDRESS(3,SMALL(IF(Summary!$A$2:$CS$2="TDs",COLUMN(Summary!$A$2:$CS$2)-MIN(COLUMN(Summary!$A$2:$CS$2))+1),INT(MID(G11,FIND(" ",G11),LEN(G11)-FIND(" ",G11)+1))))&amp;":"&amp;ADDRESS(10,SMALL(IF(Summary!$A$2:$CS$2="TDs",COLUMN(Summary!$A$2:$CS$2)-MIN(COLUMN(Summary!$A$2:$CS$2))+1),INT(MID(G11,FIND(" ",G11),LEN(G11)-FIND(" ",G11)+1))))))</f>
        <v>3</v>
      </c>
      <c r="H12" s="2">
        <f t="array" aca="1" ref="H12" ca="1">SUM(INDIRECT("Summary!"&amp;ADDRESS(3,SMALL(IF(Summary!$A$2:$CS$2="TDs",COLUMN(Summary!$A$2:$CS$2)-MIN(COLUMN(Summary!$A$2:$CS$2))+1),INT(MID(H11,FIND(" ",H11),LEN(H11)-FIND(" ",H11)+1))))&amp;":"&amp;ADDRESS(10,SMALL(IF(Summary!$A$2:$CS$2="TDs",COLUMN(Summary!$A$2:$CS$2)-MIN(COLUMN(Summary!$A$2:$CS$2))+1),INT(MID(H11,FIND(" ",H11),LEN(H11)-FIND(" ",H11)+1))))))</f>
        <v>9</v>
      </c>
      <c r="I12" s="2">
        <f t="array" aca="1" ref="I12" ca="1">SUM(INDIRECT("Summary!"&amp;ADDRESS(3,SMALL(IF(Summary!$A$2:$CS$2="TDs",COLUMN(Summary!$A$2:$CS$2)-MIN(COLUMN(Summary!$A$2:$CS$2))+1),INT(MID(I11,FIND(" ",I11),LEN(I11)-FIND(" ",I11)+1))))&amp;":"&amp;ADDRESS(10,SMALL(IF(Summary!$A$2:$CS$2="TDs",COLUMN(Summary!$A$2:$CS$2)-MIN(COLUMN(Summary!$A$2:$CS$2))+1),INT(MID(I11,FIND(" ",I11),LEN(I11)-FIND(" ",I11)+1))))))</f>
        <v>4</v>
      </c>
      <c r="J12" s="2">
        <f t="array" aca="1" ref="J12" ca="1">SUM(INDIRECT("Summary!"&amp;ADDRESS(3,SMALL(IF(Summary!$A$2:$CS$2="TDs",COLUMN(Summary!$A$2:$CS$2)-MIN(COLUMN(Summary!$A$2:$CS$2))+1),INT(MID(J11,FIND(" ",J11),LEN(J11)-FIND(" ",J11)+1))))&amp;":"&amp;ADDRESS(10,SMALL(IF(Summary!$A$2:$CS$2="TDs",COLUMN(Summary!$A$2:$CS$2)-MIN(COLUMN(Summary!$A$2:$CS$2))+1),INT(MID(J11,FIND(" ",J11),LEN(J11)-FIND(" ",J11)+1))))))</f>
        <v>5</v>
      </c>
      <c r="K12" s="2">
        <f t="array" aca="1" ref="K12" ca="1">SUM(INDIRECT("Summary!"&amp;ADDRESS(3,SMALL(IF(Summary!$A$2:$CS$2="TDs",COLUMN(Summary!$A$2:$CS$2)-MIN(COLUMN(Summary!$A$2:$CS$2))+1),INT(MID(K11,FIND(" ",K11),LEN(K11)-FIND(" ",K11)+1))))&amp;":"&amp;ADDRESS(10,SMALL(IF(Summary!$A$2:$CS$2="TDs",COLUMN(Summary!$A$2:$CS$2)-MIN(COLUMN(Summary!$A$2:$CS$2))+1),INT(MID(K11,FIND(" ",K11),LEN(K11)-FIND(" ",K11)+1))))))</f>
        <v>2</v>
      </c>
      <c r="L12" s="2">
        <f t="array" aca="1" ref="L12" ca="1">SUM(INDIRECT("Summary!"&amp;ADDRESS(3,SMALL(IF(Summary!$A$2:$CS$2="TDs",COLUMN(Summary!$A$2:$CS$2)-MIN(COLUMN(Summary!$A$2:$CS$2))+1),INT(MID(L11,FIND(" ",L11),LEN(L11)-FIND(" ",L11)+1))))&amp;":"&amp;ADDRESS(10,SMALL(IF(Summary!$A$2:$CS$2="TDs",COLUMN(Summary!$A$2:$CS$2)-MIN(COLUMN(Summary!$A$2:$CS$2))+1),INT(MID(L11,FIND(" ",L11),LEN(L11)-FIND(" ",L11)+1))))))</f>
        <v>4</v>
      </c>
      <c r="M12" s="2">
        <f t="array" aca="1" ref="M12" ca="1">SUM(INDIRECT("Summary!"&amp;ADDRESS(3,SMALL(IF(Summary!$A$2:$CS$2="TDs",COLUMN(Summary!$A$2:$CS$2)-MIN(COLUMN(Summary!$A$2:$CS$2))+1),INT(MID(M11,FIND(" ",M11),LEN(M11)-FIND(" ",M11)+1))))&amp;":"&amp;ADDRESS(10,SMALL(IF(Summary!$A$2:$CS$2="TDs",COLUMN(Summary!$A$2:$CS$2)-MIN(COLUMN(Summary!$A$2:$CS$2))+1),INT(MID(M11,FIND(" ",M11),LEN(M11)-FIND(" ",M11)+1))))))</f>
        <v>3</v>
      </c>
      <c r="N12" s="2">
        <f t="array" aca="1" ref="N12" ca="1">SUM(INDIRECT("Summary!"&amp;ADDRESS(3,SMALL(IF(Summary!$A$2:$CS$2="TDs",COLUMN(Summary!$A$2:$CS$2)-MIN(COLUMN(Summary!$A$2:$CS$2))+1),INT(MID(N11,FIND(" ",N11),LEN(N11)-FIND(" ",N11)+1))))&amp;":"&amp;ADDRESS(10,SMALL(IF(Summary!$A$2:$CS$2="TDs",COLUMN(Summary!$A$2:$CS$2)-MIN(COLUMN(Summary!$A$2:$CS$2))+1),INT(MID(N11,FIND(" ",N11),LEN(N11)-FIND(" ",N11)+1))))))</f>
        <v>2</v>
      </c>
      <c r="O12" s="2">
        <f t="array" aca="1" ref="O12" ca="1">SUM(INDIRECT("Summary!"&amp;ADDRESS(3,SMALL(IF(Summary!$A$2:$CS$2="TDs",COLUMN(Summary!$A$2:$CS$2)-MIN(COLUMN(Summary!$A$2:$CS$2))+1),INT(MID(O11,FIND(" ",O11),LEN(O11)-FIND(" ",O11)+1))))&amp;":"&amp;ADDRESS(10,SMALL(IF(Summary!$A$2:$CS$2="TDs",COLUMN(Summary!$A$2:$CS$2)-MIN(COLUMN(Summary!$A$2:$CS$2))+1),INT(MID(O11,FIND(" ",O11),LEN(O11)-FIND(" ",O11)+1))))))</f>
        <v>2</v>
      </c>
      <c r="P12" s="2">
        <f t="array" aca="1" ref="P12" ca="1">SUM(INDIRECT("Summary!"&amp;ADDRESS(3,SMALL(IF(Summary!$A$2:$CS$2="TDs",COLUMN(Summary!$A$2:$CS$2)-MIN(COLUMN(Summary!$A$2:$CS$2))+1),INT(MID(P11,FIND(" ",P11),LEN(P11)-FIND(" ",P11)+1))))&amp;":"&amp;ADDRESS(10,SMALL(IF(Summary!$A$2:$CS$2="TDs",COLUMN(Summary!$A$2:$CS$2)-MIN(COLUMN(Summary!$A$2:$CS$2))+1),INT(MID(P11,FIND(" ",P11),LEN(P11)-FIND(" ",P11)+1))))))</f>
        <v>4</v>
      </c>
      <c r="Q12" s="2">
        <f t="array" aca="1" ref="Q12" ca="1">SUM(INDIRECT("Summary!"&amp;ADDRESS(3,SMALL(IF(Summary!$A$2:$CS$2="TDs",COLUMN(Summary!$A$2:$CS$2)-MIN(COLUMN(Summary!$A$2:$CS$2))+1),INT(MID(Q11,FIND(" ",Q11),LEN(Q11)-FIND(" ",Q11)+1))))&amp;":"&amp;ADDRESS(10,SMALL(IF(Summary!$A$2:$CS$2="TDs",COLUMN(Summary!$A$2:$CS$2)-MIN(COLUMN(Summary!$A$2:$CS$2))+1),INT(MID(Q11,FIND(" ",Q11),LEN(Q11)-FIND(" ",Q11)+1))))))</f>
        <v>3</v>
      </c>
      <c r="R12" s="2">
        <f ca="1">MIN($B12:$Q12)</f>
        <v>1</v>
      </c>
      <c r="S12" s="2">
        <f ca="1">MAX($B12:$Q12)</f>
        <v>9</v>
      </c>
      <c r="T12" s="9">
        <f ca="1">AVERAGE($B12:$Q12)</f>
        <v>4</v>
      </c>
      <c r="U12" s="7">
        <f ca="1">_xlfn.STDEV.P(B12:Q12)</f>
        <v>2.1213203435596424</v>
      </c>
      <c r="V12" s="2">
        <f ca="1">SUM($B12:$Q12)</f>
        <v>64</v>
      </c>
      <c r="W12" s="3">
        <f ca="1">V12/V14</f>
        <v>0.73563218390804597</v>
      </c>
    </row>
    <row r="13" spans="1:23" ht="16.25" thickTop="1" thickBot="1" x14ac:dyDescent="0.9">
      <c r="A13" s="2" t="s">
        <v>373</v>
      </c>
      <c r="B13" s="2">
        <f t="array" aca="1" ref="B13" ca="1">SUM(INDIRECT("Summary!"&amp;ADDRESS(11,SMALL(IF(Summary!$A$2:$CS$2="TDs",COLUMN(Summary!$A$2:$CS$2)-MIN(COLUMN(Summary!$A$2:$CS$2))+1),INT(MID(B11,FIND(" ",B11),LEN(B11)-FIND(" ",B11)+1))))&amp;":"&amp;ADDRESS(17,SMALL(IF(Summary!$A$2:$CS$2="TDs",COLUMN(Summary!$A$2:$CS$2)-MIN(COLUMN(Summary!$A$2:$CS$2))+1),INT(MID(B11,FIND(" ",B11),LEN(B11)-FIND(" ",B11)+1))))))</f>
        <v>0</v>
      </c>
      <c r="C13" s="2">
        <f t="array" aca="1" ref="C13" ca="1">SUM(INDIRECT("Summary!"&amp;ADDRESS(11,SMALL(IF(Summary!$A$2:$CS$2="TDs",COLUMN(Summary!$A$2:$CS$2)-MIN(COLUMN(Summary!$A$2:$CS$2))+1),INT(MID(C11,FIND(" ",C11),LEN(C11)-FIND(" ",C11)+1))))&amp;":"&amp;ADDRESS(17,SMALL(IF(Summary!$A$2:$CS$2="TDs",COLUMN(Summary!$A$2:$CS$2)-MIN(COLUMN(Summary!$A$2:$CS$2))+1),INT(MID(C11,FIND(" ",C11),LEN(C11)-FIND(" ",C11)+1))))))</f>
        <v>0</v>
      </c>
      <c r="D13" s="2">
        <f t="array" aca="1" ref="D13" ca="1">SUM(INDIRECT("Summary!"&amp;ADDRESS(11,SMALL(IF(Summary!$A$2:$CS$2="TDs",COLUMN(Summary!$A$2:$CS$2)-MIN(COLUMN(Summary!$A$2:$CS$2))+1),INT(MID(D11,FIND(" ",D11),LEN(D11)-FIND(" ",D11)+1))))&amp;":"&amp;ADDRESS(17,SMALL(IF(Summary!$A$2:$CS$2="TDs",COLUMN(Summary!$A$2:$CS$2)-MIN(COLUMN(Summary!$A$2:$CS$2))+1),INT(MID(D11,FIND(" ",D11),LEN(D11)-FIND(" ",D11)+1))))))</f>
        <v>2</v>
      </c>
      <c r="E13" s="2">
        <f t="array" aca="1" ref="E13" ca="1">SUM(INDIRECT("Summary!"&amp;ADDRESS(11,SMALL(IF(Summary!$A$2:$CS$2="TDs",COLUMN(Summary!$A$2:$CS$2)-MIN(COLUMN(Summary!$A$2:$CS$2))+1),INT(MID(E11,FIND(" ",E11),LEN(E11)-FIND(" ",E11)+1))))&amp;":"&amp;ADDRESS(17,SMALL(IF(Summary!$A$2:$CS$2="TDs",COLUMN(Summary!$A$2:$CS$2)-MIN(COLUMN(Summary!$A$2:$CS$2))+1),INT(MID(E11,FIND(" ",E11),LEN(E11)-FIND(" ",E11)+1))))))</f>
        <v>2</v>
      </c>
      <c r="F13" s="2">
        <f t="array" aca="1" ref="F13" ca="1">SUM(INDIRECT("Summary!"&amp;ADDRESS(11,SMALL(IF(Summary!$A$2:$CS$2="TDs",COLUMN(Summary!$A$2:$CS$2)-MIN(COLUMN(Summary!$A$2:$CS$2))+1),INT(MID(F11,FIND(" ",F11),LEN(F11)-FIND(" ",F11)+1))))&amp;":"&amp;ADDRESS(17,SMALL(IF(Summary!$A$2:$CS$2="TDs",COLUMN(Summary!$A$2:$CS$2)-MIN(COLUMN(Summary!$A$2:$CS$2))+1),INT(MID(F11,FIND(" ",F11),LEN(F11)-FIND(" ",F11)+1))))))</f>
        <v>0</v>
      </c>
      <c r="G13" s="2">
        <f t="array" aca="1" ref="G13" ca="1">SUM(INDIRECT("Summary!"&amp;ADDRESS(11,SMALL(IF(Summary!$A$2:$CS$2="TDs",COLUMN(Summary!$A$2:$CS$2)-MIN(COLUMN(Summary!$A$2:$CS$2))+1),INT(MID(G11,FIND(" ",G11),LEN(G11)-FIND(" ",G11)+1))))&amp;":"&amp;ADDRESS(17,SMALL(IF(Summary!$A$2:$CS$2="TDs",COLUMN(Summary!$A$2:$CS$2)-MIN(COLUMN(Summary!$A$2:$CS$2))+1),INT(MID(G11,FIND(" ",G11),LEN(G11)-FIND(" ",G11)+1))))))</f>
        <v>0</v>
      </c>
      <c r="H13" s="2">
        <f t="array" aca="1" ref="H13" ca="1">SUM(INDIRECT("Summary!"&amp;ADDRESS(11,SMALL(IF(Summary!$A$2:$CS$2="TDs",COLUMN(Summary!$A$2:$CS$2)-MIN(COLUMN(Summary!$A$2:$CS$2))+1),INT(MID(H11,FIND(" ",H11),LEN(H11)-FIND(" ",H11)+1))))&amp;":"&amp;ADDRESS(17,SMALL(IF(Summary!$A$2:$CS$2="TDs",COLUMN(Summary!$A$2:$CS$2)-MIN(COLUMN(Summary!$A$2:$CS$2))+1),INT(MID(H11,FIND(" ",H11),LEN(H11)-FIND(" ",H11)+1))))))</f>
        <v>0</v>
      </c>
      <c r="I13" s="2">
        <f t="array" aca="1" ref="I13" ca="1">SUM(INDIRECT("Summary!"&amp;ADDRESS(11,SMALL(IF(Summary!$A$2:$CS$2="TDs",COLUMN(Summary!$A$2:$CS$2)-MIN(COLUMN(Summary!$A$2:$CS$2))+1),INT(MID(I11,FIND(" ",I11),LEN(I11)-FIND(" ",I11)+1))))&amp;":"&amp;ADDRESS(17,SMALL(IF(Summary!$A$2:$CS$2="TDs",COLUMN(Summary!$A$2:$CS$2)-MIN(COLUMN(Summary!$A$2:$CS$2))+1),INT(MID(I11,FIND(" ",I11),LEN(I11)-FIND(" ",I11)+1))))))</f>
        <v>2</v>
      </c>
      <c r="J13" s="2">
        <f t="array" aca="1" ref="J13" ca="1">SUM(INDIRECT("Summary!"&amp;ADDRESS(11,SMALL(IF(Summary!$A$2:$CS$2="TDs",COLUMN(Summary!$A$2:$CS$2)-MIN(COLUMN(Summary!$A$2:$CS$2))+1),INT(MID(J11,FIND(" ",J11),LEN(J11)-FIND(" ",J11)+1))))&amp;":"&amp;ADDRESS(17,SMALL(IF(Summary!$A$2:$CS$2="TDs",COLUMN(Summary!$A$2:$CS$2)-MIN(COLUMN(Summary!$A$2:$CS$2))+1),INT(MID(J11,FIND(" ",J11),LEN(J11)-FIND(" ",J11)+1))))))</f>
        <v>0</v>
      </c>
      <c r="K13" s="2">
        <f t="array" aca="1" ref="K13" ca="1">SUM(INDIRECT("Summary!"&amp;ADDRESS(11,SMALL(IF(Summary!$A$2:$CS$2="TDs",COLUMN(Summary!$A$2:$CS$2)-MIN(COLUMN(Summary!$A$2:$CS$2))+1),INT(MID(K11,FIND(" ",K11),LEN(K11)-FIND(" ",K11)+1))))&amp;":"&amp;ADDRESS(17,SMALL(IF(Summary!$A$2:$CS$2="TDs",COLUMN(Summary!$A$2:$CS$2)-MIN(COLUMN(Summary!$A$2:$CS$2))+1),INT(MID(K11,FIND(" ",K11),LEN(K11)-FIND(" ",K11)+1))))))</f>
        <v>2</v>
      </c>
      <c r="L13" s="2">
        <f t="array" aca="1" ref="L13" ca="1">SUM(INDIRECT("Summary!"&amp;ADDRESS(11,SMALL(IF(Summary!$A$2:$CS$2="TDs",COLUMN(Summary!$A$2:$CS$2)-MIN(COLUMN(Summary!$A$2:$CS$2))+1),INT(MID(L11,FIND(" ",L11),LEN(L11)-FIND(" ",L11)+1))))&amp;":"&amp;ADDRESS(17,SMALL(IF(Summary!$A$2:$CS$2="TDs",COLUMN(Summary!$A$2:$CS$2)-MIN(COLUMN(Summary!$A$2:$CS$2))+1),INT(MID(L11,FIND(" ",L11),LEN(L11)-FIND(" ",L11)+1))))))</f>
        <v>1</v>
      </c>
      <c r="M13" s="2">
        <f t="array" aca="1" ref="M13" ca="1">SUM(INDIRECT("Summary!"&amp;ADDRESS(11,SMALL(IF(Summary!$A$2:$CS$2="TDs",COLUMN(Summary!$A$2:$CS$2)-MIN(COLUMN(Summary!$A$2:$CS$2))+1),INT(MID(M11,FIND(" ",M11),LEN(M11)-FIND(" ",M11)+1))))&amp;":"&amp;ADDRESS(17,SMALL(IF(Summary!$A$2:$CS$2="TDs",COLUMN(Summary!$A$2:$CS$2)-MIN(COLUMN(Summary!$A$2:$CS$2))+1),INT(MID(M11,FIND(" ",M11),LEN(M11)-FIND(" ",M11)+1))))))</f>
        <v>1</v>
      </c>
      <c r="N13" s="2">
        <f t="array" aca="1" ref="N13" ca="1">SUM(INDIRECT("Summary!"&amp;ADDRESS(11,SMALL(IF(Summary!$A$2:$CS$2="TDs",COLUMN(Summary!$A$2:$CS$2)-MIN(COLUMN(Summary!$A$2:$CS$2))+1),INT(MID(N11,FIND(" ",N11),LEN(N11)-FIND(" ",N11)+1))))&amp;":"&amp;ADDRESS(17,SMALL(IF(Summary!$A$2:$CS$2="TDs",COLUMN(Summary!$A$2:$CS$2)-MIN(COLUMN(Summary!$A$2:$CS$2))+1),INT(MID(N11,FIND(" ",N11),LEN(N11)-FIND(" ",N11)+1))))))</f>
        <v>4</v>
      </c>
      <c r="O13" s="2">
        <f t="array" aca="1" ref="O13" ca="1">SUM(INDIRECT("Summary!"&amp;ADDRESS(11,SMALL(IF(Summary!$A$2:$CS$2="TDs",COLUMN(Summary!$A$2:$CS$2)-MIN(COLUMN(Summary!$A$2:$CS$2))+1),INT(MID(O11,FIND(" ",O11),LEN(O11)-FIND(" ",O11)+1))))&amp;":"&amp;ADDRESS(17,SMALL(IF(Summary!$A$2:$CS$2="TDs",COLUMN(Summary!$A$2:$CS$2)-MIN(COLUMN(Summary!$A$2:$CS$2))+1),INT(MID(O11,FIND(" ",O11),LEN(O11)-FIND(" ",O11)+1))))))</f>
        <v>3</v>
      </c>
      <c r="P13" s="2">
        <f t="array" aca="1" ref="P13" ca="1">SUM(INDIRECT("Summary!"&amp;ADDRESS(11,SMALL(IF(Summary!$A$2:$CS$2="TDs",COLUMN(Summary!$A$2:$CS$2)-MIN(COLUMN(Summary!$A$2:$CS$2))+1),INT(MID(P11,FIND(" ",P11),LEN(P11)-FIND(" ",P11)+1))))&amp;":"&amp;ADDRESS(17,SMALL(IF(Summary!$A$2:$CS$2="TDs",COLUMN(Summary!$A$2:$CS$2)-MIN(COLUMN(Summary!$A$2:$CS$2))+1),INT(MID(P11,FIND(" ",P11),LEN(P11)-FIND(" ",P11)+1))))))</f>
        <v>5</v>
      </c>
      <c r="Q13" s="2">
        <f t="array" aca="1" ref="Q13" ca="1">SUM(INDIRECT("Summary!"&amp;ADDRESS(11,SMALL(IF(Summary!$A$2:$CS$2="TDs",COLUMN(Summary!$A$2:$CS$2)-MIN(COLUMN(Summary!$A$2:$CS$2))+1),INT(MID(Q11,FIND(" ",Q11),LEN(Q11)-FIND(" ",Q11)+1))))&amp;":"&amp;ADDRESS(17,SMALL(IF(Summary!$A$2:$CS$2="TDs",COLUMN(Summary!$A$2:$CS$2)-MIN(COLUMN(Summary!$A$2:$CS$2))+1),INT(MID(Q11,FIND(" ",Q11),LEN(Q11)-FIND(" ",Q11)+1))))))</f>
        <v>1</v>
      </c>
      <c r="R13" s="2">
        <f ca="1">MIN($B13:$Q13)</f>
        <v>0</v>
      </c>
      <c r="S13" s="2">
        <f ca="1">MAX($B13:$Q13)</f>
        <v>5</v>
      </c>
      <c r="T13" s="9">
        <f ca="1">AVERAGE($B13:$Q13)</f>
        <v>1.4375</v>
      </c>
      <c r="U13" s="7">
        <f ca="1">_xlfn.STDEV.P(B13:Q13)</f>
        <v>1.4986973510352248</v>
      </c>
      <c r="V13" s="2">
        <f ca="1">SUM($B13:$Q13)</f>
        <v>23</v>
      </c>
      <c r="W13" s="3">
        <f ca="1">V13/V14</f>
        <v>0.26436781609195403</v>
      </c>
    </row>
    <row r="14" spans="1:23" ht="16.25" thickTop="1" thickBot="1" x14ac:dyDescent="0.9">
      <c r="A14" s="2" t="s">
        <v>374</v>
      </c>
      <c r="B14" s="2">
        <f t="shared" ref="B14:Q14" ca="1" si="23">SUM(B12,B13)</f>
        <v>1</v>
      </c>
      <c r="C14" s="2">
        <f t="shared" ca="1" si="23"/>
        <v>3</v>
      </c>
      <c r="D14" s="2">
        <f t="shared" ca="1" si="23"/>
        <v>7</v>
      </c>
      <c r="E14" s="2">
        <f t="shared" ca="1" si="23"/>
        <v>10</v>
      </c>
      <c r="F14" s="2">
        <f t="shared" ca="1" si="23"/>
        <v>6</v>
      </c>
      <c r="G14" s="2">
        <f t="shared" ca="1" si="23"/>
        <v>3</v>
      </c>
      <c r="H14" s="2">
        <f t="shared" ca="1" si="23"/>
        <v>9</v>
      </c>
      <c r="I14" s="2">
        <f t="shared" ca="1" si="23"/>
        <v>6</v>
      </c>
      <c r="J14" s="2">
        <f t="shared" ca="1" si="23"/>
        <v>5</v>
      </c>
      <c r="K14" s="2">
        <f t="shared" ca="1" si="23"/>
        <v>4</v>
      </c>
      <c r="L14" s="2">
        <f t="shared" ca="1" si="23"/>
        <v>5</v>
      </c>
      <c r="M14" s="2">
        <f t="shared" ca="1" si="23"/>
        <v>4</v>
      </c>
      <c r="N14" s="2">
        <f t="shared" ca="1" si="23"/>
        <v>6</v>
      </c>
      <c r="O14" s="2">
        <f t="shared" ca="1" si="23"/>
        <v>5</v>
      </c>
      <c r="P14" s="2">
        <f t="shared" ca="1" si="23"/>
        <v>9</v>
      </c>
      <c r="Q14" s="2">
        <f t="shared" ca="1" si="23"/>
        <v>4</v>
      </c>
      <c r="R14" s="2">
        <f ca="1">MIN($B14:$Q14)</f>
        <v>1</v>
      </c>
      <c r="S14" s="2">
        <f ca="1">MAX($B14:$Q14)</f>
        <v>10</v>
      </c>
      <c r="T14" s="9">
        <f ca="1">AVERAGE($B14:$Q14)</f>
        <v>5.4375</v>
      </c>
      <c r="U14" s="7">
        <f ca="1">_xlfn.STDEV.P(B14:Q14)</f>
        <v>2.3443749166888814</v>
      </c>
      <c r="V14" s="2">
        <f ca="1">SUM($B14:$Q14)</f>
        <v>87</v>
      </c>
      <c r="W14" s="3"/>
    </row>
    <row r="15" spans="1:23" ht="16.25" thickTop="1" thickBot="1" x14ac:dyDescent="0.9">
      <c r="A15" s="2" t="s">
        <v>375</v>
      </c>
      <c r="B15" s="3">
        <f t="shared" ref="B15:Q15" ca="1" si="24">IF(B2&lt;&gt;0,B12*6/B2,"")</f>
        <v>8.3217753120665733E-2</v>
      </c>
      <c r="C15" s="3">
        <f t="shared" ca="1" si="24"/>
        <v>0.20761245674740483</v>
      </c>
      <c r="D15" s="3">
        <f t="shared" ca="1" si="24"/>
        <v>0.2640845070422535</v>
      </c>
      <c r="E15" s="3">
        <f t="shared" ca="1" si="24"/>
        <v>0.37795275590551186</v>
      </c>
      <c r="F15" s="3">
        <f t="shared" ca="1" si="24"/>
        <v>0.33834586466165412</v>
      </c>
      <c r="G15" s="3">
        <f t="shared" ca="1" si="24"/>
        <v>0.23047375160051214</v>
      </c>
      <c r="H15" s="3">
        <f t="shared" ca="1" si="24"/>
        <v>0.38270729978738494</v>
      </c>
      <c r="I15" s="3">
        <f t="shared" ca="1" si="24"/>
        <v>0.26578073089700999</v>
      </c>
      <c r="J15" s="3">
        <f t="shared" ca="1" si="24"/>
        <v>0.35419126328217237</v>
      </c>
      <c r="K15" s="3">
        <f t="shared" ca="1" si="24"/>
        <v>0.18662519440124414</v>
      </c>
      <c r="L15" s="3">
        <f t="shared" ca="1" si="24"/>
        <v>0.30037546933667081</v>
      </c>
      <c r="M15" s="3">
        <f t="shared" ca="1" si="24"/>
        <v>0.18218623481781376</v>
      </c>
      <c r="N15" s="3">
        <f t="shared" ca="1" si="24"/>
        <v>0.15544041450777202</v>
      </c>
      <c r="O15" s="3">
        <f t="shared" ca="1" si="24"/>
        <v>0.13544018058690746</v>
      </c>
      <c r="P15" s="3">
        <f t="shared" ca="1" si="24"/>
        <v>0.28169014084507044</v>
      </c>
      <c r="Q15" s="3">
        <f t="shared" ca="1" si="24"/>
        <v>0.16589861751152071</v>
      </c>
      <c r="R15" s="3">
        <f t="shared" ref="R15" ca="1" si="25">MIN($B15:$Q15)</f>
        <v>8.3217753120665733E-2</v>
      </c>
      <c r="S15" s="3">
        <f t="shared" ref="S15" ca="1" si="26">MAX($B15:$Q15)</f>
        <v>0.38270729978738494</v>
      </c>
      <c r="T15" s="3">
        <f ca="1">IF(T2&lt;&gt;0,T12*6/T2,"")</f>
        <v>0.25557404326123129</v>
      </c>
      <c r="U15" s="7"/>
      <c r="V15" s="3"/>
      <c r="W15" s="2"/>
    </row>
    <row r="16" spans="1:23" ht="16.25" thickTop="1" thickBot="1" x14ac:dyDescent="0.9">
      <c r="A16" s="2" t="s">
        <v>378</v>
      </c>
      <c r="B16" s="3">
        <f t="shared" ref="B16:Q16" ca="1" si="27">IF(B2&lt;&gt;0,1-(B12*6/B2),"")</f>
        <v>0.91678224687933429</v>
      </c>
      <c r="C16" s="3">
        <f t="shared" ca="1" si="27"/>
        <v>0.79238754325259519</v>
      </c>
      <c r="D16" s="3">
        <f t="shared" ca="1" si="27"/>
        <v>0.7359154929577465</v>
      </c>
      <c r="E16" s="3">
        <f t="shared" ca="1" si="27"/>
        <v>0.62204724409448819</v>
      </c>
      <c r="F16" s="3">
        <f t="shared" ca="1" si="27"/>
        <v>0.66165413533834583</v>
      </c>
      <c r="G16" s="3">
        <f t="shared" ca="1" si="27"/>
        <v>0.7695262483994878</v>
      </c>
      <c r="H16" s="3">
        <f t="shared" ca="1" si="27"/>
        <v>0.61729270021261506</v>
      </c>
      <c r="I16" s="3">
        <f t="shared" ca="1" si="27"/>
        <v>0.73421926910299007</v>
      </c>
      <c r="J16" s="3">
        <f t="shared" ca="1" si="27"/>
        <v>0.64580873671782757</v>
      </c>
      <c r="K16" s="3">
        <f t="shared" ca="1" si="27"/>
        <v>0.81337480559875586</v>
      </c>
      <c r="L16" s="3">
        <f t="shared" ca="1" si="27"/>
        <v>0.69962453066332919</v>
      </c>
      <c r="M16" s="3">
        <f t="shared" ca="1" si="27"/>
        <v>0.81781376518218618</v>
      </c>
      <c r="N16" s="3">
        <f t="shared" ca="1" si="27"/>
        <v>0.84455958549222798</v>
      </c>
      <c r="O16" s="3">
        <f t="shared" ca="1" si="27"/>
        <v>0.86455981941309257</v>
      </c>
      <c r="P16" s="3">
        <f t="shared" ca="1" si="27"/>
        <v>0.71830985915492951</v>
      </c>
      <c r="Q16" s="3">
        <f t="shared" ca="1" si="27"/>
        <v>0.83410138248847931</v>
      </c>
      <c r="R16" s="3">
        <f ca="1">MIN($B16:$Q16)</f>
        <v>0.61729270021261506</v>
      </c>
      <c r="S16" s="3">
        <f ca="1">MAX($B16:$Q16)</f>
        <v>0.91678224687933429</v>
      </c>
      <c r="T16" s="3">
        <f ca="1">IF(T2&lt;&gt;0,1-(T12*6/T2),"")</f>
        <v>0.74442595673876877</v>
      </c>
      <c r="U16" s="7"/>
      <c r="V16" s="5"/>
      <c r="W16" s="3"/>
    </row>
    <row r="17" spans="1:23" ht="16.25" thickTop="1" thickBot="1" x14ac:dyDescent="0.9">
      <c r="A17" s="2" t="s">
        <v>376</v>
      </c>
      <c r="B17" s="3">
        <f t="shared" ref="B17:Q17" ca="1" si="28">IF(B3&lt;&gt;0,B13*6/B3,"")</f>
        <v>0</v>
      </c>
      <c r="C17" s="3">
        <f t="shared" ca="1" si="28"/>
        <v>0</v>
      </c>
      <c r="D17" s="3">
        <f t="shared" ca="1" si="28"/>
        <v>0.36144578313253017</v>
      </c>
      <c r="E17" s="3">
        <f t="shared" ca="1" si="28"/>
        <v>0.26258205689277897</v>
      </c>
      <c r="F17" s="3">
        <f t="shared" ca="1" si="28"/>
        <v>0</v>
      </c>
      <c r="G17" s="3" t="str">
        <f t="shared" ca="1" si="28"/>
        <v/>
      </c>
      <c r="H17" s="3">
        <f t="shared" ca="1" si="28"/>
        <v>0</v>
      </c>
      <c r="I17" s="3">
        <f t="shared" ca="1" si="28"/>
        <v>0.39867109634551495</v>
      </c>
      <c r="J17" s="3">
        <f t="shared" ca="1" si="28"/>
        <v>0</v>
      </c>
      <c r="K17" s="3">
        <f t="shared" ca="1" si="28"/>
        <v>0.32520325203252032</v>
      </c>
      <c r="L17" s="3">
        <f t="shared" ca="1" si="28"/>
        <v>0.19292604501607716</v>
      </c>
      <c r="M17" s="3">
        <f t="shared" ca="1" si="28"/>
        <v>0.20477815699658702</v>
      </c>
      <c r="N17" s="3">
        <f t="shared" ca="1" si="28"/>
        <v>0.41739130434782601</v>
      </c>
      <c r="O17" s="3">
        <f t="shared" ca="1" si="28"/>
        <v>0.27565084226646247</v>
      </c>
      <c r="P17" s="3">
        <f t="shared" ca="1" si="28"/>
        <v>0.4021447721179624</v>
      </c>
      <c r="Q17" s="3">
        <f t="shared" ca="1" si="28"/>
        <v>0.13186813186813187</v>
      </c>
      <c r="R17" s="5">
        <f ca="1">MIN($B17:$Q17)</f>
        <v>0</v>
      </c>
      <c r="S17" s="5">
        <f ca="1">MAX($B17:$Q17)</f>
        <v>0.41739130434782601</v>
      </c>
      <c r="T17" s="3">
        <f ca="1">IF(T3&lt;&gt;0,T13*6/T3,"")</f>
        <v>0.24029253003656628</v>
      </c>
      <c r="U17" s="7"/>
      <c r="V17" s="5"/>
      <c r="W17" s="3"/>
    </row>
    <row r="18" spans="1:23" ht="16.25" thickTop="1" thickBot="1" x14ac:dyDescent="0.9">
      <c r="A18" s="2" t="s">
        <v>379</v>
      </c>
      <c r="B18" s="3">
        <f t="shared" ref="B18:Q18" ca="1" si="29">IF(B3&lt;&gt;0,1-(B13*6/B3),"")</f>
        <v>1</v>
      </c>
      <c r="C18" s="3">
        <f t="shared" ca="1" si="29"/>
        <v>1</v>
      </c>
      <c r="D18" s="3">
        <f t="shared" ca="1" si="29"/>
        <v>0.63855421686746983</v>
      </c>
      <c r="E18" s="3">
        <f t="shared" ca="1" si="29"/>
        <v>0.73741794310722097</v>
      </c>
      <c r="F18" s="3">
        <f t="shared" ca="1" si="29"/>
        <v>1</v>
      </c>
      <c r="G18" s="3" t="str">
        <f t="shared" ca="1" si="29"/>
        <v/>
      </c>
      <c r="H18" s="3">
        <f t="shared" ca="1" si="29"/>
        <v>1</v>
      </c>
      <c r="I18" s="3">
        <f t="shared" ca="1" si="29"/>
        <v>0.6013289036544851</v>
      </c>
      <c r="J18" s="3">
        <f t="shared" ca="1" si="29"/>
        <v>1</v>
      </c>
      <c r="K18" s="3">
        <f t="shared" ca="1" si="29"/>
        <v>0.67479674796747968</v>
      </c>
      <c r="L18" s="3">
        <f t="shared" ca="1" si="29"/>
        <v>0.80707395498392287</v>
      </c>
      <c r="M18" s="3">
        <f t="shared" ca="1" si="29"/>
        <v>0.79522184300341303</v>
      </c>
      <c r="N18" s="3">
        <f t="shared" ca="1" si="29"/>
        <v>0.58260869565217399</v>
      </c>
      <c r="O18" s="3">
        <f t="shared" ca="1" si="29"/>
        <v>0.72434915773353747</v>
      </c>
      <c r="P18" s="3">
        <f t="shared" ca="1" si="29"/>
        <v>0.5978552278820376</v>
      </c>
      <c r="Q18" s="3">
        <f t="shared" ca="1" si="29"/>
        <v>0.86813186813186816</v>
      </c>
      <c r="R18" s="5">
        <f ca="1">MIN($B18:$Q18)</f>
        <v>0.58260869565217399</v>
      </c>
      <c r="S18" s="5">
        <f ca="1">MAX($B18:$Q18)</f>
        <v>1</v>
      </c>
      <c r="T18" s="3">
        <f ca="1">IF(T3&lt;&gt;0,1-(T13*6/T3),"")</f>
        <v>0.75970746996343375</v>
      </c>
      <c r="U18" s="7"/>
      <c r="V18" s="5"/>
      <c r="W18" s="2"/>
    </row>
    <row r="19" spans="1:23" ht="16.5" customHeight="1" thickTop="1" thickBot="1" x14ac:dyDescent="0.9">
      <c r="A19" s="2" t="s">
        <v>377</v>
      </c>
      <c r="B19" s="3">
        <f t="shared" ref="B19:Q19" ca="1" si="30">IF(B4&lt;&gt;0,B14*6/B4,"")</f>
        <v>6.5430752453653207E-2</v>
      </c>
      <c r="C19" s="3">
        <f t="shared" ca="1" si="30"/>
        <v>0.16216216216216217</v>
      </c>
      <c r="D19" s="3">
        <f t="shared" ca="1" si="30"/>
        <v>0.28610354223433238</v>
      </c>
      <c r="E19" s="3">
        <f t="shared" ca="1" si="30"/>
        <v>0.34742327735958312</v>
      </c>
      <c r="F19" s="3">
        <f t="shared" ca="1" si="30"/>
        <v>0.29126213592233008</v>
      </c>
      <c r="G19" s="3">
        <f t="shared" ca="1" si="30"/>
        <v>0.23047375160051214</v>
      </c>
      <c r="H19" s="3">
        <f t="shared" ca="1" si="30"/>
        <v>0.30371203599550062</v>
      </c>
      <c r="I19" s="3">
        <f t="shared" ca="1" si="30"/>
        <v>0.29900332225913617</v>
      </c>
      <c r="J19" s="3">
        <f t="shared" ca="1" si="30"/>
        <v>0.26785714285714285</v>
      </c>
      <c r="K19" s="3">
        <f t="shared" ca="1" si="30"/>
        <v>0.23715415019762842</v>
      </c>
      <c r="L19" s="3">
        <f t="shared" ca="1" si="30"/>
        <v>0.27027027027027029</v>
      </c>
      <c r="M19" s="3">
        <f t="shared" ca="1" si="30"/>
        <v>0.18735362997658081</v>
      </c>
      <c r="N19" s="3">
        <f t="shared" ca="1" si="30"/>
        <v>0.26726057906458794</v>
      </c>
      <c r="O19" s="3">
        <f t="shared" ca="1" si="30"/>
        <v>0.19493177387914232</v>
      </c>
      <c r="P19" s="3">
        <f t="shared" ca="1" si="30"/>
        <v>0.33792240300375465</v>
      </c>
      <c r="Q19" s="3">
        <f t="shared" ca="1" si="30"/>
        <v>0.15584415584415584</v>
      </c>
      <c r="R19" s="5">
        <f ca="1">MIN($B19:$Q19)</f>
        <v>6.5430752453653207E-2</v>
      </c>
      <c r="S19" s="5">
        <f ca="1">MAX($B19:$Q19)</f>
        <v>0.34742327735958312</v>
      </c>
      <c r="T19" s="3">
        <f ca="1">IF(T4&lt;&gt;0,T14*6/T4,"")</f>
        <v>0.25134822804314327</v>
      </c>
      <c r="U19" s="7"/>
      <c r="V19" s="5"/>
      <c r="W19" s="2"/>
    </row>
    <row r="20" spans="1:23" ht="16.25" thickTop="1" thickBot="1" x14ac:dyDescent="0.9">
      <c r="A20" s="2" t="s">
        <v>380</v>
      </c>
      <c r="B20" s="3">
        <f t="shared" ref="B20:Q20" ca="1" si="31">IF(B4&lt;&gt;0,1-(B14*6/B4),"")</f>
        <v>0.93456924754634674</v>
      </c>
      <c r="C20" s="3">
        <f t="shared" ca="1" si="31"/>
        <v>0.83783783783783783</v>
      </c>
      <c r="D20" s="3">
        <f t="shared" ca="1" si="31"/>
        <v>0.71389645776566768</v>
      </c>
      <c r="E20" s="3">
        <f t="shared" ca="1" si="31"/>
        <v>0.65257672264041688</v>
      </c>
      <c r="F20" s="3">
        <f t="shared" ca="1" si="31"/>
        <v>0.70873786407766992</v>
      </c>
      <c r="G20" s="3">
        <f t="shared" ca="1" si="31"/>
        <v>0.7695262483994878</v>
      </c>
      <c r="H20" s="3">
        <f t="shared" ca="1" si="31"/>
        <v>0.69628796400449944</v>
      </c>
      <c r="I20" s="3">
        <f t="shared" ca="1" si="31"/>
        <v>0.70099667774086383</v>
      </c>
      <c r="J20" s="3">
        <f t="shared" ca="1" si="31"/>
        <v>0.73214285714285721</v>
      </c>
      <c r="K20" s="3">
        <f t="shared" ca="1" si="31"/>
        <v>0.76284584980237158</v>
      </c>
      <c r="L20" s="3">
        <f t="shared" ca="1" si="31"/>
        <v>0.72972972972972971</v>
      </c>
      <c r="M20" s="3">
        <f t="shared" ca="1" si="31"/>
        <v>0.81264637002341922</v>
      </c>
      <c r="N20" s="3">
        <f t="shared" ca="1" si="31"/>
        <v>0.73273942093541211</v>
      </c>
      <c r="O20" s="3">
        <f t="shared" ca="1" si="31"/>
        <v>0.80506822612085771</v>
      </c>
      <c r="P20" s="3">
        <f t="shared" ca="1" si="31"/>
        <v>0.66207759699624535</v>
      </c>
      <c r="Q20" s="3">
        <f t="shared" ca="1" si="31"/>
        <v>0.8441558441558441</v>
      </c>
      <c r="R20" s="5">
        <f ca="1">MIN($B20:$Q20)</f>
        <v>0.65257672264041688</v>
      </c>
      <c r="S20" s="5">
        <f ca="1">MAX($B20:$Q20)</f>
        <v>0.93456924754634674</v>
      </c>
      <c r="T20" s="3">
        <f ca="1">IF(T4&lt;&gt;0,1-(T14*6/T4),"")</f>
        <v>0.74865177195685673</v>
      </c>
      <c r="U20" s="7"/>
      <c r="V20" s="5"/>
      <c r="W20" s="3"/>
    </row>
    <row r="21" spans="1:23" ht="16.25" thickTop="1" thickBot="1" x14ac:dyDescent="0.9"/>
    <row r="22" spans="1:23" ht="16.25" thickTop="1" thickBot="1" x14ac:dyDescent="0.9">
      <c r="A22" s="6" t="s">
        <v>356</v>
      </c>
      <c r="B22" s="2" t="s">
        <v>338</v>
      </c>
      <c r="C22" s="2" t="s">
        <v>339</v>
      </c>
      <c r="D22" s="2" t="s">
        <v>340</v>
      </c>
      <c r="E22" s="2" t="s">
        <v>341</v>
      </c>
      <c r="F22" s="2" t="s">
        <v>342</v>
      </c>
      <c r="G22" s="2" t="s">
        <v>343</v>
      </c>
      <c r="H22" s="2" t="s">
        <v>344</v>
      </c>
      <c r="I22" s="2" t="s">
        <v>345</v>
      </c>
      <c r="J22" s="2" t="s">
        <v>346</v>
      </c>
      <c r="K22" s="2" t="s">
        <v>347</v>
      </c>
      <c r="L22" s="2" t="s">
        <v>348</v>
      </c>
      <c r="M22" s="2" t="s">
        <v>349</v>
      </c>
      <c r="N22" s="2" t="s">
        <v>350</v>
      </c>
      <c r="O22" s="2" t="s">
        <v>351</v>
      </c>
      <c r="P22" s="2" t="s">
        <v>352</v>
      </c>
      <c r="Q22" s="2" t="s">
        <v>353</v>
      </c>
      <c r="R22" s="11" t="s">
        <v>85</v>
      </c>
      <c r="S22" s="11" t="s">
        <v>366</v>
      </c>
      <c r="T22" s="11" t="s">
        <v>368</v>
      </c>
      <c r="U22" s="11" t="s">
        <v>369</v>
      </c>
      <c r="V22" s="11" t="s">
        <v>367</v>
      </c>
      <c r="W22" s="11" t="s">
        <v>370</v>
      </c>
    </row>
    <row r="23" spans="1:23" ht="16.25" thickTop="1" thickBot="1" x14ac:dyDescent="0.9">
      <c r="A23" s="2" t="s">
        <v>14</v>
      </c>
      <c r="B23" s="2">
        <f t="array" aca="1" ref="B23" ca="1">INDIRECT("Summary!"&amp;ADDRESS(3,SMALL(IF(Summary!$A$2:$CS$2="Points",COLUMN(Summary!$A$2:$CS$2)-MIN(COLUMN(Summary!$A$2:$CS$2))+1),INT(MID(B$22,FIND(" ",B$22),LEN(B$22)-FIND(" ",B$22)+1)))))</f>
        <v>10.9</v>
      </c>
      <c r="C23" s="2">
        <f t="array" aca="1" ref="C23" ca="1">INDIRECT("Summary!"&amp;ADDRESS(3,SMALL(IF(Summary!$A$2:$CS$2="Points",COLUMN(Summary!$A$2:$CS$2)-MIN(COLUMN(Summary!$A$2:$CS$2))+1),INT(MID(C$22,FIND(" ",C$22),LEN(C$22)-FIND(" ",C$22)+1)))))</f>
        <v>12.9</v>
      </c>
      <c r="D23" s="2">
        <f t="array" aca="1" ref="D23" ca="1">INDIRECT("Summary!"&amp;ADDRESS(3,SMALL(IF(Summary!$A$2:$CS$2="Points",COLUMN(Summary!$A$2:$CS$2)-MIN(COLUMN(Summary!$A$2:$CS$2))+1),INT(MID(D$22,FIND(" ",D$22),LEN(D$22)-FIND(" ",D$22)+1)))))</f>
        <v>13.7</v>
      </c>
      <c r="E23" s="2">
        <f t="array" aca="1" ref="E23" ca="1">INDIRECT("Summary!"&amp;ADDRESS(3,SMALL(IF(Summary!$A$2:$CS$2="Points",COLUMN(Summary!$A$2:$CS$2)-MIN(COLUMN(Summary!$A$2:$CS$2))+1),INT(MID(E$22,FIND(" ",E$22),LEN(E$22)-FIND(" ",E$22)+1)))))</f>
        <v>36.299999999999997</v>
      </c>
      <c r="F23" s="2">
        <f t="array" aca="1" ref="F23" ca="1">INDIRECT("Summary!"&amp;ADDRESS(3,SMALL(IF(Summary!$A$2:$CS$2="Points",COLUMN(Summary!$A$2:$CS$2)-MIN(COLUMN(Summary!$A$2:$CS$2))+1),INT(MID(F$22,FIND(" ",F$22),LEN(F$22)-FIND(" ",F$22)+1)))))</f>
        <v>45.5</v>
      </c>
      <c r="G23" s="2">
        <f t="array" aca="1" ref="G23" ca="1">INDIRECT("Summary!"&amp;ADDRESS(3,SMALL(IF(Summary!$A$2:$CS$2="Points",COLUMN(Summary!$A$2:$CS$2)-MIN(COLUMN(Summary!$A$2:$CS$2))+1),INT(MID(G$22,FIND(" ",G$22),LEN(G$22)-FIND(" ",G$22)+1)))))</f>
        <v>13.9</v>
      </c>
      <c r="H23" s="2">
        <f t="array" aca="1" ref="H23" ca="1">INDIRECT("Summary!"&amp;ADDRESS(3,SMALL(IF(Summary!$A$2:$CS$2="Points",COLUMN(Summary!$A$2:$CS$2)-MIN(COLUMN(Summary!$A$2:$CS$2))+1),INT(MID(H$22,FIND(" ",H$22),LEN(H$22)-FIND(" ",H$22)+1)))))</f>
        <v>19</v>
      </c>
      <c r="I23" s="2">
        <f t="array" aca="1" ref="I23" ca="1">INDIRECT("Summary!"&amp;ADDRESS(3,SMALL(IF(Summary!$A$2:$CS$2="Points",COLUMN(Summary!$A$2:$CS$2)-MIN(COLUMN(Summary!$A$2:$CS$2))+1),INT(MID(I$22,FIND(" ",I$22),LEN(I$22)-FIND(" ",I$22)+1)))))</f>
        <v>19.899999999999999</v>
      </c>
      <c r="J23" s="2">
        <f t="array" aca="1" ref="J23" ca="1">INDIRECT("Summary!"&amp;ADDRESS(3,SMALL(IF(Summary!$A$2:$CS$2="Points",COLUMN(Summary!$A$2:$CS$2)-MIN(COLUMN(Summary!$A$2:$CS$2))+1),INT(MID(J$22,FIND(" ",J$22),LEN(J$22)-FIND(" ",J$22)+1)))))</f>
        <v>22.4</v>
      </c>
      <c r="K23" s="2">
        <f t="array" aca="1" ref="K23" ca="1">INDIRECT("Summary!"&amp;ADDRESS(3,SMALL(IF(Summary!$A$2:$CS$2="Points",COLUMN(Summary!$A$2:$CS$2)-MIN(COLUMN(Summary!$A$2:$CS$2))+1),INT(MID(K$22,FIND(" ",K$22),LEN(K$22)-FIND(" ",K$22)+1)))))</f>
        <v>18.600000000000001</v>
      </c>
      <c r="L23" s="2">
        <f t="array" aca="1" ref="L23" ca="1">INDIRECT("Summary!"&amp;ADDRESS(3,SMALL(IF(Summary!$A$2:$CS$2="Points",COLUMN(Summary!$A$2:$CS$2)-MIN(COLUMN(Summary!$A$2:$CS$2))+1),INT(MID(L$22,FIND(" ",L$22),LEN(L$22)-FIND(" ",L$22)+1)))))</f>
        <v>21</v>
      </c>
      <c r="M23" s="2">
        <f t="array" aca="1" ref="M23" ca="1">INDIRECT("Summary!"&amp;ADDRESS(3,SMALL(IF(Summary!$A$2:$CS$2="Points",COLUMN(Summary!$A$2:$CS$2)-MIN(COLUMN(Summary!$A$2:$CS$2))+1),INT(MID(M$22,FIND(" ",M$22),LEN(M$22)-FIND(" ",M$22)+1)))))</f>
        <v>18.8</v>
      </c>
      <c r="N23" s="2">
        <f t="array" aca="1" ref="N23" ca="1">INDIRECT("Summary!"&amp;ADDRESS(3,SMALL(IF(Summary!$A$2:$CS$2="Points",COLUMN(Summary!$A$2:$CS$2)-MIN(COLUMN(Summary!$A$2:$CS$2))+1),INT(MID(N$22,FIND(" ",N$22),LEN(N$22)-FIND(" ",N$22)+1)))))</f>
        <v>7</v>
      </c>
      <c r="O23" s="2">
        <f t="array" aca="1" ref="O23" ca="1">INDIRECT("Summary!"&amp;ADDRESS(3,SMALL(IF(Summary!$A$2:$CS$2="Points",COLUMN(Summary!$A$2:$CS$2)-MIN(COLUMN(Summary!$A$2:$CS$2))+1),INT(MID(O$22,FIND(" ",O$22),LEN(O$22)-FIND(" ",O$22)+1)))))</f>
        <v>8.8000000000000007</v>
      </c>
      <c r="P23" s="2">
        <f t="array" aca="1" ref="P23" ca="1">INDIRECT("Summary!"&amp;ADDRESS(3,SMALL(IF(Summary!$A$2:$CS$2="Points",COLUMN(Summary!$A$2:$CS$2)-MIN(COLUMN(Summary!$A$2:$CS$2))+1),INT(MID(P$22,FIND(" ",P$22),LEN(P$22)-FIND(" ",P$22)+1)))))</f>
        <v>27.9</v>
      </c>
      <c r="Q23" s="2">
        <f t="array" aca="1" ref="Q23" ca="1">INDIRECT("Summary!"&amp;ADDRESS(3,SMALL(IF(Summary!$A$2:$CS$2="Points",COLUMN(Summary!$A$2:$CS$2)-MIN(COLUMN(Summary!$A$2:$CS$2))+1),INT(MID(Q$22,FIND(" ",Q$22),LEN(Q$22)-FIND(" ",Q$22)+1)))))</f>
        <v>15.3</v>
      </c>
      <c r="R23" s="2">
        <f ca="1">MIN($B23:$Q23)</f>
        <v>7</v>
      </c>
      <c r="S23" s="2">
        <f ca="1">MAX($B23:$Q23)</f>
        <v>45.5</v>
      </c>
      <c r="T23" s="8">
        <f ca="1">AVERAGE($B23:$Q23)</f>
        <v>19.493749999999999</v>
      </c>
      <c r="U23" s="7">
        <f ca="1">_xlfn.STDEV.P(B23:Q23)</f>
        <v>9.7213340616141775</v>
      </c>
      <c r="V23" s="2">
        <f ca="1">SUM($B23:$Q23)</f>
        <v>311.89999999999998</v>
      </c>
      <c r="W23" s="3">
        <f t="shared" ref="W23:W30" ca="1" si="32">V23/SUM($V$23:$V$30)</f>
        <v>0.20758735440931778</v>
      </c>
    </row>
    <row r="24" spans="1:23" ht="16.25" thickTop="1" thickBot="1" x14ac:dyDescent="0.9">
      <c r="A24" s="2" t="s">
        <v>19</v>
      </c>
      <c r="B24" s="2">
        <f t="array" aca="1" ref="B24" ca="1">INDIRECT("Summary!"&amp;ADDRESS(4,SMALL(IF(Summary!$A$2:$CS$2="Points",COLUMN(Summary!$A$2:$CS$2)-MIN(COLUMN(Summary!$A$2:$CS$2))+1),INT(MID(B$22,FIND(" ",B$22),LEN(B$22)-FIND(" ",B$22)+1)))))</f>
        <v>16.5</v>
      </c>
      <c r="C24" s="2">
        <f t="array" aca="1" ref="C24" ca="1">INDIRECT("Summary!"&amp;ADDRESS(4,SMALL(IF(Summary!$A$2:$CS$2="Points",COLUMN(Summary!$A$2:$CS$2)-MIN(COLUMN(Summary!$A$2:$CS$2))+1),INT(MID(C$22,FIND(" ",C$22),LEN(C$22)-FIND(" ",C$22)+1)))))</f>
        <v>4.2</v>
      </c>
      <c r="D24" s="2">
        <f t="array" aca="1" ref="D24" ca="1">INDIRECT("Summary!"&amp;ADDRESS(4,SMALL(IF(Summary!$A$2:$CS$2="Points",COLUMN(Summary!$A$2:$CS$2)-MIN(COLUMN(Summary!$A$2:$CS$2))+1),INT(MID(D$22,FIND(" ",D$22),LEN(D$22)-FIND(" ",D$22)+1)))))</f>
        <v>16.899999999999999</v>
      </c>
      <c r="E24" s="2">
        <f t="array" aca="1" ref="E24" ca="1">INDIRECT("Summary!"&amp;ADDRESS(4,SMALL(IF(Summary!$A$2:$CS$2="Points",COLUMN(Summary!$A$2:$CS$2)-MIN(COLUMN(Summary!$A$2:$CS$2))+1),INT(MID(E$22,FIND(" ",E$22),LEN(E$22)-FIND(" ",E$22)+1)))))</f>
        <v>27.9</v>
      </c>
      <c r="F24" s="2">
        <f t="array" aca="1" ref="F24" ca="1">INDIRECT("Summary!"&amp;ADDRESS(4,SMALL(IF(Summary!$A$2:$CS$2="Points",COLUMN(Summary!$A$2:$CS$2)-MIN(COLUMN(Summary!$A$2:$CS$2))+1),INT(MID(F$22,FIND(" ",F$22),LEN(F$22)-FIND(" ",F$22)+1)))))</f>
        <v>13.7</v>
      </c>
      <c r="G24" s="2">
        <f t="array" aca="1" ref="G24" ca="1">INDIRECT("Summary!"&amp;ADDRESS(4,SMALL(IF(Summary!$A$2:$CS$2="Points",COLUMN(Summary!$A$2:$CS$2)-MIN(COLUMN(Summary!$A$2:$CS$2))+1),INT(MID(G$22,FIND(" ",G$22),LEN(G$22)-FIND(" ",G$22)+1)))))</f>
        <v>8.3000000000000007</v>
      </c>
      <c r="H24" s="2">
        <f t="array" aca="1" ref="H24" ca="1">INDIRECT("Summary!"&amp;ADDRESS(4,SMALL(IF(Summary!$A$2:$CS$2="Points",COLUMN(Summary!$A$2:$CS$2)-MIN(COLUMN(Summary!$A$2:$CS$2))+1),INT(MID(H$22,FIND(" ",H$22),LEN(H$22)-FIND(" ",H$22)+1)))))</f>
        <v>40.4</v>
      </c>
      <c r="I24" s="2">
        <f t="array" aca="1" ref="I24" ca="1">INDIRECT("Summary!"&amp;ADDRESS(4,SMALL(IF(Summary!$A$2:$CS$2="Points",COLUMN(Summary!$A$2:$CS$2)-MIN(COLUMN(Summary!$A$2:$CS$2))+1),INT(MID(I$22,FIND(" ",I$22),LEN(I$22)-FIND(" ",I$22)+1)))))</f>
        <v>25.9</v>
      </c>
      <c r="J24" s="2">
        <f t="array" aca="1" ref="J24" ca="1">INDIRECT("Summary!"&amp;ADDRESS(4,SMALL(IF(Summary!$A$2:$CS$2="Points",COLUMN(Summary!$A$2:$CS$2)-MIN(COLUMN(Summary!$A$2:$CS$2))+1),INT(MID(J$22,FIND(" ",J$22),LEN(J$22)-FIND(" ",J$22)+1)))))</f>
        <v>15.3</v>
      </c>
      <c r="K24" s="2">
        <f t="array" aca="1" ref="K24" ca="1">INDIRECT("Summary!"&amp;ADDRESS(4,SMALL(IF(Summary!$A$2:$CS$2="Points",COLUMN(Summary!$A$2:$CS$2)-MIN(COLUMN(Summary!$A$2:$CS$2))+1),INT(MID(K$22,FIND(" ",K$22),LEN(K$22)-FIND(" ",K$22)+1)))))</f>
        <v>11.8</v>
      </c>
      <c r="L24" s="2">
        <f t="array" aca="1" ref="L24" ca="1">INDIRECT("Summary!"&amp;ADDRESS(4,SMALL(IF(Summary!$A$2:$CS$2="Points",COLUMN(Summary!$A$2:$CS$2)-MIN(COLUMN(Summary!$A$2:$CS$2))+1),INT(MID(L$22,FIND(" ",L$22),LEN(L$22)-FIND(" ",L$22)+1)))))</f>
        <v>16</v>
      </c>
      <c r="M24" s="2">
        <f t="array" aca="1" ref="M24" ca="1">INDIRECT("Summary!"&amp;ADDRESS(4,SMALL(IF(Summary!$A$2:$CS$2="Points",COLUMN(Summary!$A$2:$CS$2)-MIN(COLUMN(Summary!$A$2:$CS$2))+1),INT(MID(M$22,FIND(" ",M$22),LEN(M$22)-FIND(" ",M$22)+1)))))</f>
        <v>5.4</v>
      </c>
      <c r="N24" s="2">
        <f t="array" aca="1" ref="N24" ca="1">INDIRECT("Summary!"&amp;ADDRESS(4,SMALL(IF(Summary!$A$2:$CS$2="Points",COLUMN(Summary!$A$2:$CS$2)-MIN(COLUMN(Summary!$A$2:$CS$2))+1),INT(MID(N$22,FIND(" ",N$22),LEN(N$22)-FIND(" ",N$22)+1)))))</f>
        <v>21.6</v>
      </c>
      <c r="O24" s="2">
        <f t="array" aca="1" ref="O24" ca="1">INDIRECT("Summary!"&amp;ADDRESS(4,SMALL(IF(Summary!$A$2:$CS$2="Points",COLUMN(Summary!$A$2:$CS$2)-MIN(COLUMN(Summary!$A$2:$CS$2))+1),INT(MID(O$22,FIND(" ",O$22),LEN(O$22)-FIND(" ",O$22)+1)))))</f>
        <v>7.2</v>
      </c>
      <c r="P24" s="2">
        <f t="array" aca="1" ref="P24" ca="1">INDIRECT("Summary!"&amp;ADDRESS(4,SMALL(IF(Summary!$A$2:$CS$2="Points",COLUMN(Summary!$A$2:$CS$2)-MIN(COLUMN(Summary!$A$2:$CS$2))+1),INT(MID(P$22,FIND(" ",P$22),LEN(P$22)-FIND(" ",P$22)+1)))))</f>
        <v>20.3</v>
      </c>
      <c r="Q24" s="2">
        <f t="array" aca="1" ref="Q24" ca="1">INDIRECT("Summary!"&amp;ADDRESS(4,SMALL(IF(Summary!$A$2:$CS$2="Points",COLUMN(Summary!$A$2:$CS$2)-MIN(COLUMN(Summary!$A$2:$CS$2))+1),INT(MID(Q$22,FIND(" ",Q$22),LEN(Q$22)-FIND(" ",Q$22)+1)))))</f>
        <v>13.8</v>
      </c>
      <c r="R24" s="2">
        <f t="shared" ref="R24:R30" ca="1" si="33">MIN($B24:$Q24)</f>
        <v>4.2</v>
      </c>
      <c r="S24" s="2">
        <f t="shared" ref="S24:S30" ca="1" si="34">MAX($B24:$Q24)</f>
        <v>40.4</v>
      </c>
      <c r="T24" s="8">
        <f t="shared" ref="T24:T30" ca="1" si="35">AVERAGE($B24:$Q24)</f>
        <v>16.575000000000003</v>
      </c>
      <c r="U24" s="7">
        <f t="shared" ref="U24:U30" ca="1" si="36">_xlfn.STDEV.P(B24:Q24)</f>
        <v>9.0041309963815976</v>
      </c>
      <c r="V24" s="2">
        <f t="shared" ref="V24:V30" ca="1" si="37">SUM($B24:$Q24)</f>
        <v>265.20000000000005</v>
      </c>
      <c r="W24" s="3">
        <f t="shared" ca="1" si="32"/>
        <v>0.17650582362728789</v>
      </c>
    </row>
    <row r="25" spans="1:23" ht="16.25" thickTop="1" thickBot="1" x14ac:dyDescent="0.9">
      <c r="A25" s="2" t="s">
        <v>24</v>
      </c>
      <c r="B25" s="2">
        <f t="array" aca="1" ref="B25" ca="1">INDIRECT("Summary!"&amp;ADDRESS(5,SMALL(IF(Summary!$A$2:$CS$2="Points",COLUMN(Summary!$A$2:$CS$2)-MIN(COLUMN(Summary!$A$2:$CS$2))+1),INT(MID(B$22,FIND(" ",B$22),LEN(B$22)-FIND(" ",B$22)+1)))))</f>
        <v>9.6</v>
      </c>
      <c r="C25" s="2">
        <f t="array" aca="1" ref="C25" ca="1">INDIRECT("Summary!"&amp;ADDRESS(5,SMALL(IF(Summary!$A$2:$CS$2="Points",COLUMN(Summary!$A$2:$CS$2)-MIN(COLUMN(Summary!$A$2:$CS$2))+1),INT(MID(C$22,FIND(" ",C$22),LEN(C$22)-FIND(" ",C$22)+1)))))</f>
        <v>7.4</v>
      </c>
      <c r="D25" s="2">
        <f t="array" aca="1" ref="D25" ca="1">INDIRECT("Summary!"&amp;ADDRESS(5,SMALL(IF(Summary!$A$2:$CS$2="Points",COLUMN(Summary!$A$2:$CS$2)-MIN(COLUMN(Summary!$A$2:$CS$2))+1),INT(MID(D$22,FIND(" ",D$22),LEN(D$22)-FIND(" ",D$22)+1)))))</f>
        <v>25.4</v>
      </c>
      <c r="E25" s="2">
        <f t="array" aca="1" ref="E25" ca="1">INDIRECT("Summary!"&amp;ADDRESS(5,SMALL(IF(Summary!$A$2:$CS$2="Points",COLUMN(Summary!$A$2:$CS$2)-MIN(COLUMN(Summary!$A$2:$CS$2))+1),INT(MID(E$22,FIND(" ",E$22),LEN(E$22)-FIND(" ",E$22)+1)))))</f>
        <v>11.9</v>
      </c>
      <c r="F25" s="2">
        <f t="array" aca="1" ref="F25" ca="1">INDIRECT("Summary!"&amp;ADDRESS(5,SMALL(IF(Summary!$A$2:$CS$2="Points",COLUMN(Summary!$A$2:$CS$2)-MIN(COLUMN(Summary!$A$2:$CS$2))+1),INT(MID(F$22,FIND(" ",F$22),LEN(F$22)-FIND(" ",F$22)+1)))))</f>
        <v>7.7</v>
      </c>
      <c r="G25" s="2">
        <f t="array" aca="1" ref="G25" ca="1">INDIRECT("Summary!"&amp;ADDRESS(5,SMALL(IF(Summary!$A$2:$CS$2="Points",COLUMN(Summary!$A$2:$CS$2)-MIN(COLUMN(Summary!$A$2:$CS$2))+1),INT(MID(G$22,FIND(" ",G$22),LEN(G$22)-FIND(" ",G$22)+1)))))</f>
        <v>2.2000000000000002</v>
      </c>
      <c r="H25" s="2">
        <f t="array" aca="1" ref="H25" ca="1">INDIRECT("Summary!"&amp;ADDRESS(5,SMALL(IF(Summary!$A$2:$CS$2="Points",COLUMN(Summary!$A$2:$CS$2)-MIN(COLUMN(Summary!$A$2:$CS$2))+1),INT(MID(H$22,FIND(" ",H$22),LEN(H$22)-FIND(" ",H$22)+1)))))</f>
        <v>8.6999999999999993</v>
      </c>
      <c r="I25" s="2">
        <f t="array" aca="1" ref="I25" ca="1">INDIRECT("Summary!"&amp;ADDRESS(5,SMALL(IF(Summary!$A$2:$CS$2="Points",COLUMN(Summary!$A$2:$CS$2)-MIN(COLUMN(Summary!$A$2:$CS$2))+1),INT(MID(I$22,FIND(" ",I$22),LEN(I$22)-FIND(" ",I$22)+1)))))</f>
        <v>6.4</v>
      </c>
      <c r="J25" s="2">
        <f t="array" aca="1" ref="J25" ca="1">INDIRECT("Summary!"&amp;ADDRESS(5,SMALL(IF(Summary!$A$2:$CS$2="Points",COLUMN(Summary!$A$2:$CS$2)-MIN(COLUMN(Summary!$A$2:$CS$2))+1),INT(MID(J$22,FIND(" ",J$22),LEN(J$22)-FIND(" ",J$22)+1)))))</f>
        <v>5.0999999999999996</v>
      </c>
      <c r="K25" s="2">
        <f t="array" aca="1" ref="K25" ca="1">INDIRECT("Summary!"&amp;ADDRESS(5,SMALL(IF(Summary!$A$2:$CS$2="Points",COLUMN(Summary!$A$2:$CS$2)-MIN(COLUMN(Summary!$A$2:$CS$2))+1),INT(MID(K$22,FIND(" ",K$22),LEN(K$22)-FIND(" ",K$22)+1)))))</f>
        <v>5.3</v>
      </c>
      <c r="L25" s="2">
        <f t="array" aca="1" ref="L25" ca="1">INDIRECT("Summary!"&amp;ADDRESS(5,SMALL(IF(Summary!$A$2:$CS$2="Points",COLUMN(Summary!$A$2:$CS$2)-MIN(COLUMN(Summary!$A$2:$CS$2))+1),INT(MID(L$22,FIND(" ",L$22),LEN(L$22)-FIND(" ",L$22)+1)))))</f>
        <v>1.9</v>
      </c>
      <c r="M25" s="2">
        <f t="array" aca="1" ref="M25" ca="1">INDIRECT("Summary!"&amp;ADDRESS(5,SMALL(IF(Summary!$A$2:$CS$2="Points",COLUMN(Summary!$A$2:$CS$2)-MIN(COLUMN(Summary!$A$2:$CS$2))+1),INT(MID(M$22,FIND(" ",M$22),LEN(M$22)-FIND(" ",M$22)+1)))))</f>
        <v>14.5</v>
      </c>
      <c r="N25" s="2">
        <f t="array" aca="1" ref="N25" ca="1">INDIRECT("Summary!"&amp;ADDRESS(5,SMALL(IF(Summary!$A$2:$CS$2="Points",COLUMN(Summary!$A$2:$CS$2)-MIN(COLUMN(Summary!$A$2:$CS$2))+1),INT(MID(N$22,FIND(" ",N$22),LEN(N$22)-FIND(" ",N$22)+1)))))</f>
        <v>8.4</v>
      </c>
      <c r="O25" s="2">
        <f t="array" aca="1" ref="O25" ca="1">INDIRECT("Summary!"&amp;ADDRESS(5,SMALL(IF(Summary!$A$2:$CS$2="Points",COLUMN(Summary!$A$2:$CS$2)-MIN(COLUMN(Summary!$A$2:$CS$2))+1),INT(MID(O$22,FIND(" ",O$22),LEN(O$22)-FIND(" ",O$22)+1)))))</f>
        <v>16</v>
      </c>
      <c r="P25" s="2">
        <f t="array" aca="1" ref="P25" ca="1">INDIRECT("Summary!"&amp;ADDRESS(5,SMALL(IF(Summary!$A$2:$CS$2="Points",COLUMN(Summary!$A$2:$CS$2)-MIN(COLUMN(Summary!$A$2:$CS$2))+1),INT(MID(P$22,FIND(" ",P$22),LEN(P$22)-FIND(" ",P$22)+1)))))</f>
        <v>7.6</v>
      </c>
      <c r="Q25" s="2">
        <f t="array" aca="1" ref="Q25" ca="1">INDIRECT("Summary!"&amp;ADDRESS(5,SMALL(IF(Summary!$A$2:$CS$2="Points",COLUMN(Summary!$A$2:$CS$2)-MIN(COLUMN(Summary!$A$2:$CS$2))+1),INT(MID(Q$22,FIND(" ",Q$22),LEN(Q$22)-FIND(" ",Q$22)+1)))))</f>
        <v>5.7</v>
      </c>
      <c r="R25" s="2">
        <f t="shared" ca="1" si="33"/>
        <v>1.9</v>
      </c>
      <c r="S25" s="2">
        <f t="shared" ca="1" si="34"/>
        <v>25.4</v>
      </c>
      <c r="T25" s="8">
        <f t="shared" ca="1" si="35"/>
        <v>8.9874999999999989</v>
      </c>
      <c r="U25" s="7">
        <f t="shared" ca="1" si="36"/>
        <v>5.6282629425072175</v>
      </c>
      <c r="V25" s="2">
        <f t="shared" ca="1" si="37"/>
        <v>143.79999999999998</v>
      </c>
      <c r="W25" s="3">
        <f t="shared" ca="1" si="32"/>
        <v>9.5707154742096498E-2</v>
      </c>
    </row>
    <row r="26" spans="1:23" ht="16.25" thickTop="1" thickBot="1" x14ac:dyDescent="0.9">
      <c r="A26" s="2" t="s">
        <v>28</v>
      </c>
      <c r="B26" s="2">
        <f t="array" aca="1" ref="B26" ca="1">INDIRECT("Summary!"&amp;ADDRESS(6,SMALL(IF(Summary!$A$2:$CS$2="Points",COLUMN(Summary!$A$2:$CS$2)-MIN(COLUMN(Summary!$A$2:$CS$2))+1),INT(MID(B$22,FIND(" ",B$22),LEN(B$22)-FIND(" ",B$22)+1)))))</f>
        <v>2.4</v>
      </c>
      <c r="C26" s="2">
        <f t="array" aca="1" ref="C26" ca="1">INDIRECT("Summary!"&amp;ADDRESS(6,SMALL(IF(Summary!$A$2:$CS$2="Points",COLUMN(Summary!$A$2:$CS$2)-MIN(COLUMN(Summary!$A$2:$CS$2))+1),INT(MID(C$22,FIND(" ",C$22),LEN(C$22)-FIND(" ",C$22)+1)))))</f>
        <v>18.8</v>
      </c>
      <c r="D26" s="2">
        <f t="array" aca="1" ref="D26" ca="1">INDIRECT("Summary!"&amp;ADDRESS(6,SMALL(IF(Summary!$A$2:$CS$2="Points",COLUMN(Summary!$A$2:$CS$2)-MIN(COLUMN(Summary!$A$2:$CS$2))+1),INT(MID(D$22,FIND(" ",D$22),LEN(D$22)-FIND(" ",D$22)+1)))))</f>
        <v>10.199999999999999</v>
      </c>
      <c r="E26" s="2">
        <f t="array" aca="1" ref="E26" ca="1">INDIRECT("Summary!"&amp;ADDRESS(6,SMALL(IF(Summary!$A$2:$CS$2="Points",COLUMN(Summary!$A$2:$CS$2)-MIN(COLUMN(Summary!$A$2:$CS$2))+1),INT(MID(E$22,FIND(" ",E$22),LEN(E$22)-FIND(" ",E$22)+1)))))</f>
        <v>15.2</v>
      </c>
      <c r="F26" s="2">
        <f t="array" aca="1" ref="F26" ca="1">INDIRECT("Summary!"&amp;ADDRESS(6,SMALL(IF(Summary!$A$2:$CS$2="Points",COLUMN(Summary!$A$2:$CS$2)-MIN(COLUMN(Summary!$A$2:$CS$2))+1),INT(MID(F$22,FIND(" ",F$22),LEN(F$22)-FIND(" ",F$22)+1)))))</f>
        <v>7.4</v>
      </c>
      <c r="G26" s="2">
        <f t="array" aca="1" ref="G26" ca="1">INDIRECT("Summary!"&amp;ADDRESS(6,SMALL(IF(Summary!$A$2:$CS$2="Points",COLUMN(Summary!$A$2:$CS$2)-MIN(COLUMN(Summary!$A$2:$CS$2))+1),INT(MID(G$22,FIND(" ",G$22),LEN(G$22)-FIND(" ",G$22)+1)))))</f>
        <v>17</v>
      </c>
      <c r="H26" s="2">
        <f t="array" aca="1" ref="H26" ca="1">INDIRECT("Summary!"&amp;ADDRESS(6,SMALL(IF(Summary!$A$2:$CS$2="Points",COLUMN(Summary!$A$2:$CS$2)-MIN(COLUMN(Summary!$A$2:$CS$2))+1),INT(MID(H$22,FIND(" ",H$22),LEN(H$22)-FIND(" ",H$22)+1)))))</f>
        <v>18.3</v>
      </c>
      <c r="I26" s="2">
        <f t="array" aca="1" ref="I26" ca="1">INDIRECT("Summary!"&amp;ADDRESS(6,SMALL(IF(Summary!$A$2:$CS$2="Points",COLUMN(Summary!$A$2:$CS$2)-MIN(COLUMN(Summary!$A$2:$CS$2))+1),INT(MID(I$22,FIND(" ",I$22),LEN(I$22)-FIND(" ",I$22)+1)))))</f>
        <v>8.5</v>
      </c>
      <c r="J26" s="2">
        <f t="array" aca="1" ref="J26" ca="1">INDIRECT("Summary!"&amp;ADDRESS(6,SMALL(IF(Summary!$A$2:$CS$2="Points",COLUMN(Summary!$A$2:$CS$2)-MIN(COLUMN(Summary!$A$2:$CS$2))+1),INT(MID(J$22,FIND(" ",J$22),LEN(J$22)-FIND(" ",J$22)+1)))))</f>
        <v>1.8</v>
      </c>
      <c r="K26" s="2">
        <f t="array" aca="1" ref="K26" ca="1">INDIRECT("Summary!"&amp;ADDRESS(6,SMALL(IF(Summary!$A$2:$CS$2="Points",COLUMN(Summary!$A$2:$CS$2)-MIN(COLUMN(Summary!$A$2:$CS$2))+1),INT(MID(K$22,FIND(" ",K$22),LEN(K$22)-FIND(" ",K$22)+1)))))</f>
        <v>12</v>
      </c>
      <c r="L26" s="2">
        <f t="array" aca="1" ref="L26" ca="1">INDIRECT("Summary!"&amp;ADDRESS(6,SMALL(IF(Summary!$A$2:$CS$2="Points",COLUMN(Summary!$A$2:$CS$2)-MIN(COLUMN(Summary!$A$2:$CS$2))+1),INT(MID(L$22,FIND(" ",L$22),LEN(L$22)-FIND(" ",L$22)+1)))))</f>
        <v>11</v>
      </c>
      <c r="M26" s="2">
        <f t="array" aca="1" ref="M26" ca="1">INDIRECT("Summary!"&amp;ADDRESS(6,SMALL(IF(Summary!$A$2:$CS$2="Points",COLUMN(Summary!$A$2:$CS$2)-MIN(COLUMN(Summary!$A$2:$CS$2))+1),INT(MID(M$22,FIND(" ",M$22),LEN(M$22)-FIND(" ",M$22)+1)))))</f>
        <v>3</v>
      </c>
      <c r="N26" s="2">
        <f t="array" aca="1" ref="N26" ca="1">INDIRECT("Summary!"&amp;ADDRESS(6,SMALL(IF(Summary!$A$2:$CS$2="Points",COLUMN(Summary!$A$2:$CS$2)-MIN(COLUMN(Summary!$A$2:$CS$2))+1),INT(MID(N$22,FIND(" ",N$22),LEN(N$22)-FIND(" ",N$22)+1)))))</f>
        <v>10.9</v>
      </c>
      <c r="O26" s="2">
        <f t="array" aca="1" ref="O26" ca="1">INDIRECT("Summary!"&amp;ADDRESS(6,SMALL(IF(Summary!$A$2:$CS$2="Points",COLUMN(Summary!$A$2:$CS$2)-MIN(COLUMN(Summary!$A$2:$CS$2))+1),INT(MID(O$22,FIND(" ",O$22),LEN(O$22)-FIND(" ",O$22)+1)))))</f>
        <v>3.5</v>
      </c>
      <c r="P26" s="2">
        <f t="array" aca="1" ref="P26" ca="1">INDIRECT("Summary!"&amp;ADDRESS(6,SMALL(IF(Summary!$A$2:$CS$2="Points",COLUMN(Summary!$A$2:$CS$2)-MIN(COLUMN(Summary!$A$2:$CS$2))+1),INT(MID(P$22,FIND(" ",P$22),LEN(P$22)-FIND(" ",P$22)+1)))))</f>
        <v>1.1000000000000001</v>
      </c>
      <c r="Q26" s="2">
        <f t="array" aca="1" ref="Q26" ca="1">INDIRECT("Summary!"&amp;ADDRESS(6,SMALL(IF(Summary!$A$2:$CS$2="Points",COLUMN(Summary!$A$2:$CS$2)-MIN(COLUMN(Summary!$A$2:$CS$2))+1),INT(MID(Q$22,FIND(" ",Q$22),LEN(Q$22)-FIND(" ",Q$22)+1)))))</f>
        <v>11.5</v>
      </c>
      <c r="R26" s="2">
        <f t="shared" ca="1" si="33"/>
        <v>1.1000000000000001</v>
      </c>
      <c r="S26" s="2">
        <f t="shared" ca="1" si="34"/>
        <v>18.8</v>
      </c>
      <c r="T26" s="8">
        <f t="shared" ca="1" si="35"/>
        <v>9.5374999999999996</v>
      </c>
      <c r="U26" s="7">
        <f t="shared" ca="1" si="36"/>
        <v>5.7636658256703264</v>
      </c>
      <c r="V26" s="2">
        <f t="shared" ca="1" si="37"/>
        <v>152.6</v>
      </c>
      <c r="W26" s="3">
        <f t="shared" ca="1" si="32"/>
        <v>0.10156405990016638</v>
      </c>
    </row>
    <row r="27" spans="1:23" ht="16.25" thickTop="1" thickBot="1" x14ac:dyDescent="0.9">
      <c r="A27" s="2" t="s">
        <v>32</v>
      </c>
      <c r="B27" s="2">
        <f t="array" aca="1" ref="B27" ca="1">INDIRECT("Summary!"&amp;ADDRESS(7,SMALL(IF(Summary!$A$2:$CS$2="Points",COLUMN(Summary!$A$2:$CS$2)-MIN(COLUMN(Summary!$A$2:$CS$2))+1),INT(MID(B$22,FIND(" ",B$22),LEN(B$22)-FIND(" ",B$22)+1)))))</f>
        <v>2.2000000000000002</v>
      </c>
      <c r="C27" s="2">
        <f t="array" aca="1" ref="C27" ca="1">INDIRECT("Summary!"&amp;ADDRESS(7,SMALL(IF(Summary!$A$2:$CS$2="Points",COLUMN(Summary!$A$2:$CS$2)-MIN(COLUMN(Summary!$A$2:$CS$2))+1),INT(MID(C$22,FIND(" ",C$22),LEN(C$22)-FIND(" ",C$22)+1)))))</f>
        <v>17.3</v>
      </c>
      <c r="D27" s="2">
        <f t="array" aca="1" ref="D27" ca="1">INDIRECT("Summary!"&amp;ADDRESS(7,SMALL(IF(Summary!$A$2:$CS$2="Points",COLUMN(Summary!$A$2:$CS$2)-MIN(COLUMN(Summary!$A$2:$CS$2))+1),INT(MID(D$22,FIND(" ",D$22),LEN(D$22)-FIND(" ",D$22)+1)))))</f>
        <v>21.5</v>
      </c>
      <c r="E27" s="2">
        <f t="array" aca="1" ref="E27" ca="1">INDIRECT("Summary!"&amp;ADDRESS(7,SMALL(IF(Summary!$A$2:$CS$2="Points",COLUMN(Summary!$A$2:$CS$2)-MIN(COLUMN(Summary!$A$2:$CS$2))+1),INT(MID(E$22,FIND(" ",E$22),LEN(E$22)-FIND(" ",E$22)+1)))))</f>
        <v>7</v>
      </c>
      <c r="F27" s="2">
        <f t="array" aca="1" ref="F27" ca="1">INDIRECT("Summary!"&amp;ADDRESS(7,SMALL(IF(Summary!$A$2:$CS$2="Points",COLUMN(Summary!$A$2:$CS$2)-MIN(COLUMN(Summary!$A$2:$CS$2))+1),INT(MID(F$22,FIND(" ",F$22),LEN(F$22)-FIND(" ",F$22)+1)))))</f>
        <v>5.7</v>
      </c>
      <c r="G27" s="2">
        <f t="array" aca="1" ref="G27" ca="1">INDIRECT("Summary!"&amp;ADDRESS(7,SMALL(IF(Summary!$A$2:$CS$2="Points",COLUMN(Summary!$A$2:$CS$2)-MIN(COLUMN(Summary!$A$2:$CS$2))+1),INT(MID(G$22,FIND(" ",G$22),LEN(G$22)-FIND(" ",G$22)+1)))))</f>
        <v>10.199999999999999</v>
      </c>
      <c r="H27" s="2">
        <f t="array" aca="1" ref="H27" ca="1">INDIRECT("Summary!"&amp;ADDRESS(7,SMALL(IF(Summary!$A$2:$CS$2="Points",COLUMN(Summary!$A$2:$CS$2)-MIN(COLUMN(Summary!$A$2:$CS$2))+1),INT(MID(H$22,FIND(" ",H$22),LEN(H$22)-FIND(" ",H$22)+1)))))</f>
        <v>20.399999999999999</v>
      </c>
      <c r="I27" s="2">
        <f t="array" aca="1" ref="I27" ca="1">INDIRECT("Summary!"&amp;ADDRESS(7,SMALL(IF(Summary!$A$2:$CS$2="Points",COLUMN(Summary!$A$2:$CS$2)-MIN(COLUMN(Summary!$A$2:$CS$2))+1),INT(MID(I$22,FIND(" ",I$22),LEN(I$22)-FIND(" ",I$22)+1)))))</f>
        <v>8.9</v>
      </c>
      <c r="J27" s="2">
        <f t="array" aca="1" ref="J27" ca="1">INDIRECT("Summary!"&amp;ADDRESS(7,SMALL(IF(Summary!$A$2:$CS$2="Points",COLUMN(Summary!$A$2:$CS$2)-MIN(COLUMN(Summary!$A$2:$CS$2))+1),INT(MID(J$22,FIND(" ",J$22),LEN(J$22)-FIND(" ",J$22)+1)))))</f>
        <v>14.8</v>
      </c>
      <c r="K27" s="2">
        <f t="array" aca="1" ref="K27" ca="1">INDIRECT("Summary!"&amp;ADDRESS(7,SMALL(IF(Summary!$A$2:$CS$2="Points",COLUMN(Summary!$A$2:$CS$2)-MIN(COLUMN(Summary!$A$2:$CS$2))+1),INT(MID(K$22,FIND(" ",K$22),LEN(K$22)-FIND(" ",K$22)+1)))))</f>
        <v>8.6999999999999993</v>
      </c>
      <c r="L27" s="2">
        <f t="array" aca="1" ref="L27" ca="1">INDIRECT("Summary!"&amp;ADDRESS(7,SMALL(IF(Summary!$A$2:$CS$2="Points",COLUMN(Summary!$A$2:$CS$2)-MIN(COLUMN(Summary!$A$2:$CS$2))+1),INT(MID(L$22,FIND(" ",L$22),LEN(L$22)-FIND(" ",L$22)+1)))))</f>
        <v>9.6</v>
      </c>
      <c r="M27" s="2">
        <f t="array" aca="1" ref="M27" ca="1">INDIRECT("Summary!"&amp;ADDRESS(7,SMALL(IF(Summary!$A$2:$CS$2="Points",COLUMN(Summary!$A$2:$CS$2)-MIN(COLUMN(Summary!$A$2:$CS$2))+1),INT(MID(M$22,FIND(" ",M$22),LEN(M$22)-FIND(" ",M$22)+1)))))</f>
        <v>44.8</v>
      </c>
      <c r="N27" s="2">
        <f t="array" aca="1" ref="N27" ca="1">INDIRECT("Summary!"&amp;ADDRESS(7,SMALL(IF(Summary!$A$2:$CS$2="Points",COLUMN(Summary!$A$2:$CS$2)-MIN(COLUMN(Summary!$A$2:$CS$2))+1),INT(MID(N$22,FIND(" ",N$22),LEN(N$22)-FIND(" ",N$22)+1)))))</f>
        <v>3.4</v>
      </c>
      <c r="O27" s="2">
        <f t="array" aca="1" ref="O27" ca="1">INDIRECT("Summary!"&amp;ADDRESS(7,SMALL(IF(Summary!$A$2:$CS$2="Points",COLUMN(Summary!$A$2:$CS$2)-MIN(COLUMN(Summary!$A$2:$CS$2))+1),INT(MID(O$22,FIND(" ",O$22),LEN(O$22)-FIND(" ",O$22)+1)))))</f>
        <v>12.3</v>
      </c>
      <c r="P27" s="2">
        <f t="array" aca="1" ref="P27" ca="1">INDIRECT("Summary!"&amp;ADDRESS(7,SMALL(IF(Summary!$A$2:$CS$2="Points",COLUMN(Summary!$A$2:$CS$2)-MIN(COLUMN(Summary!$A$2:$CS$2))+1),INT(MID(P$22,FIND(" ",P$22),LEN(P$22)-FIND(" ",P$22)+1)))))</f>
        <v>6.9</v>
      </c>
      <c r="Q27" s="2">
        <f t="array" aca="1" ref="Q27" ca="1">INDIRECT("Summary!"&amp;ADDRESS(7,SMALL(IF(Summary!$A$2:$CS$2="Points",COLUMN(Summary!$A$2:$CS$2)-MIN(COLUMN(Summary!$A$2:$CS$2))+1),INT(MID(Q$22,FIND(" ",Q$22),LEN(Q$22)-FIND(" ",Q$22)+1)))))</f>
        <v>18.399999999999999</v>
      </c>
      <c r="R27" s="2">
        <f t="shared" ca="1" si="33"/>
        <v>2.2000000000000002</v>
      </c>
      <c r="S27" s="2">
        <f t="shared" ca="1" si="34"/>
        <v>44.8</v>
      </c>
      <c r="T27" s="8">
        <f t="shared" ca="1" si="35"/>
        <v>13.256250000000003</v>
      </c>
      <c r="U27" s="7">
        <f t="shared" ca="1" si="36"/>
        <v>9.9328349899462172</v>
      </c>
      <c r="V27" s="2">
        <f t="shared" ca="1" si="37"/>
        <v>212.10000000000005</v>
      </c>
      <c r="W27" s="3">
        <f t="shared" ca="1" si="32"/>
        <v>0.14116472545757075</v>
      </c>
    </row>
    <row r="28" spans="1:23" ht="16.25" thickTop="1" thickBot="1" x14ac:dyDescent="0.9">
      <c r="A28" s="2" t="s">
        <v>36</v>
      </c>
      <c r="B28" s="2">
        <f t="array" aca="1" ref="B28" ca="1">INDIRECT("Summary!"&amp;ADDRESS(8,SMALL(IF(Summary!$A$2:$CS$2="Points",COLUMN(Summary!$A$2:$CS$2)-MIN(COLUMN(Summary!$A$2:$CS$2))+1),INT(MID(B$22,FIND(" ",B$22),LEN(B$22)-FIND(" ",B$22)+1)))))</f>
        <v>13.3</v>
      </c>
      <c r="C28" s="2">
        <f t="array" aca="1" ref="C28" ca="1">INDIRECT("Summary!"&amp;ADDRESS(8,SMALL(IF(Summary!$A$2:$CS$2="Points",COLUMN(Summary!$A$2:$CS$2)-MIN(COLUMN(Summary!$A$2:$CS$2))+1),INT(MID(C$22,FIND(" ",C$22),LEN(C$22)-FIND(" ",C$22)+1)))))</f>
        <v>12.2</v>
      </c>
      <c r="D28" s="2">
        <f t="array" aca="1" ref="D28" ca="1">INDIRECT("Summary!"&amp;ADDRESS(8,SMALL(IF(Summary!$A$2:$CS$2="Points",COLUMN(Summary!$A$2:$CS$2)-MIN(COLUMN(Summary!$A$2:$CS$2))+1),INT(MID(D$22,FIND(" ",D$22),LEN(D$22)-FIND(" ",D$22)+1)))))</f>
        <v>13.5</v>
      </c>
      <c r="E28" s="2">
        <f t="array" aca="1" ref="E28" ca="1">INDIRECT("Summary!"&amp;ADDRESS(8,SMALL(IF(Summary!$A$2:$CS$2="Points",COLUMN(Summary!$A$2:$CS$2)-MIN(COLUMN(Summary!$A$2:$CS$2))+1),INT(MID(E$22,FIND(" ",E$22),LEN(E$22)-FIND(" ",E$22)+1)))))</f>
        <v>10.6</v>
      </c>
      <c r="F28" s="2">
        <f t="array" aca="1" ref="F28" ca="1">INDIRECT("Summary!"&amp;ADDRESS(8,SMALL(IF(Summary!$A$2:$CS$2="Points",COLUMN(Summary!$A$2:$CS$2)-MIN(COLUMN(Summary!$A$2:$CS$2))+1),INT(MID(F$22,FIND(" ",F$22),LEN(F$22)-FIND(" ",F$22)+1)))))</f>
        <v>15.1</v>
      </c>
      <c r="G28" s="2">
        <f t="array" aca="1" ref="G28" ca="1">INDIRECT("Summary!"&amp;ADDRESS(8,SMALL(IF(Summary!$A$2:$CS$2="Points",COLUMN(Summary!$A$2:$CS$2)-MIN(COLUMN(Summary!$A$2:$CS$2))+1),INT(MID(G$22,FIND(" ",G$22),LEN(G$22)-FIND(" ",G$22)+1)))))</f>
        <v>12.6</v>
      </c>
      <c r="H28" s="2">
        <f t="array" aca="1" ref="H28" ca="1">INDIRECT("Summary!"&amp;ADDRESS(8,SMALL(IF(Summary!$A$2:$CS$2="Points",COLUMN(Summary!$A$2:$CS$2)-MIN(COLUMN(Summary!$A$2:$CS$2))+1),INT(MID(H$22,FIND(" ",H$22),LEN(H$22)-FIND(" ",H$22)+1)))))</f>
        <v>9.6</v>
      </c>
      <c r="I28" s="2">
        <f t="array" aca="1" ref="I28" ca="1">INDIRECT("Summary!"&amp;ADDRESS(8,SMALL(IF(Summary!$A$2:$CS$2="Points",COLUMN(Summary!$A$2:$CS$2)-MIN(COLUMN(Summary!$A$2:$CS$2))+1),INT(MID(I$22,FIND(" ",I$22),LEN(I$22)-FIND(" ",I$22)+1)))))</f>
        <v>5.3</v>
      </c>
      <c r="J28" s="2">
        <f t="array" aca="1" ref="J28" ca="1">INDIRECT("Summary!"&amp;ADDRESS(8,SMALL(IF(Summary!$A$2:$CS$2="Points",COLUMN(Summary!$A$2:$CS$2)-MIN(COLUMN(Summary!$A$2:$CS$2))+1),INT(MID(J$22,FIND(" ",J$22),LEN(J$22)-FIND(" ",J$22)+1)))))</f>
        <v>3</v>
      </c>
      <c r="K28" s="2">
        <f t="array" aca="1" ref="K28" ca="1">INDIRECT("Summary!"&amp;ADDRESS(8,SMALL(IF(Summary!$A$2:$CS$2="Points",COLUMN(Summary!$A$2:$CS$2)-MIN(COLUMN(Summary!$A$2:$CS$2))+1),INT(MID(K$22,FIND(" ",K$22),LEN(K$22)-FIND(" ",K$22)+1)))))</f>
        <v>1.2</v>
      </c>
      <c r="L28" s="2">
        <f t="array" aca="1" ref="L28" ca="1">INDIRECT("Summary!"&amp;ADDRESS(8,SMALL(IF(Summary!$A$2:$CS$2="Points",COLUMN(Summary!$A$2:$CS$2)-MIN(COLUMN(Summary!$A$2:$CS$2))+1),INT(MID(L$22,FIND(" ",L$22),LEN(L$22)-FIND(" ",L$22)+1)))))</f>
        <v>1.7</v>
      </c>
      <c r="M28" s="2">
        <f t="array" aca="1" ref="M28" ca="1">INDIRECT("Summary!"&amp;ADDRESS(8,SMALL(IF(Summary!$A$2:$CS$2="Points",COLUMN(Summary!$A$2:$CS$2)-MIN(COLUMN(Summary!$A$2:$CS$2))+1),INT(MID(M$22,FIND(" ",M$22),LEN(M$22)-FIND(" ",M$22)+1)))))</f>
        <v>1.5</v>
      </c>
      <c r="N28" s="2">
        <f t="array" aca="1" ref="N28" ca="1">INDIRECT("Summary!"&amp;ADDRESS(8,SMALL(IF(Summary!$A$2:$CS$2="Points",COLUMN(Summary!$A$2:$CS$2)-MIN(COLUMN(Summary!$A$2:$CS$2))+1),INT(MID(N$22,FIND(" ",N$22),LEN(N$22)-FIND(" ",N$22)+1)))))</f>
        <v>11.6</v>
      </c>
      <c r="O28" s="2">
        <f t="array" aca="1" ref="O28" ca="1">INDIRECT("Summary!"&amp;ADDRESS(8,SMALL(IF(Summary!$A$2:$CS$2="Points",COLUMN(Summary!$A$2:$CS$2)-MIN(COLUMN(Summary!$A$2:$CS$2))+1),INT(MID(O$22,FIND(" ",O$22),LEN(O$22)-FIND(" ",O$22)+1)))))</f>
        <v>13</v>
      </c>
      <c r="P28" s="2">
        <f t="array" aca="1" ref="P28" ca="1">INDIRECT("Summary!"&amp;ADDRESS(8,SMALL(IF(Summary!$A$2:$CS$2="Points",COLUMN(Summary!$A$2:$CS$2)-MIN(COLUMN(Summary!$A$2:$CS$2))+1),INT(MID(P$22,FIND(" ",P$22),LEN(P$22)-FIND(" ",P$22)+1)))))</f>
        <v>4.3</v>
      </c>
      <c r="Q28" s="2">
        <f t="array" aca="1" ref="Q28" ca="1">INDIRECT("Summary!"&amp;ADDRESS(8,SMALL(IF(Summary!$A$2:$CS$2="Points",COLUMN(Summary!$A$2:$CS$2)-MIN(COLUMN(Summary!$A$2:$CS$2))+1),INT(MID(Q$22,FIND(" ",Q$22),LEN(Q$22)-FIND(" ",Q$22)+1)))))</f>
        <v>17.100000000000001</v>
      </c>
      <c r="R28" s="2">
        <f t="shared" ca="1" si="33"/>
        <v>1.2</v>
      </c>
      <c r="S28" s="2">
        <f t="shared" ca="1" si="34"/>
        <v>17.100000000000001</v>
      </c>
      <c r="T28" s="8">
        <f t="shared" ca="1" si="35"/>
        <v>9.1</v>
      </c>
      <c r="U28" s="7">
        <f t="shared" ca="1" si="36"/>
        <v>5.1987979379852813</v>
      </c>
      <c r="V28" s="2">
        <f t="shared" ca="1" si="37"/>
        <v>145.6</v>
      </c>
      <c r="W28" s="3">
        <f t="shared" ca="1" si="32"/>
        <v>9.6905158069883521E-2</v>
      </c>
    </row>
    <row r="29" spans="1:23" ht="16.25" thickTop="1" thickBot="1" x14ac:dyDescent="0.9">
      <c r="A29" s="2" t="s">
        <v>40</v>
      </c>
      <c r="B29" s="2">
        <f t="array" aca="1" ref="B29" ca="1">INDIRECT("Summary!"&amp;ADDRESS(9,SMALL(IF(Summary!$A$2:$CS$2="Points",COLUMN(Summary!$A$2:$CS$2)-MIN(COLUMN(Summary!$A$2:$CS$2))+1),INT(MID(B$22,FIND(" ",B$22),LEN(B$22)-FIND(" ",B$22)+1)))))</f>
        <v>15.2</v>
      </c>
      <c r="C29" s="2">
        <f t="array" aca="1" ref="C29" ca="1">INDIRECT("Summary!"&amp;ADDRESS(9,SMALL(IF(Summary!$A$2:$CS$2="Points",COLUMN(Summary!$A$2:$CS$2)-MIN(COLUMN(Summary!$A$2:$CS$2))+1),INT(MID(C$22,FIND(" ",C$22),LEN(C$22)-FIND(" ",C$22)+1)))))</f>
        <v>3.9</v>
      </c>
      <c r="D29" s="2">
        <f t="array" aca="1" ref="D29" ca="1">INDIRECT("Summary!"&amp;ADDRESS(9,SMALL(IF(Summary!$A$2:$CS$2="Points",COLUMN(Summary!$A$2:$CS$2)-MIN(COLUMN(Summary!$A$2:$CS$2))+1),INT(MID(D$22,FIND(" ",D$22),LEN(D$22)-FIND(" ",D$22)+1)))))</f>
        <v>6.4</v>
      </c>
      <c r="E29" s="2">
        <f t="array" aca="1" ref="E29" ca="1">INDIRECT("Summary!"&amp;ADDRESS(9,SMALL(IF(Summary!$A$2:$CS$2="Points",COLUMN(Summary!$A$2:$CS$2)-MIN(COLUMN(Summary!$A$2:$CS$2))+1),INT(MID(E$22,FIND(" ",E$22),LEN(E$22)-FIND(" ",E$22)+1)))))</f>
        <v>8.1</v>
      </c>
      <c r="F29" s="2">
        <f t="array" aca="1" ref="F29" ca="1">INDIRECT("Summary!"&amp;ADDRESS(9,SMALL(IF(Summary!$A$2:$CS$2="Points",COLUMN(Summary!$A$2:$CS$2)-MIN(COLUMN(Summary!$A$2:$CS$2))+1),INT(MID(F$22,FIND(" ",F$22),LEN(F$22)-FIND(" ",F$22)+1)))))</f>
        <v>5.3</v>
      </c>
      <c r="G29" s="2">
        <f t="array" aca="1" ref="G29" ca="1">INDIRECT("Summary!"&amp;ADDRESS(9,SMALL(IF(Summary!$A$2:$CS$2="Points",COLUMN(Summary!$A$2:$CS$2)-MIN(COLUMN(Summary!$A$2:$CS$2))+1),INT(MID(G$22,FIND(" ",G$22),LEN(G$22)-FIND(" ",G$22)+1)))))</f>
        <v>5.9</v>
      </c>
      <c r="H29" s="2">
        <f t="array" aca="1" ref="H29" ca="1">INDIRECT("Summary!"&amp;ADDRESS(9,SMALL(IF(Summary!$A$2:$CS$2="Points",COLUMN(Summary!$A$2:$CS$2)-MIN(COLUMN(Summary!$A$2:$CS$2))+1),INT(MID(H$22,FIND(" ",H$22),LEN(H$22)-FIND(" ",H$22)+1)))))</f>
        <v>19.7</v>
      </c>
      <c r="I29" s="2">
        <f t="array" aca="1" ref="I29" ca="1">INDIRECT("Summary!"&amp;ADDRESS(9,SMALL(IF(Summary!$A$2:$CS$2="Points",COLUMN(Summary!$A$2:$CS$2)-MIN(COLUMN(Summary!$A$2:$CS$2))+1),INT(MID(I$22,FIND(" ",I$22),LEN(I$22)-FIND(" ",I$22)+1)))))</f>
        <v>8.4</v>
      </c>
      <c r="J29" s="2">
        <f t="array" aca="1" ref="J29" ca="1">INDIRECT("Summary!"&amp;ADDRESS(9,SMALL(IF(Summary!$A$2:$CS$2="Points",COLUMN(Summary!$A$2:$CS$2)-MIN(COLUMN(Summary!$A$2:$CS$2))+1),INT(MID(J$22,FIND(" ",J$22),LEN(J$22)-FIND(" ",J$22)+1)))))</f>
        <v>20.3</v>
      </c>
      <c r="K29" s="2">
        <f t="array" aca="1" ref="K29" ca="1">INDIRECT("Summary!"&amp;ADDRESS(9,SMALL(IF(Summary!$A$2:$CS$2="Points",COLUMN(Summary!$A$2:$CS$2)-MIN(COLUMN(Summary!$A$2:$CS$2))+1),INT(MID(K$22,FIND(" ",K$22),LEN(K$22)-FIND(" ",K$22)+1)))))</f>
        <v>9.6999999999999993</v>
      </c>
      <c r="L29" s="2">
        <f t="array" aca="1" ref="L29" ca="1">INDIRECT("Summary!"&amp;ADDRESS(9,SMALL(IF(Summary!$A$2:$CS$2="Points",COLUMN(Summary!$A$2:$CS$2)-MIN(COLUMN(Summary!$A$2:$CS$2))+1),INT(MID(L$22,FIND(" ",L$22),LEN(L$22)-FIND(" ",L$22)+1)))))</f>
        <v>11.7</v>
      </c>
      <c r="M29" s="2">
        <f t="array" aca="1" ref="M29" ca="1">INDIRECT("Summary!"&amp;ADDRESS(9,SMALL(IF(Summary!$A$2:$CS$2="Points",COLUMN(Summary!$A$2:$CS$2)-MIN(COLUMN(Summary!$A$2:$CS$2))+1),INT(MID(M$22,FIND(" ",M$22),LEN(M$22)-FIND(" ",M$22)+1)))))</f>
        <v>10.8</v>
      </c>
      <c r="N29" s="2">
        <f t="array" aca="1" ref="N29" ca="1">INDIRECT("Summary!"&amp;ADDRESS(9,SMALL(IF(Summary!$A$2:$CS$2="Points",COLUMN(Summary!$A$2:$CS$2)-MIN(COLUMN(Summary!$A$2:$CS$2))+1),INT(MID(N$22,FIND(" ",N$22),LEN(N$22)-FIND(" ",N$22)+1)))))</f>
        <v>4.3</v>
      </c>
      <c r="O29" s="2">
        <f t="array" aca="1" ref="O29" ca="1">INDIRECT("Summary!"&amp;ADDRESS(9,SMALL(IF(Summary!$A$2:$CS$2="Points",COLUMN(Summary!$A$2:$CS$2)-MIN(COLUMN(Summary!$A$2:$CS$2))+1),INT(MID(O$22,FIND(" ",O$22),LEN(O$22)-FIND(" ",O$22)+1)))))</f>
        <v>21.8</v>
      </c>
      <c r="P29" s="2">
        <f t="array" aca="1" ref="P29" ca="1">INDIRECT("Summary!"&amp;ADDRESS(9,SMALL(IF(Summary!$A$2:$CS$2="Points",COLUMN(Summary!$A$2:$CS$2)-MIN(COLUMN(Summary!$A$2:$CS$2))+1),INT(MID(P$22,FIND(" ",P$22),LEN(P$22)-FIND(" ",P$22)+1)))))</f>
        <v>7.1</v>
      </c>
      <c r="Q29" s="2">
        <f t="array" aca="1" ref="Q29" ca="1">INDIRECT("Summary!"&amp;ADDRESS(9,SMALL(IF(Summary!$A$2:$CS$2="Points",COLUMN(Summary!$A$2:$CS$2)-MIN(COLUMN(Summary!$A$2:$CS$2))+1),INT(MID(Q$22,FIND(" ",Q$22),LEN(Q$22)-FIND(" ",Q$22)+1)))))</f>
        <v>13.7</v>
      </c>
      <c r="R29" s="2">
        <f t="shared" ca="1" si="33"/>
        <v>3.9</v>
      </c>
      <c r="S29" s="2">
        <f t="shared" ca="1" si="34"/>
        <v>21.8</v>
      </c>
      <c r="T29" s="8">
        <f t="shared" ca="1" si="35"/>
        <v>10.768750000000001</v>
      </c>
      <c r="U29" s="7">
        <f t="shared" ca="1" si="36"/>
        <v>5.648309343290256</v>
      </c>
      <c r="V29" s="2">
        <f t="shared" ca="1" si="37"/>
        <v>172.3</v>
      </c>
      <c r="W29" s="3">
        <f t="shared" ca="1" si="32"/>
        <v>0.11467554076539102</v>
      </c>
    </row>
    <row r="30" spans="1:23" ht="16.25" thickTop="1" thickBot="1" x14ac:dyDescent="0.9">
      <c r="A30" s="2" t="s">
        <v>72</v>
      </c>
      <c r="B30" s="2">
        <f t="array" aca="1" ref="B30" ca="1">INDIRECT("Summary!"&amp;ADDRESS(10,SMALL(IF(Summary!$A$2:$CS$2="Points",COLUMN(Summary!$A$2:$CS$2)-MIN(COLUMN(Summary!$A$2:$CS$2))+1),INT(MID(B$22,FIND(" ",B$22),LEN(B$22)-FIND(" ",B$22)+1)))))</f>
        <v>2</v>
      </c>
      <c r="C30" s="2">
        <f t="array" aca="1" ref="C30" ca="1">INDIRECT("Summary!"&amp;ADDRESS(10,SMALL(IF(Summary!$A$2:$CS$2="Points",COLUMN(Summary!$A$2:$CS$2)-MIN(COLUMN(Summary!$A$2:$CS$2))+1),INT(MID(C$22,FIND(" ",C$22),LEN(C$22)-FIND(" ",C$22)+1)))))</f>
        <v>10</v>
      </c>
      <c r="D30" s="2">
        <f t="array" aca="1" ref="D30" ca="1">INDIRECT("Summary!"&amp;ADDRESS(10,SMALL(IF(Summary!$A$2:$CS$2="Points",COLUMN(Summary!$A$2:$CS$2)-MIN(COLUMN(Summary!$A$2:$CS$2))+1),INT(MID(D$22,FIND(" ",D$22),LEN(D$22)-FIND(" ",D$22)+1)))))</f>
        <v>6</v>
      </c>
      <c r="E30" s="2">
        <f t="array" aca="1" ref="E30" ca="1">INDIRECT("Summary!"&amp;ADDRESS(10,SMALL(IF(Summary!$A$2:$CS$2="Points",COLUMN(Summary!$A$2:$CS$2)-MIN(COLUMN(Summary!$A$2:$CS$2))+1),INT(MID(E$22,FIND(" ",E$22),LEN(E$22)-FIND(" ",E$22)+1)))))</f>
        <v>10</v>
      </c>
      <c r="F30" s="2">
        <f t="array" aca="1" ref="F30" ca="1">INDIRECT("Summary!"&amp;ADDRESS(10,SMALL(IF(Summary!$A$2:$CS$2="Points",COLUMN(Summary!$A$2:$CS$2)-MIN(COLUMN(Summary!$A$2:$CS$2))+1),INT(MID(F$22,FIND(" ",F$22),LEN(F$22)-FIND(" ",F$22)+1)))))</f>
        <v>6</v>
      </c>
      <c r="G30" s="2">
        <f t="array" aca="1" ref="G30" ca="1">INDIRECT("Summary!"&amp;ADDRESS(10,SMALL(IF(Summary!$A$2:$CS$2="Points",COLUMN(Summary!$A$2:$CS$2)-MIN(COLUMN(Summary!$A$2:$CS$2))+1),INT(MID(G$22,FIND(" ",G$22),LEN(G$22)-FIND(" ",G$22)+1)))))</f>
        <v>8</v>
      </c>
      <c r="H30" s="2">
        <f t="array" aca="1" ref="H30" ca="1">INDIRECT("Summary!"&amp;ADDRESS(10,SMALL(IF(Summary!$A$2:$CS$2="Points",COLUMN(Summary!$A$2:$CS$2)-MIN(COLUMN(Summary!$A$2:$CS$2))+1),INT(MID(H$22,FIND(" ",H$22),LEN(H$22)-FIND(" ",H$22)+1)))))</f>
        <v>5</v>
      </c>
      <c r="I30" s="2">
        <f t="array" aca="1" ref="I30" ca="1">INDIRECT("Summary!"&amp;ADDRESS(10,SMALL(IF(Summary!$A$2:$CS$2="Points",COLUMN(Summary!$A$2:$CS$2)-MIN(COLUMN(Summary!$A$2:$CS$2))+1),INT(MID(I$22,FIND(" ",I$22),LEN(I$22)-FIND(" ",I$22)+1)))))</f>
        <v>7</v>
      </c>
      <c r="J30" s="2">
        <f t="array" aca="1" ref="J30" ca="1">INDIRECT("Summary!"&amp;ADDRESS(10,SMALL(IF(Summary!$A$2:$CS$2="Points",COLUMN(Summary!$A$2:$CS$2)-MIN(COLUMN(Summary!$A$2:$CS$2))+1),INT(MID(J$22,FIND(" ",J$22),LEN(J$22)-FIND(" ",J$22)+1)))))</f>
        <v>2</v>
      </c>
      <c r="K30" s="2">
        <f t="array" aca="1" ref="K30" ca="1">INDIRECT("Summary!"&amp;ADDRESS(10,SMALL(IF(Summary!$A$2:$CS$2="Points",COLUMN(Summary!$A$2:$CS$2)-MIN(COLUMN(Summary!$A$2:$CS$2))+1),INT(MID(K$22,FIND(" ",K$22),LEN(K$22)-FIND(" ",K$22)+1)))))</f>
        <v>-3</v>
      </c>
      <c r="L30" s="2">
        <f t="array" aca="1" ref="L30" ca="1">INDIRECT("Summary!"&amp;ADDRESS(10,SMALL(IF(Summary!$A$2:$CS$2="Points",COLUMN(Summary!$A$2:$CS$2)-MIN(COLUMN(Summary!$A$2:$CS$2))+1),INT(MID(L$22,FIND(" ",L$22),LEN(L$22)-FIND(" ",L$22)+1)))))</f>
        <v>7</v>
      </c>
      <c r="M30" s="2">
        <f t="array" aca="1" ref="M30" ca="1">INDIRECT("Summary!"&amp;ADDRESS(10,SMALL(IF(Summary!$A$2:$CS$2="Points",COLUMN(Summary!$A$2:$CS$2)-MIN(COLUMN(Summary!$A$2:$CS$2))+1),INT(MID(M$22,FIND(" ",M$22),LEN(M$22)-FIND(" ",M$22)+1)))))</f>
        <v>0</v>
      </c>
      <c r="N30" s="2">
        <f t="array" aca="1" ref="N30" ca="1">INDIRECT("Summary!"&amp;ADDRESS(10,SMALL(IF(Summary!$A$2:$CS$2="Points",COLUMN(Summary!$A$2:$CS$2)-MIN(COLUMN(Summary!$A$2:$CS$2))+1),INT(MID(N$22,FIND(" ",N$22),LEN(N$22)-FIND(" ",N$22)+1)))))</f>
        <v>10</v>
      </c>
      <c r="O30" s="2">
        <f t="array" aca="1" ref="O30" ca="1">INDIRECT("Summary!"&amp;ADDRESS(10,SMALL(IF(Summary!$A$2:$CS$2="Points",COLUMN(Summary!$A$2:$CS$2)-MIN(COLUMN(Summary!$A$2:$CS$2))+1),INT(MID(O$22,FIND(" ",O$22),LEN(O$22)-FIND(" ",O$22)+1)))))</f>
        <v>6</v>
      </c>
      <c r="P30" s="2">
        <f t="array" aca="1" ref="P30" ca="1">INDIRECT("Summary!"&amp;ADDRESS(10,SMALL(IF(Summary!$A$2:$CS$2="Points",COLUMN(Summary!$A$2:$CS$2)-MIN(COLUMN(Summary!$A$2:$CS$2))+1),INT(MID(P$22,FIND(" ",P$22),LEN(P$22)-FIND(" ",P$22)+1)))))</f>
        <v>10</v>
      </c>
      <c r="Q30" s="2">
        <f t="array" aca="1" ref="Q30" ca="1">INDIRECT("Summary!"&amp;ADDRESS(10,SMALL(IF(Summary!$A$2:$CS$2="Points",COLUMN(Summary!$A$2:$CS$2)-MIN(COLUMN(Summary!$A$2:$CS$2))+1),INT(MID(Q$22,FIND(" ",Q$22),LEN(Q$22)-FIND(" ",Q$22)+1)))))</f>
        <v>13</v>
      </c>
      <c r="R30" s="2">
        <f t="shared" ca="1" si="33"/>
        <v>-3</v>
      </c>
      <c r="S30" s="2">
        <f t="shared" ca="1" si="34"/>
        <v>13</v>
      </c>
      <c r="T30" s="8">
        <f t="shared" ca="1" si="35"/>
        <v>6.1875</v>
      </c>
      <c r="U30" s="7">
        <f t="shared" ca="1" si="36"/>
        <v>4.0960155944527363</v>
      </c>
      <c r="V30" s="2">
        <f t="shared" ca="1" si="37"/>
        <v>99</v>
      </c>
      <c r="W30" s="3">
        <f t="shared" ca="1" si="32"/>
        <v>6.5890183028286184E-2</v>
      </c>
    </row>
    <row r="31" spans="1:23" ht="15.5" thickTop="1" x14ac:dyDescent="0.75">
      <c r="T31" s="10"/>
    </row>
  </sheetData>
  <conditionalFormatting sqref="B2:Q2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Q3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Q4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5:Q5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6:Q6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5:Q1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6:Q16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:Q1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4:Q14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7:Q17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:Q18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9:Q19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0:Q2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2:Q12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Q7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23:Q23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Q24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5:Q25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6:Q26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7:Q27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8:Q2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9:Q2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0:Q30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3:R30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23:S30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23:T30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23:U30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V23:V30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3:W30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:Q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9:Q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B97D4-C690-4AF1-B189-79E595BDAF75}">
  <sheetPr codeName="Sheet2"/>
  <dimension ref="A1:CS20"/>
  <sheetViews>
    <sheetView tabSelected="1" topLeftCell="B1" zoomScale="60" zoomScaleNormal="70" workbookViewId="0">
      <selection activeCell="B16" sqref="B16"/>
    </sheetView>
  </sheetViews>
  <sheetFormatPr defaultRowHeight="14.75" x14ac:dyDescent="0.75"/>
  <cols>
    <col min="1" max="1" width="23.7265625" style="1" bestFit="1" customWidth="1"/>
    <col min="2" max="2" width="24" style="1" customWidth="1"/>
    <col min="3" max="7" width="8.7265625" style="1"/>
    <col min="8" max="8" width="24" style="1" customWidth="1"/>
    <col min="9" max="13" width="8.7265625" style="1"/>
    <col min="14" max="14" width="24" style="1" customWidth="1"/>
    <col min="15" max="19" width="8.7265625" style="1"/>
    <col min="20" max="20" width="24" style="1" customWidth="1"/>
    <col min="21" max="25" width="8.7265625" style="1"/>
    <col min="26" max="26" width="24" style="1" customWidth="1"/>
    <col min="27" max="31" width="8.7265625" style="1"/>
    <col min="32" max="32" width="24" style="1" customWidth="1"/>
    <col min="33" max="37" width="8.7265625" style="1"/>
    <col min="38" max="38" width="24" style="1" customWidth="1"/>
    <col min="39" max="43" width="8.7265625" style="1"/>
    <col min="44" max="44" width="24" style="1" customWidth="1"/>
    <col min="45" max="49" width="8.7265625" style="1"/>
    <col min="50" max="50" width="24" style="1" customWidth="1"/>
    <col min="51" max="55" width="8.7265625" style="1"/>
    <col min="56" max="56" width="24" style="1" customWidth="1"/>
    <col min="57" max="61" width="8.7265625" style="1"/>
    <col min="62" max="62" width="24" style="1" customWidth="1"/>
    <col min="63" max="67" width="8.7265625" style="1"/>
    <col min="68" max="68" width="24" style="1" customWidth="1"/>
    <col min="69" max="73" width="8.7265625" style="1"/>
    <col min="74" max="74" width="24" style="1" customWidth="1"/>
    <col min="75" max="79" width="8.7265625" style="1"/>
    <col min="80" max="80" width="24" style="1" customWidth="1"/>
    <col min="81" max="85" width="8.7265625" style="1"/>
    <col min="86" max="86" width="24" style="1" customWidth="1"/>
    <col min="87" max="91" width="8.7265625" style="1"/>
    <col min="92" max="92" width="24" style="1" customWidth="1"/>
    <col min="93" max="97" width="8.7265625" style="1"/>
  </cols>
  <sheetData>
    <row r="1" spans="1:97" ht="16.25" thickTop="1" thickBot="1" x14ac:dyDescent="0.9">
      <c r="B1" s="13" t="s">
        <v>338</v>
      </c>
      <c r="C1" s="14"/>
      <c r="D1" s="14"/>
      <c r="E1" s="14"/>
      <c r="F1" s="14"/>
      <c r="G1" s="15"/>
      <c r="H1" s="13" t="s">
        <v>339</v>
      </c>
      <c r="I1" s="14"/>
      <c r="J1" s="14"/>
      <c r="K1" s="14"/>
      <c r="L1" s="14"/>
      <c r="M1" s="15"/>
      <c r="N1" s="13" t="s">
        <v>340</v>
      </c>
      <c r="O1" s="14"/>
      <c r="P1" s="14"/>
      <c r="Q1" s="14"/>
      <c r="R1" s="14"/>
      <c r="S1" s="15"/>
      <c r="T1" s="13" t="s">
        <v>341</v>
      </c>
      <c r="U1" s="14"/>
      <c r="V1" s="14"/>
      <c r="W1" s="14"/>
      <c r="X1" s="14"/>
      <c r="Y1" s="15"/>
      <c r="Z1" s="13" t="s">
        <v>342</v>
      </c>
      <c r="AA1" s="14"/>
      <c r="AB1" s="14"/>
      <c r="AC1" s="14"/>
      <c r="AD1" s="14"/>
      <c r="AE1" s="15"/>
      <c r="AF1" s="13" t="s">
        <v>343</v>
      </c>
      <c r="AG1" s="14"/>
      <c r="AH1" s="14"/>
      <c r="AI1" s="14"/>
      <c r="AJ1" s="14"/>
      <c r="AK1" s="15"/>
      <c r="AL1" s="13" t="s">
        <v>344</v>
      </c>
      <c r="AM1" s="14"/>
      <c r="AN1" s="14"/>
      <c r="AO1" s="14"/>
      <c r="AP1" s="14"/>
      <c r="AQ1" s="15"/>
      <c r="AR1" s="13" t="s">
        <v>345</v>
      </c>
      <c r="AS1" s="14"/>
      <c r="AT1" s="14"/>
      <c r="AU1" s="14"/>
      <c r="AV1" s="14"/>
      <c r="AW1" s="15"/>
      <c r="AX1" s="13" t="s">
        <v>346</v>
      </c>
      <c r="AY1" s="14"/>
      <c r="AZ1" s="14"/>
      <c r="BA1" s="14"/>
      <c r="BB1" s="14"/>
      <c r="BC1" s="15"/>
      <c r="BD1" s="13" t="s">
        <v>347</v>
      </c>
      <c r="BE1" s="14"/>
      <c r="BF1" s="14"/>
      <c r="BG1" s="14"/>
      <c r="BH1" s="14"/>
      <c r="BI1" s="15"/>
      <c r="BJ1" s="13" t="s">
        <v>348</v>
      </c>
      <c r="BK1" s="14"/>
      <c r="BL1" s="14"/>
      <c r="BM1" s="14"/>
      <c r="BN1" s="14"/>
      <c r="BO1" s="15"/>
      <c r="BP1" s="13" t="s">
        <v>349</v>
      </c>
      <c r="BQ1" s="14"/>
      <c r="BR1" s="14"/>
      <c r="BS1" s="14"/>
      <c r="BT1" s="14"/>
      <c r="BU1" s="15"/>
      <c r="BV1" s="13" t="s">
        <v>350</v>
      </c>
      <c r="BW1" s="14"/>
      <c r="BX1" s="14"/>
      <c r="BY1" s="14"/>
      <c r="BZ1" s="14"/>
      <c r="CA1" s="15"/>
      <c r="CB1" s="13" t="s">
        <v>351</v>
      </c>
      <c r="CC1" s="14"/>
      <c r="CD1" s="14"/>
      <c r="CE1" s="14"/>
      <c r="CF1" s="14"/>
      <c r="CG1" s="15"/>
      <c r="CH1" s="13" t="s">
        <v>352</v>
      </c>
      <c r="CI1" s="14"/>
      <c r="CJ1" s="14"/>
      <c r="CK1" s="14"/>
      <c r="CL1" s="14"/>
      <c r="CM1" s="15"/>
      <c r="CN1" s="13" t="s">
        <v>353</v>
      </c>
      <c r="CO1" s="14"/>
      <c r="CP1" s="14"/>
      <c r="CQ1" s="14"/>
      <c r="CR1" s="14"/>
      <c r="CS1" s="15"/>
    </row>
    <row r="2" spans="1:97" ht="16.25" thickTop="1" thickBot="1" x14ac:dyDescent="0.9">
      <c r="A2" s="2" t="s">
        <v>0</v>
      </c>
      <c r="B2" s="2" t="s">
        <v>354</v>
      </c>
      <c r="C2" s="2" t="s">
        <v>355</v>
      </c>
      <c r="D2" s="2" t="s">
        <v>356</v>
      </c>
      <c r="E2" s="2" t="s">
        <v>357</v>
      </c>
      <c r="F2" s="2" t="s">
        <v>358</v>
      </c>
      <c r="G2" s="2" t="s">
        <v>359</v>
      </c>
      <c r="H2" s="2" t="s">
        <v>354</v>
      </c>
      <c r="I2" s="2" t="s">
        <v>355</v>
      </c>
      <c r="J2" s="2" t="s">
        <v>356</v>
      </c>
      <c r="K2" s="2" t="s">
        <v>357</v>
      </c>
      <c r="L2" s="2" t="s">
        <v>358</v>
      </c>
      <c r="M2" s="2" t="s">
        <v>359</v>
      </c>
      <c r="N2" s="2" t="s">
        <v>354</v>
      </c>
      <c r="O2" s="2" t="s">
        <v>355</v>
      </c>
      <c r="P2" s="2" t="s">
        <v>356</v>
      </c>
      <c r="Q2" s="2" t="s">
        <v>357</v>
      </c>
      <c r="R2" s="2" t="s">
        <v>358</v>
      </c>
      <c r="S2" s="2" t="s">
        <v>359</v>
      </c>
      <c r="T2" s="2" t="s">
        <v>354</v>
      </c>
      <c r="U2" s="2" t="s">
        <v>355</v>
      </c>
      <c r="V2" s="2" t="s">
        <v>356</v>
      </c>
      <c r="W2" s="2" t="s">
        <v>357</v>
      </c>
      <c r="X2" s="2" t="s">
        <v>358</v>
      </c>
      <c r="Y2" s="2" t="s">
        <v>359</v>
      </c>
      <c r="Z2" s="2" t="s">
        <v>354</v>
      </c>
      <c r="AA2" s="2" t="s">
        <v>355</v>
      </c>
      <c r="AB2" s="2" t="s">
        <v>356</v>
      </c>
      <c r="AC2" s="2" t="s">
        <v>357</v>
      </c>
      <c r="AD2" s="2" t="s">
        <v>358</v>
      </c>
      <c r="AE2" s="2" t="s">
        <v>359</v>
      </c>
      <c r="AF2" s="2" t="s">
        <v>354</v>
      </c>
      <c r="AG2" s="2" t="s">
        <v>355</v>
      </c>
      <c r="AH2" s="2" t="s">
        <v>356</v>
      </c>
      <c r="AI2" s="2" t="s">
        <v>357</v>
      </c>
      <c r="AJ2" s="2" t="s">
        <v>358</v>
      </c>
      <c r="AK2" s="2" t="s">
        <v>359</v>
      </c>
      <c r="AL2" s="2" t="s">
        <v>354</v>
      </c>
      <c r="AM2" s="2" t="s">
        <v>355</v>
      </c>
      <c r="AN2" s="2" t="s">
        <v>356</v>
      </c>
      <c r="AO2" s="2" t="s">
        <v>357</v>
      </c>
      <c r="AP2" s="2" t="s">
        <v>358</v>
      </c>
      <c r="AQ2" s="2" t="s">
        <v>359</v>
      </c>
      <c r="AR2" s="2" t="s">
        <v>354</v>
      </c>
      <c r="AS2" s="2" t="s">
        <v>355</v>
      </c>
      <c r="AT2" s="2" t="s">
        <v>356</v>
      </c>
      <c r="AU2" s="2" t="s">
        <v>357</v>
      </c>
      <c r="AV2" s="2" t="s">
        <v>358</v>
      </c>
      <c r="AW2" s="2" t="s">
        <v>359</v>
      </c>
      <c r="AX2" s="2" t="s">
        <v>354</v>
      </c>
      <c r="AY2" s="2" t="s">
        <v>355</v>
      </c>
      <c r="AZ2" s="2" t="s">
        <v>356</v>
      </c>
      <c r="BA2" s="2" t="s">
        <v>357</v>
      </c>
      <c r="BB2" s="2" t="s">
        <v>358</v>
      </c>
      <c r="BC2" s="2" t="s">
        <v>359</v>
      </c>
      <c r="BD2" s="2" t="s">
        <v>354</v>
      </c>
      <c r="BE2" s="2" t="s">
        <v>355</v>
      </c>
      <c r="BF2" s="2" t="s">
        <v>356</v>
      </c>
      <c r="BG2" s="2" t="s">
        <v>357</v>
      </c>
      <c r="BH2" s="2" t="s">
        <v>358</v>
      </c>
      <c r="BI2" s="2" t="s">
        <v>359</v>
      </c>
      <c r="BJ2" s="2" t="s">
        <v>354</v>
      </c>
      <c r="BK2" s="2" t="s">
        <v>355</v>
      </c>
      <c r="BL2" s="2" t="s">
        <v>356</v>
      </c>
      <c r="BM2" s="2" t="s">
        <v>357</v>
      </c>
      <c r="BN2" s="2" t="s">
        <v>358</v>
      </c>
      <c r="BO2" s="2" t="s">
        <v>359</v>
      </c>
      <c r="BP2" s="2" t="s">
        <v>354</v>
      </c>
      <c r="BQ2" s="2" t="s">
        <v>355</v>
      </c>
      <c r="BR2" s="2" t="s">
        <v>356</v>
      </c>
      <c r="BS2" s="2" t="s">
        <v>357</v>
      </c>
      <c r="BT2" s="2" t="s">
        <v>358</v>
      </c>
      <c r="BU2" s="2" t="s">
        <v>359</v>
      </c>
      <c r="BV2" s="2" t="s">
        <v>354</v>
      </c>
      <c r="BW2" s="2" t="s">
        <v>355</v>
      </c>
      <c r="BX2" s="2" t="s">
        <v>356</v>
      </c>
      <c r="BY2" s="2" t="s">
        <v>357</v>
      </c>
      <c r="BZ2" s="2" t="s">
        <v>358</v>
      </c>
      <c r="CA2" s="2" t="s">
        <v>359</v>
      </c>
      <c r="CB2" s="2" t="s">
        <v>354</v>
      </c>
      <c r="CC2" s="2" t="s">
        <v>355</v>
      </c>
      <c r="CD2" s="2" t="s">
        <v>356</v>
      </c>
      <c r="CE2" s="2" t="s">
        <v>357</v>
      </c>
      <c r="CF2" s="2" t="s">
        <v>358</v>
      </c>
      <c r="CG2" s="2" t="s">
        <v>359</v>
      </c>
      <c r="CH2" s="2" t="s">
        <v>354</v>
      </c>
      <c r="CI2" s="2" t="s">
        <v>355</v>
      </c>
      <c r="CJ2" s="2" t="s">
        <v>356</v>
      </c>
      <c r="CK2" s="2" t="s">
        <v>357</v>
      </c>
      <c r="CL2" s="2" t="s">
        <v>358</v>
      </c>
      <c r="CM2" s="2" t="s">
        <v>359</v>
      </c>
      <c r="CN2" s="2" t="s">
        <v>354</v>
      </c>
      <c r="CO2" s="2" t="s">
        <v>355</v>
      </c>
      <c r="CP2" s="2" t="s">
        <v>356</v>
      </c>
      <c r="CQ2" s="2" t="s">
        <v>357</v>
      </c>
      <c r="CR2" s="2" t="s">
        <v>358</v>
      </c>
      <c r="CS2" s="2" t="s">
        <v>359</v>
      </c>
    </row>
    <row r="3" spans="1:97" ht="16.25" thickTop="1" thickBot="1" x14ac:dyDescent="0.9">
      <c r="A3" s="2" t="s">
        <v>14</v>
      </c>
      <c r="B3" s="2" t="str">
        <f ca="1">IF(C3="","",IF(C3="D/ST",MID(VLOOKUP($A3,INDIRECT("'"&amp;Summary!B$1&amp;"'!$A$1:$S$17"),2,FALSE),1,FIND(" ",VLOOKUP($A3,INDIRECT("'"&amp;Summary!B$1&amp;"'!$A$1:$S$17"),2,FALSE))+4),MID(VLOOKUP($A3,INDIRECT("'"&amp;Summary!B$1&amp;"'!$A$1:$S$17"),2,FALSE),1,FIND(",",VLOOKUP($A3,INDIRECT("'"&amp;Summary!B$1&amp;"'!$A$1:$S$17"),2,FALSE))-1)))</f>
        <v>Carson Palmer</v>
      </c>
      <c r="C3" s="2" t="str">
        <f ca="1">IF(ISNUMBER(SEARCH("QB",VLOOKUP($A3,INDIRECT("'"&amp;Summary!B$1&amp;"'!$A$1:$S$17"),2,FALSE))),"QB",
IF(ISNUMBER(SEARCH("RB",VLOOKUP($A3,INDIRECT("'"&amp;Summary!B$1&amp;"'!$A$1:$S$17"),2,FALSE))),"RB",
IF(ISNUMBER(SEARCH("WR",VLOOKUP($A3,INDIRECT("'"&amp;Summary!B$1&amp;"'!$A$1:$S$17"),2,FALSE))),"WR",
IF(ISNUMBER(SEARCH("D/ST",VLOOKUP($A3,INDIRECT("'"&amp;Summary!B$1&amp;"'!$A$1:$S$17"),2,FALSE))),"D/ST",
IF(ISNUMBER(SEARCH("TE",VLOOKUP($A3,INDIRECT("'"&amp;Summary!B$1&amp;"'!$A$1:$S$17"),2,FALSE))),"TE","")))))</f>
        <v>QB</v>
      </c>
      <c r="D3" s="2">
        <f ca="1">IF(C3="","",IF(C3&lt;&gt;"D/ST",VLOOKUP($A3,INDIRECT("'"&amp;Summary!B$1&amp;"'!$A$1:$S$17"),19,FALSE),VLOOKUP($A3,INDIRECT("'"&amp;Summary!B$1&amp;"'!$A$1:$S$17"),12,FALSE)))</f>
        <v>10.9</v>
      </c>
      <c r="E3" s="2">
        <f t="array" aca="1" ref="E3" ca="1">IF(C3="","",IF(C3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3,INDIRECT("'"&amp;Summary!B$1&amp;"'!$A$1:$A$17"),0)&amp;":$S"&amp;MATCH($A3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3,INDIRECT("'"&amp;Summary!B$1&amp;"'!$A$1:$A$17"),0)&amp;":$S"&amp;MATCH($A3,INDIRECT("'"&amp;Summary!B$1&amp;"'!$A$1:$A$17"),0)))))</f>
        <v>1</v>
      </c>
      <c r="F3" s="3">
        <f ca="1">IF(D3=0,0,E3*6/D3)</f>
        <v>0.55045871559633031</v>
      </c>
      <c r="G3" s="3">
        <f ca="1">1-F3</f>
        <v>0.44954128440366969</v>
      </c>
      <c r="H3" s="2" t="str">
        <f ca="1">IF(I3="","",IF(I3="D/ST",MID(VLOOKUP($A3,INDIRECT("'"&amp;Summary!H$1&amp;"'!$A$1:$S$17"),2,FALSE),1,FIND(" ",VLOOKUP($A3,INDIRECT("'"&amp;Summary!H$1&amp;"'!$A$1:$S$17"),2,FALSE))+4),MID(VLOOKUP($A3,INDIRECT("'"&amp;Summary!H$1&amp;"'!$A$1:$S$17"),2,FALSE),1,FIND(",",VLOOKUP($A3,INDIRECT("'"&amp;Summary!H$1&amp;"'!$A$1:$S$17"),2,FALSE))-1)))</f>
        <v>Jared Goff</v>
      </c>
      <c r="I3" s="2" t="str">
        <f ca="1">IF(ISNUMBER(SEARCH("QB",VLOOKUP($A3,INDIRECT("'"&amp;Summary!H$1&amp;"'!$A$1:$S$17"),2,FALSE))),"QB",
IF(ISNUMBER(SEARCH("RB",VLOOKUP($A3,INDIRECT("'"&amp;Summary!H$1&amp;"'!$A$1:$S$17"),2,FALSE))),"RB",
IF(ISNUMBER(SEARCH("WR",VLOOKUP($A3,INDIRECT("'"&amp;Summary!H$1&amp;"'!$A$1:$S$17"),2,FALSE))),"WR",
IF(ISNUMBER(SEARCH("D/ST",VLOOKUP($A3,INDIRECT("'"&amp;Summary!H$1&amp;"'!$A$1:$S$17"),2,FALSE))),"D/ST",
IF(ISNUMBER(SEARCH("TE",VLOOKUP($A3,INDIRECT("'"&amp;Summary!H$1&amp;"'!$A$1:$S$17"),2,FALSE))),"TE","")))))</f>
        <v>QB</v>
      </c>
      <c r="J3" s="2">
        <f ca="1">IF(I3="","",IF(I3&lt;&gt;"D/ST",VLOOKUP($A3,INDIRECT("'"&amp;Summary!H$1&amp;"'!$A$1:$S$17"),19,FALSE),VLOOKUP($A3,INDIRECT("'"&amp;Summary!H$1&amp;"'!$A$1:$S$17"),12,FALSE)))</f>
        <v>12.9</v>
      </c>
      <c r="K3" s="2">
        <f t="array" aca="1" ref="K3" ca="1">IF(I3="","",IF(I3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3,INDIRECT("'"&amp;Summary!H$1&amp;"'!$A$1:$A$17"),0)&amp;":$S"&amp;MATCH($A3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3,INDIRECT("'"&amp;Summary!H$1&amp;"'!$A$1:$A$17"),0)&amp;":$S"&amp;MATCH($A3,INDIRECT("'"&amp;Summary!H$1&amp;"'!$A$1:$A$17"),0)))))</f>
        <v>1</v>
      </c>
      <c r="L3" s="3">
        <f ca="1">IF(J3=0,0,K3*6/J3)</f>
        <v>0.46511627906976744</v>
      </c>
      <c r="M3" s="3">
        <f ca="1">1-L3</f>
        <v>0.53488372093023262</v>
      </c>
      <c r="N3" s="2" t="str">
        <f ca="1">IF(O3="","",IF(O3="D/ST",MID(VLOOKUP($A3,INDIRECT("'"&amp;Summary!N$1&amp;"'!$A$1:$S$17"),2,FALSE),1,FIND(" ",VLOOKUP($A3,INDIRECT("'"&amp;Summary!N$1&amp;"'!$A$1:$S$17"),2,FALSE))+4),MID(VLOOKUP($A3,INDIRECT("'"&amp;Summary!N$1&amp;"'!$A$1:$S$17"),2,FALSE),1,FIND(",",VLOOKUP($A3,INDIRECT("'"&amp;Summary!N$1&amp;"'!$A$1:$S$17"),2,FALSE))-1)))</f>
        <v>Jay Cutler</v>
      </c>
      <c r="O3" s="2" t="str">
        <f ca="1">IF(ISNUMBER(SEARCH("QB",VLOOKUP($A3,INDIRECT("'"&amp;Summary!N$1&amp;"'!$A$1:$S$17"),2,FALSE))),"QB",
IF(ISNUMBER(SEARCH("RB",VLOOKUP($A3,INDIRECT("'"&amp;Summary!N$1&amp;"'!$A$1:$S$17"),2,FALSE))),"RB",
IF(ISNUMBER(SEARCH("WR",VLOOKUP($A3,INDIRECT("'"&amp;Summary!N$1&amp;"'!$A$1:$S$17"),2,FALSE))),"WR",
IF(ISNUMBER(SEARCH("D/ST",VLOOKUP($A3,INDIRECT("'"&amp;Summary!N$1&amp;"'!$A$1:$S$17"),2,FALSE))),"D/ST",
IF(ISNUMBER(SEARCH("TE",VLOOKUP($A3,INDIRECT("'"&amp;Summary!N$1&amp;"'!$A$1:$S$17"),2,FALSE))),"TE","")))))</f>
        <v>QB</v>
      </c>
      <c r="P3" s="2">
        <f ca="1">IF(O3="","",IF(O3&lt;&gt;"D/ST",VLOOKUP($A3,INDIRECT("'"&amp;Summary!N$1&amp;"'!$A$1:$S$17"),19,FALSE),VLOOKUP($A3,INDIRECT("'"&amp;Summary!N$1&amp;"'!$A$1:$S$17"),12,FALSE)))</f>
        <v>13.7</v>
      </c>
      <c r="Q3" s="2">
        <f t="array" aca="1" ref="Q3" ca="1">IF(O3="","",IF(O3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3,INDIRECT("'"&amp;Summary!N$1&amp;"'!$A$1:$A$17"),0)&amp;":$S"&amp;MATCH($A3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3,INDIRECT("'"&amp;Summary!N$1&amp;"'!$A$1:$A$17"),0)&amp;":$S"&amp;MATCH($A3,INDIRECT("'"&amp;Summary!N$1&amp;"'!$A$1:$A$17"),0)))))</f>
        <v>1</v>
      </c>
      <c r="R3" s="3">
        <f ca="1">IF(P3=0,0,Q3*6/P3)</f>
        <v>0.43795620437956206</v>
      </c>
      <c r="S3" s="3">
        <f ca="1">1-R3</f>
        <v>0.56204379562043794</v>
      </c>
      <c r="T3" s="2" t="str">
        <f ca="1">IF(U3="","",IF(U3="D/ST",MID(VLOOKUP($A3,INDIRECT("'"&amp;Summary!T$1&amp;"'!$A$1:$S$17"),2,FALSE),1,FIND(" ",VLOOKUP($A3,INDIRECT("'"&amp;Summary!T$1&amp;"'!$A$1:$S$17"),2,FALSE))+4),MID(VLOOKUP($A3,INDIRECT("'"&amp;Summary!T$1&amp;"'!$A$1:$S$17"),2,FALSE),1,FIND(",",VLOOKUP($A3,INDIRECT("'"&amp;Summary!T$1&amp;"'!$A$1:$S$17"),2,FALSE))-1)))</f>
        <v>Andy Dalton</v>
      </c>
      <c r="U3" s="2" t="str">
        <f ca="1">IF(ISNUMBER(SEARCH("QB",VLOOKUP($A3,INDIRECT("'"&amp;Summary!T$1&amp;"'!$A$1:$S$17"),2,FALSE))),"QB",
IF(ISNUMBER(SEARCH("RB",VLOOKUP($A3,INDIRECT("'"&amp;Summary!T$1&amp;"'!$A$1:$S$17"),2,FALSE))),"RB",
IF(ISNUMBER(SEARCH("WR",VLOOKUP($A3,INDIRECT("'"&amp;Summary!T$1&amp;"'!$A$1:$S$17"),2,FALSE))),"WR",
IF(ISNUMBER(SEARCH("D/ST",VLOOKUP($A3,INDIRECT("'"&amp;Summary!T$1&amp;"'!$A$1:$S$17"),2,FALSE))),"D/ST",
IF(ISNUMBER(SEARCH("TE",VLOOKUP($A3,INDIRECT("'"&amp;Summary!T$1&amp;"'!$A$1:$S$17"),2,FALSE))),"TE","")))))</f>
        <v>QB</v>
      </c>
      <c r="V3" s="2">
        <f ca="1">IF(U3="","",IF(U3&lt;&gt;"D/ST",VLOOKUP($A3,INDIRECT("'"&amp;Summary!T$1&amp;"'!$A$1:$S$17"),19,FALSE),VLOOKUP($A3,INDIRECT("'"&amp;Summary!T$1&amp;"'!$A$1:$S$17"),12,FALSE)))</f>
        <v>36.299999999999997</v>
      </c>
      <c r="W3" s="2">
        <f t="array" aca="1" ref="W3" ca="1">IF(U3="","",IF(U3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3,INDIRECT("'"&amp;Summary!T$1&amp;"'!$A$1:$A$17"),0)&amp;":$S"&amp;MATCH($A3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3,INDIRECT("'"&amp;Summary!T$1&amp;"'!$A$1:$A$17"),0)&amp;":$S"&amp;MATCH($A3,INDIRECT("'"&amp;Summary!T$1&amp;"'!$A$1:$A$17"),0)))))</f>
        <v>4</v>
      </c>
      <c r="X3" s="3">
        <f ca="1">IF(V3=0,0,W3*6/V3)</f>
        <v>0.66115702479338845</v>
      </c>
      <c r="Y3" s="3">
        <f ca="1">1-X3</f>
        <v>0.33884297520661155</v>
      </c>
      <c r="Z3" s="2" t="str">
        <f ca="1">IF(AA3="","",IF(AA3="D/ST",MID(VLOOKUP($A3,INDIRECT("'"&amp;Summary!Z$1&amp;"'!$A$1:$S$17"),2,FALSE),1,FIND(" ",VLOOKUP($A3,INDIRECT("'"&amp;Summary!Z$1&amp;"'!$A$1:$S$17"),2,FALSE))+4),MID(VLOOKUP($A3,INDIRECT("'"&amp;Summary!Z$1&amp;"'!$A$1:$S$17"),2,FALSE),1,FIND(",",VLOOKUP($A3,INDIRECT("'"&amp;Summary!Z$1&amp;"'!$A$1:$S$17"),2,FALSE))-1)))</f>
        <v>Deshaun Watson</v>
      </c>
      <c r="AA3" s="2" t="str">
        <f ca="1">IF(ISNUMBER(SEARCH("QB",VLOOKUP($A3,INDIRECT("'"&amp;Summary!Z$1&amp;"'!$A$1:$S$17"),2,FALSE))),"QB",
IF(ISNUMBER(SEARCH("RB",VLOOKUP($A3,INDIRECT("'"&amp;Summary!Z$1&amp;"'!$A$1:$S$17"),2,FALSE))),"RB",
IF(ISNUMBER(SEARCH("WR",VLOOKUP($A3,INDIRECT("'"&amp;Summary!Z$1&amp;"'!$A$1:$S$17"),2,FALSE))),"WR",
IF(ISNUMBER(SEARCH("D/ST",VLOOKUP($A3,INDIRECT("'"&amp;Summary!Z$1&amp;"'!$A$1:$S$17"),2,FALSE))),"D/ST",
IF(ISNUMBER(SEARCH("TE",VLOOKUP($A3,INDIRECT("'"&amp;Summary!Z$1&amp;"'!$A$1:$S$17"),2,FALSE))),"TE","")))))</f>
        <v>QB</v>
      </c>
      <c r="AB3" s="2">
        <f ca="1">IF(AA3="","",IF(AA3&lt;&gt;"D/ST",VLOOKUP($A3,INDIRECT("'"&amp;Summary!Z$1&amp;"'!$A$1:$S$17"),19,FALSE),VLOOKUP($A3,INDIRECT("'"&amp;Summary!Z$1&amp;"'!$A$1:$S$17"),12,FALSE)))</f>
        <v>45.5</v>
      </c>
      <c r="AC3" s="2">
        <f t="array" aca="1" ref="AC3" ca="1">IF(AA3="","",IF(AA3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3,INDIRECT("'"&amp;Summary!Z$1&amp;"'!$A$1:$A$17"),0)&amp;":$S"&amp;MATCH($A3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3,INDIRECT("'"&amp;Summary!Z$1&amp;"'!$A$1:$A$17"),0)&amp;":$S"&amp;MATCH($A3,INDIRECT("'"&amp;Summary!Z$1&amp;"'!$A$1:$A$17"),0)))))</f>
        <v>5</v>
      </c>
      <c r="AD3" s="3">
        <f ca="1">IF(AB3=0,0,AC3*6/AB3)</f>
        <v>0.65934065934065933</v>
      </c>
      <c r="AE3" s="3">
        <f ca="1">1-AD3</f>
        <v>0.34065934065934067</v>
      </c>
      <c r="AF3" s="2" t="str">
        <f ca="1">IF(AG3="","",IF(AG3="D/ST",MID(VLOOKUP($A3,INDIRECT("'"&amp;Summary!AF$1&amp;"'!$A$1:$S$17"),2,FALSE),1,FIND(" ",VLOOKUP($A3,INDIRECT("'"&amp;Summary!AF$1&amp;"'!$A$1:$S$17"),2,FALSE))+4),MID(VLOOKUP($A3,INDIRECT("'"&amp;Summary!AF$1&amp;"'!$A$1:$S$17"),2,FALSE),1,FIND(",",VLOOKUP($A3,INDIRECT("'"&amp;Summary!AF$1&amp;"'!$A$1:$S$17"),2,FALSE))-1)))</f>
        <v>Matt Ryan</v>
      </c>
      <c r="AG3" s="2" t="str">
        <f ca="1">IF(ISNUMBER(SEARCH("QB",VLOOKUP($A3,INDIRECT("'"&amp;Summary!AF$1&amp;"'!$A$1:$S$17"),2,FALSE))),"QB",
IF(ISNUMBER(SEARCH("RB",VLOOKUP($A3,INDIRECT("'"&amp;Summary!AF$1&amp;"'!$A$1:$S$17"),2,FALSE))),"RB",
IF(ISNUMBER(SEARCH("WR",VLOOKUP($A3,INDIRECT("'"&amp;Summary!AF$1&amp;"'!$A$1:$S$17"),2,FALSE))),"WR",
IF(ISNUMBER(SEARCH("D/ST",VLOOKUP($A3,INDIRECT("'"&amp;Summary!AF$1&amp;"'!$A$1:$S$17"),2,FALSE))),"D/ST",
IF(ISNUMBER(SEARCH("TE",VLOOKUP($A3,INDIRECT("'"&amp;Summary!AF$1&amp;"'!$A$1:$S$17"),2,FALSE))),"TE","")))))</f>
        <v>QB</v>
      </c>
      <c r="AH3" s="2">
        <f ca="1">IF(AG3="","",IF(AG3&lt;&gt;"D/ST",VLOOKUP($A3,INDIRECT("'"&amp;Summary!AF$1&amp;"'!$A$1:$S$17"),19,FALSE),VLOOKUP($A3,INDIRECT("'"&amp;Summary!AF$1&amp;"'!$A$1:$S$17"),12,FALSE)))</f>
        <v>13.9</v>
      </c>
      <c r="AI3" s="2">
        <f t="array" aca="1" ref="AI3" ca="1">IF(AG3="","",IF(AG3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3,INDIRECT("'"&amp;Summary!AF$1&amp;"'!$A$1:$A$17"),0)&amp;":$S"&amp;MATCH($A3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3,INDIRECT("'"&amp;Summary!AF$1&amp;"'!$A$1:$A$17"),0)&amp;":$S"&amp;MATCH($A3,INDIRECT("'"&amp;Summary!AF$1&amp;"'!$A$1:$A$17"),0)))))</f>
        <v>1</v>
      </c>
      <c r="AJ3" s="3">
        <f ca="1">IF(AH3=0,0,AI3*6/AH3)</f>
        <v>0.43165467625899279</v>
      </c>
      <c r="AK3" s="3">
        <f ca="1">1-AJ3</f>
        <v>0.56834532374100721</v>
      </c>
      <c r="AL3" s="2" t="str">
        <f ca="1">IF(AM3="","",IF(AM3="D/ST",MID(VLOOKUP($A3,INDIRECT("'"&amp;Summary!AL$1&amp;"'!$A$1:$S$17"),2,FALSE),1,FIND(" ",VLOOKUP($A3,INDIRECT("'"&amp;Summary!AL$1&amp;"'!$A$1:$S$17"),2,FALSE))+4),MID(VLOOKUP($A3,INDIRECT("'"&amp;Summary!AL$1&amp;"'!$A$1:$S$17"),2,FALSE),1,FIND(",",VLOOKUP($A3,INDIRECT("'"&amp;Summary!AL$1&amp;"'!$A$1:$S$17"),2,FALSE))-1)))</f>
        <v>Matt Ryan</v>
      </c>
      <c r="AM3" s="2" t="str">
        <f ca="1">IF(ISNUMBER(SEARCH("QB",VLOOKUP($A3,INDIRECT("'"&amp;Summary!AL$1&amp;"'!$A$1:$S$17"),2,FALSE))),"QB",
IF(ISNUMBER(SEARCH("RB",VLOOKUP($A3,INDIRECT("'"&amp;Summary!AL$1&amp;"'!$A$1:$S$17"),2,FALSE))),"RB",
IF(ISNUMBER(SEARCH("WR",VLOOKUP($A3,INDIRECT("'"&amp;Summary!AL$1&amp;"'!$A$1:$S$17"),2,FALSE))),"WR",
IF(ISNUMBER(SEARCH("D/ST",VLOOKUP($A3,INDIRECT("'"&amp;Summary!AL$1&amp;"'!$A$1:$S$17"),2,FALSE))),"D/ST",
IF(ISNUMBER(SEARCH("TE",VLOOKUP($A3,INDIRECT("'"&amp;Summary!AL$1&amp;"'!$A$1:$S$17"),2,FALSE))),"TE","")))))</f>
        <v>QB</v>
      </c>
      <c r="AN3" s="2">
        <f ca="1">IF(AM3="","",IF(AM3&lt;&gt;"D/ST",VLOOKUP($A3,INDIRECT("'"&amp;Summary!AL$1&amp;"'!$A$1:$S$17"),19,FALSE),VLOOKUP($A3,INDIRECT("'"&amp;Summary!AL$1&amp;"'!$A$1:$S$17"),12,FALSE)))</f>
        <v>19</v>
      </c>
      <c r="AO3" s="2">
        <f t="array" aca="1" ref="AO3" ca="1">IF(AM3="","",IF(AM3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3,INDIRECT("'"&amp;Summary!AL$1&amp;"'!$A$1:$A$17"),0)&amp;":$S"&amp;MATCH($A3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3,INDIRECT("'"&amp;Summary!AL$1&amp;"'!$A$1:$A$17"),0)&amp;":$S"&amp;MATCH($A3,INDIRECT("'"&amp;Summary!AL$1&amp;"'!$A$1:$A$17"),0)))))</f>
        <v>1</v>
      </c>
      <c r="AP3" s="3">
        <f ca="1">IF(AN3=0,0,AO3*6/AN3)</f>
        <v>0.31578947368421051</v>
      </c>
      <c r="AQ3" s="3">
        <f ca="1">1-AP3</f>
        <v>0.68421052631578949</v>
      </c>
      <c r="AR3" s="2" t="str">
        <f ca="1">IF(AS3="","",IF(AS3="D/ST",MID(VLOOKUP($A3,INDIRECT("'"&amp;Summary!AR$1&amp;"'!$A$1:$S$17"),2,FALSE),1,FIND(" ",VLOOKUP($A3,INDIRECT("'"&amp;Summary!AR$1&amp;"'!$A$1:$S$17"),2,FALSE))+4),MID(VLOOKUP($A3,INDIRECT("'"&amp;Summary!AR$1&amp;"'!$A$1:$S$17"),2,FALSE),1,FIND(",",VLOOKUP($A3,INDIRECT("'"&amp;Summary!AR$1&amp;"'!$A$1:$S$17"),2,FALSE))-1)))</f>
        <v>Matt Ryan</v>
      </c>
      <c r="AS3" s="2" t="str">
        <f ca="1">IF(ISNUMBER(SEARCH("QB",VLOOKUP($A3,INDIRECT("'"&amp;Summary!AR$1&amp;"'!$A$1:$S$17"),2,FALSE))),"QB",
IF(ISNUMBER(SEARCH("RB",VLOOKUP($A3,INDIRECT("'"&amp;Summary!AR$1&amp;"'!$A$1:$S$17"),2,FALSE))),"RB",
IF(ISNUMBER(SEARCH("WR",VLOOKUP($A3,INDIRECT("'"&amp;Summary!AR$1&amp;"'!$A$1:$S$17"),2,FALSE))),"WR",
IF(ISNUMBER(SEARCH("D/ST",VLOOKUP($A3,INDIRECT("'"&amp;Summary!AR$1&amp;"'!$A$1:$S$17"),2,FALSE))),"D/ST",
IF(ISNUMBER(SEARCH("TE",VLOOKUP($A3,INDIRECT("'"&amp;Summary!AR$1&amp;"'!$A$1:$S$17"),2,FALSE))),"TE","")))))</f>
        <v>QB</v>
      </c>
      <c r="AT3" s="2">
        <f ca="1">IF(AS3="","",IF(AS3&lt;&gt;"D/ST",VLOOKUP($A3,INDIRECT("'"&amp;Summary!AR$1&amp;"'!$A$1:$S$17"),19,FALSE),VLOOKUP($A3,INDIRECT("'"&amp;Summary!AR$1&amp;"'!$A$1:$S$17"),12,FALSE)))</f>
        <v>19.899999999999999</v>
      </c>
      <c r="AU3" s="2">
        <f t="array" aca="1" ref="AU3" ca="1">IF(AS3="","",IF(AS3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3,INDIRECT("'"&amp;Summary!AR$1&amp;"'!$A$1:$A$17"),0)&amp;":$S"&amp;MATCH($A3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3,INDIRECT("'"&amp;Summary!AR$1&amp;"'!$A$1:$A$17"),0)&amp;":$S"&amp;MATCH($A3,INDIRECT("'"&amp;Summary!AR$1&amp;"'!$A$1:$A$17"),0)))))</f>
        <v>2</v>
      </c>
      <c r="AV3" s="3">
        <f ca="1">IF(AT3=0,0,AU3*6/AT3)</f>
        <v>0.60301507537688448</v>
      </c>
      <c r="AW3" s="3">
        <f ca="1">1-AV3</f>
        <v>0.39698492462311552</v>
      </c>
      <c r="AX3" s="2" t="str">
        <f ca="1">IF(AY3="","",IF(AY3="D/ST",MID(VLOOKUP($A3,INDIRECT("'"&amp;Summary!AX$1&amp;"'!$A$1:$S$17"),2,FALSE),1,FIND(" ",VLOOKUP($A3,INDIRECT("'"&amp;Summary!AX$1&amp;"'!$A$1:$S$17"),2,FALSE))+4),MID(VLOOKUP($A3,INDIRECT("'"&amp;Summary!AX$1&amp;"'!$A$1:$S$17"),2,FALSE),1,FIND(",",VLOOKUP($A3,INDIRECT("'"&amp;Summary!AX$1&amp;"'!$A$1:$S$17"),2,FALSE))-1)))</f>
        <v>Matt Ryan</v>
      </c>
      <c r="AY3" s="2" t="str">
        <f ca="1">IF(ISNUMBER(SEARCH("QB",VLOOKUP($A3,INDIRECT("'"&amp;Summary!AX$1&amp;"'!$A$1:$S$17"),2,FALSE))),"QB",
IF(ISNUMBER(SEARCH("RB",VLOOKUP($A3,INDIRECT("'"&amp;Summary!AX$1&amp;"'!$A$1:$S$17"),2,FALSE))),"RB",
IF(ISNUMBER(SEARCH("WR",VLOOKUP($A3,INDIRECT("'"&amp;Summary!AX$1&amp;"'!$A$1:$S$17"),2,FALSE))),"WR",
IF(ISNUMBER(SEARCH("D/ST",VLOOKUP($A3,INDIRECT("'"&amp;Summary!AX$1&amp;"'!$A$1:$S$17"),2,FALSE))),"D/ST",
IF(ISNUMBER(SEARCH("TE",VLOOKUP($A3,INDIRECT("'"&amp;Summary!AX$1&amp;"'!$A$1:$S$17"),2,FALSE))),"TE","")))))</f>
        <v>QB</v>
      </c>
      <c r="AZ3" s="2">
        <f ca="1">IF(AY3="","",IF(AY3&lt;&gt;"D/ST",VLOOKUP($A3,INDIRECT("'"&amp;Summary!AX$1&amp;"'!$A$1:$S$17"),19,FALSE),VLOOKUP($A3,INDIRECT("'"&amp;Summary!AX$1&amp;"'!$A$1:$S$17"),12,FALSE)))</f>
        <v>22.4</v>
      </c>
      <c r="BA3" s="2">
        <f t="array" aca="1" ref="BA3" ca="1">IF(AY3="","",IF(AY3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3,INDIRECT("'"&amp;Summary!AX$1&amp;"'!$A$1:$A$17"),0)&amp;":$S"&amp;MATCH($A3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3,INDIRECT("'"&amp;Summary!AX$1&amp;"'!$A$1:$A$17"),0)&amp;":$S"&amp;MATCH($A3,INDIRECT("'"&amp;Summary!AX$1&amp;"'!$A$1:$A$17"),0)))))</f>
        <v>2</v>
      </c>
      <c r="BB3" s="3">
        <f ca="1">IF(AZ3=0,0,BA3*6/AZ3)</f>
        <v>0.5357142857142857</v>
      </c>
      <c r="BC3" s="3">
        <f ca="1">1-BB3</f>
        <v>0.4642857142857143</v>
      </c>
      <c r="BD3" s="2" t="str">
        <f ca="1">IF(BE3="","",IF(BE3="D/ST",MID(VLOOKUP($A3,INDIRECT("'"&amp;Summary!BD$1&amp;"'!$A$1:$S$17"),2,FALSE),1,FIND(" ",VLOOKUP($A3,INDIRECT("'"&amp;Summary!BD$1&amp;"'!$A$1:$S$17"),2,FALSE))+4),MID(VLOOKUP($A3,INDIRECT("'"&amp;Summary!BD$1&amp;"'!$A$1:$S$17"),2,FALSE),1,FIND(",",VLOOKUP($A3,INDIRECT("'"&amp;Summary!BD$1&amp;"'!$A$1:$S$17"),2,FALSE))-1)))</f>
        <v>Matt Ryan</v>
      </c>
      <c r="BE3" s="2" t="str">
        <f ca="1">IF(ISNUMBER(SEARCH("QB",VLOOKUP($A3,INDIRECT("'"&amp;Summary!BD$1&amp;"'!$A$1:$S$17"),2,FALSE))),"QB",
IF(ISNUMBER(SEARCH("RB",VLOOKUP($A3,INDIRECT("'"&amp;Summary!BD$1&amp;"'!$A$1:$S$17"),2,FALSE))),"RB",
IF(ISNUMBER(SEARCH("WR",VLOOKUP($A3,INDIRECT("'"&amp;Summary!BD$1&amp;"'!$A$1:$S$17"),2,FALSE))),"WR",
IF(ISNUMBER(SEARCH("D/ST",VLOOKUP($A3,INDIRECT("'"&amp;Summary!BD$1&amp;"'!$A$1:$S$17"),2,FALSE))),"D/ST",
IF(ISNUMBER(SEARCH("TE",VLOOKUP($A3,INDIRECT("'"&amp;Summary!BD$1&amp;"'!$A$1:$S$17"),2,FALSE))),"TE","")))))</f>
        <v>QB</v>
      </c>
      <c r="BF3" s="2">
        <f ca="1">IF(BE3="","",IF(BE3&lt;&gt;"D/ST",VLOOKUP($A3,INDIRECT("'"&amp;Summary!BD$1&amp;"'!$A$1:$S$17"),19,FALSE),VLOOKUP($A3,INDIRECT("'"&amp;Summary!BD$1&amp;"'!$A$1:$S$17"),12,FALSE)))</f>
        <v>18.600000000000001</v>
      </c>
      <c r="BG3" s="2">
        <f t="array" aca="1" ref="BG3" ca="1">IF(BE3="","",IF(BE3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3,INDIRECT("'"&amp;Summary!BD$1&amp;"'!$A$1:$A$17"),0)&amp;":$S"&amp;MATCH($A3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3,INDIRECT("'"&amp;Summary!BD$1&amp;"'!$A$1:$A$17"),0)&amp;":$S"&amp;MATCH($A3,INDIRECT("'"&amp;Summary!BD$1&amp;"'!$A$1:$A$17"),0)))))</f>
        <v>2</v>
      </c>
      <c r="BH3" s="3">
        <f ca="1">IF(BF3=0,0,BG3*6/BF3)</f>
        <v>0.64516129032258063</v>
      </c>
      <c r="BI3" s="3">
        <f ca="1">1-BH3</f>
        <v>0.35483870967741937</v>
      </c>
      <c r="BJ3" s="2" t="str">
        <f ca="1">IF(BK3="","",IF(BK3="D/ST",MID(VLOOKUP($A3,INDIRECT("'"&amp;Summary!BJ$1&amp;"'!$A$1:$S$17"),2,FALSE),1,FIND(" ",VLOOKUP($A3,INDIRECT("'"&amp;Summary!BJ$1&amp;"'!$A$1:$S$17"),2,FALSE))+4),MID(VLOOKUP($A3,INDIRECT("'"&amp;Summary!BJ$1&amp;"'!$A$1:$S$17"),2,FALSE),1,FIND(",",VLOOKUP($A3,INDIRECT("'"&amp;Summary!BJ$1&amp;"'!$A$1:$S$17"),2,FALSE))-1)))</f>
        <v>Matt Ryan</v>
      </c>
      <c r="BK3" s="2" t="str">
        <f ca="1">IF(ISNUMBER(SEARCH("QB",VLOOKUP($A3,INDIRECT("'"&amp;Summary!BJ$1&amp;"'!$A$1:$S$17"),2,FALSE))),"QB",
IF(ISNUMBER(SEARCH("RB",VLOOKUP($A3,INDIRECT("'"&amp;Summary!BJ$1&amp;"'!$A$1:$S$17"),2,FALSE))),"RB",
IF(ISNUMBER(SEARCH("WR",VLOOKUP($A3,INDIRECT("'"&amp;Summary!BJ$1&amp;"'!$A$1:$S$17"),2,FALSE))),"WR",
IF(ISNUMBER(SEARCH("D/ST",VLOOKUP($A3,INDIRECT("'"&amp;Summary!BJ$1&amp;"'!$A$1:$S$17"),2,FALSE))),"D/ST",
IF(ISNUMBER(SEARCH("TE",VLOOKUP($A3,INDIRECT("'"&amp;Summary!BJ$1&amp;"'!$A$1:$S$17"),2,FALSE))),"TE","")))))</f>
        <v>QB</v>
      </c>
      <c r="BL3" s="2">
        <f ca="1">IF(BK3="","",IF(BK3&lt;&gt;"D/ST",VLOOKUP($A3,INDIRECT("'"&amp;Summary!BJ$1&amp;"'!$A$1:$S$17"),19,FALSE),VLOOKUP($A3,INDIRECT("'"&amp;Summary!BJ$1&amp;"'!$A$1:$S$17"),12,FALSE)))</f>
        <v>21</v>
      </c>
      <c r="BM3" s="2">
        <f t="array" aca="1" ref="BM3" ca="1">IF(BK3="","",IF(BK3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3,INDIRECT("'"&amp;Summary!BJ$1&amp;"'!$A$1:$A$17"),0)&amp;":$S"&amp;MATCH($A3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3,INDIRECT("'"&amp;Summary!BJ$1&amp;"'!$A$1:$A$17"),0)&amp;":$S"&amp;MATCH($A3,INDIRECT("'"&amp;Summary!BJ$1&amp;"'!$A$1:$A$17"),0)))))</f>
        <v>2</v>
      </c>
      <c r="BN3" s="3">
        <f ca="1">IF(BL3=0,0,BM3*6/BL3)</f>
        <v>0.5714285714285714</v>
      </c>
      <c r="BO3" s="3">
        <f ca="1">1-BN3</f>
        <v>0.4285714285714286</v>
      </c>
      <c r="BP3" s="2" t="str">
        <f ca="1">IF(BQ3="","",IF(BQ3="D/ST",MID(VLOOKUP($A3,INDIRECT("'"&amp;Summary!BP$1&amp;"'!$A$1:$S$17"),2,FALSE),1,FIND(" ",VLOOKUP($A3,INDIRECT("'"&amp;Summary!BP$1&amp;"'!$A$1:$S$17"),2,FALSE))+4),MID(VLOOKUP($A3,INDIRECT("'"&amp;Summary!BP$1&amp;"'!$A$1:$S$17"),2,FALSE),1,FIND(",",VLOOKUP($A3,INDIRECT("'"&amp;Summary!BP$1&amp;"'!$A$1:$S$17"),2,FALSE))-1)))</f>
        <v>Matt Ryan</v>
      </c>
      <c r="BQ3" s="2" t="str">
        <f ca="1">IF(ISNUMBER(SEARCH("QB",VLOOKUP($A3,INDIRECT("'"&amp;Summary!BP$1&amp;"'!$A$1:$S$17"),2,FALSE))),"QB",
IF(ISNUMBER(SEARCH("RB",VLOOKUP($A3,INDIRECT("'"&amp;Summary!BP$1&amp;"'!$A$1:$S$17"),2,FALSE))),"RB",
IF(ISNUMBER(SEARCH("WR",VLOOKUP($A3,INDIRECT("'"&amp;Summary!BP$1&amp;"'!$A$1:$S$17"),2,FALSE))),"WR",
IF(ISNUMBER(SEARCH("D/ST",VLOOKUP($A3,INDIRECT("'"&amp;Summary!BP$1&amp;"'!$A$1:$S$17"),2,FALSE))),"D/ST",
IF(ISNUMBER(SEARCH("TE",VLOOKUP($A3,INDIRECT("'"&amp;Summary!BP$1&amp;"'!$A$1:$S$17"),2,FALSE))),"TE","")))))</f>
        <v>QB</v>
      </c>
      <c r="BR3" s="2">
        <f ca="1">IF(BQ3="","",IF(BQ3&lt;&gt;"D/ST",VLOOKUP($A3,INDIRECT("'"&amp;Summary!BP$1&amp;"'!$A$1:$S$17"),19,FALSE),VLOOKUP($A3,INDIRECT("'"&amp;Summary!BP$1&amp;"'!$A$1:$S$17"),12,FALSE)))</f>
        <v>18.8</v>
      </c>
      <c r="BS3" s="2">
        <f t="array" aca="1" ref="BS3" ca="1">IF(BQ3="","",IF(BQ3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3,INDIRECT("'"&amp;Summary!BP$1&amp;"'!$A$1:$A$17"),0)&amp;":$S"&amp;MATCH($A3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3,INDIRECT("'"&amp;Summary!BP$1&amp;"'!$A$1:$A$17"),0)&amp;":$S"&amp;MATCH($A3,INDIRECT("'"&amp;Summary!BP$1&amp;"'!$A$1:$A$17"),0)))))</f>
        <v>1</v>
      </c>
      <c r="BT3" s="3">
        <f ca="1">IF(BR3=0,0,BS3*6/BR3)</f>
        <v>0.31914893617021273</v>
      </c>
      <c r="BU3" s="3">
        <f ca="1">1-BT3</f>
        <v>0.68085106382978733</v>
      </c>
      <c r="BV3" s="2" t="str">
        <f ca="1">IF(BW3="","",IF(BW3="D/ST",MID(VLOOKUP($A3,INDIRECT("'"&amp;Summary!BV$1&amp;"'!$A$1:$S$17"),2,FALSE),1,FIND(" ",VLOOKUP($A3,INDIRECT("'"&amp;Summary!BV$1&amp;"'!$A$1:$S$17"),2,FALSE))+4),MID(VLOOKUP($A3,INDIRECT("'"&amp;Summary!BV$1&amp;"'!$A$1:$S$17"),2,FALSE),1,FIND(",",VLOOKUP($A3,INDIRECT("'"&amp;Summary!BV$1&amp;"'!$A$1:$S$17"),2,FALSE))-1)))</f>
        <v>Matt Ryan</v>
      </c>
      <c r="BW3" s="2" t="str">
        <f ca="1">IF(ISNUMBER(SEARCH("QB",VLOOKUP($A3,INDIRECT("'"&amp;Summary!BV$1&amp;"'!$A$1:$S$17"),2,FALSE))),"QB",
IF(ISNUMBER(SEARCH("RB",VLOOKUP($A3,INDIRECT("'"&amp;Summary!BV$1&amp;"'!$A$1:$S$17"),2,FALSE))),"RB",
IF(ISNUMBER(SEARCH("WR",VLOOKUP($A3,INDIRECT("'"&amp;Summary!BV$1&amp;"'!$A$1:$S$17"),2,FALSE))),"WR",
IF(ISNUMBER(SEARCH("D/ST",VLOOKUP($A3,INDIRECT("'"&amp;Summary!BV$1&amp;"'!$A$1:$S$17"),2,FALSE))),"D/ST",
IF(ISNUMBER(SEARCH("TE",VLOOKUP($A3,INDIRECT("'"&amp;Summary!BV$1&amp;"'!$A$1:$S$17"),2,FALSE))),"TE","")))))</f>
        <v>QB</v>
      </c>
      <c r="BX3" s="2">
        <f ca="1">IF(BW3="","",IF(BW3&lt;&gt;"D/ST",VLOOKUP($A3,INDIRECT("'"&amp;Summary!BV$1&amp;"'!$A$1:$S$17"),19,FALSE),VLOOKUP($A3,INDIRECT("'"&amp;Summary!BV$1&amp;"'!$A$1:$S$17"),12,FALSE)))</f>
        <v>7</v>
      </c>
      <c r="BY3" s="2">
        <f t="array" aca="1" ref="BY3" ca="1">IF(BW3="","",IF(BW3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3,INDIRECT("'"&amp;Summary!BV$1&amp;"'!$A$1:$A$17"),0)&amp;":$S"&amp;MATCH($A3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3,INDIRECT("'"&amp;Summary!BV$1&amp;"'!$A$1:$A$17"),0)&amp;":$S"&amp;MATCH($A3,INDIRECT("'"&amp;Summary!BV$1&amp;"'!$A$1:$A$17"),0)))))</f>
        <v>0</v>
      </c>
      <c r="BZ3" s="3">
        <f ca="1">IF(BX3=0,0,BY3*6/BX3)</f>
        <v>0</v>
      </c>
      <c r="CA3" s="3">
        <f ca="1">1-BZ3</f>
        <v>1</v>
      </c>
      <c r="CB3" s="2" t="str">
        <f ca="1">IF(CC3="","",IF(CC3="D/ST",MID(VLOOKUP($A3,INDIRECT("'"&amp;Summary!CB$1&amp;"'!$A$1:$S$17"),2,FALSE),1,FIND(" ",VLOOKUP($A3,INDIRECT("'"&amp;Summary!CB$1&amp;"'!$A$1:$S$17"),2,FALSE))+4),MID(VLOOKUP($A3,INDIRECT("'"&amp;Summary!CB$1&amp;"'!$A$1:$S$17"),2,FALSE),1,FIND(",",VLOOKUP($A3,INDIRECT("'"&amp;Summary!CB$1&amp;"'!$A$1:$S$17"),2,FALSE))-1)))</f>
        <v>Matt Ryan</v>
      </c>
      <c r="CC3" s="2" t="str">
        <f ca="1">IF(ISNUMBER(SEARCH("QB",VLOOKUP($A3,INDIRECT("'"&amp;Summary!CB$1&amp;"'!$A$1:$S$17"),2,FALSE))),"QB",
IF(ISNUMBER(SEARCH("RB",VLOOKUP($A3,INDIRECT("'"&amp;Summary!CB$1&amp;"'!$A$1:$S$17"),2,FALSE))),"RB",
IF(ISNUMBER(SEARCH("WR",VLOOKUP($A3,INDIRECT("'"&amp;Summary!CB$1&amp;"'!$A$1:$S$17"),2,FALSE))),"WR",
IF(ISNUMBER(SEARCH("D/ST",VLOOKUP($A3,INDIRECT("'"&amp;Summary!CB$1&amp;"'!$A$1:$S$17"),2,FALSE))),"D/ST",
IF(ISNUMBER(SEARCH("TE",VLOOKUP($A3,INDIRECT("'"&amp;Summary!CB$1&amp;"'!$A$1:$S$17"),2,FALSE))),"TE","")))))</f>
        <v>QB</v>
      </c>
      <c r="CD3" s="2">
        <f ca="1">IF(CC3="","",IF(CC3&lt;&gt;"D/ST",VLOOKUP($A3,INDIRECT("'"&amp;Summary!CB$1&amp;"'!$A$1:$S$17"),19,FALSE),VLOOKUP($A3,INDIRECT("'"&amp;Summary!CB$1&amp;"'!$A$1:$S$17"),12,FALSE)))</f>
        <v>8.8000000000000007</v>
      </c>
      <c r="CE3" s="2">
        <f t="array" aca="1" ref="CE3" ca="1">IF(CC3="","",IF(CC3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3,INDIRECT("'"&amp;Summary!CB$1&amp;"'!$A$1:$A$17"),0)&amp;":$S"&amp;MATCH($A3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3,INDIRECT("'"&amp;Summary!CB$1&amp;"'!$A$1:$A$17"),0)&amp;":$S"&amp;MATCH($A3,INDIRECT("'"&amp;Summary!CB$1&amp;"'!$A$1:$A$17"),0)))))</f>
        <v>1</v>
      </c>
      <c r="CF3" s="3">
        <f ca="1">IF(CD3=0,0,CE3*6/CD3)</f>
        <v>0.68181818181818177</v>
      </c>
      <c r="CG3" s="3">
        <f ca="1">1-CF3</f>
        <v>0.31818181818181823</v>
      </c>
      <c r="CH3" s="2" t="str">
        <f ca="1">IF(CI3="","",IF(CI3="D/ST",MID(VLOOKUP($A3,INDIRECT("'"&amp;Summary!CH$1&amp;"'!$A$1:$S$17"),2,FALSE),1,FIND(" ",VLOOKUP($A3,INDIRECT("'"&amp;Summary!CH$1&amp;"'!$A$1:$S$17"),2,FALSE))+4),MID(VLOOKUP($A3,INDIRECT("'"&amp;Summary!CH$1&amp;"'!$A$1:$S$17"),2,FALSE),1,FIND(",",VLOOKUP($A3,INDIRECT("'"&amp;Summary!CH$1&amp;"'!$A$1:$S$17"),2,FALSE))-1)))</f>
        <v>Aaron Rodgers</v>
      </c>
      <c r="CI3" s="2" t="str">
        <f ca="1">IF(ISNUMBER(SEARCH("QB",VLOOKUP($A3,INDIRECT("'"&amp;Summary!CH$1&amp;"'!$A$1:$S$17"),2,FALSE))),"QB",
IF(ISNUMBER(SEARCH("RB",VLOOKUP($A3,INDIRECT("'"&amp;Summary!CH$1&amp;"'!$A$1:$S$17"),2,FALSE))),"RB",
IF(ISNUMBER(SEARCH("WR",VLOOKUP($A3,INDIRECT("'"&amp;Summary!CH$1&amp;"'!$A$1:$S$17"),2,FALSE))),"WR",
IF(ISNUMBER(SEARCH("D/ST",VLOOKUP($A3,INDIRECT("'"&amp;Summary!CH$1&amp;"'!$A$1:$S$17"),2,FALSE))),"D/ST",
IF(ISNUMBER(SEARCH("TE",VLOOKUP($A3,INDIRECT("'"&amp;Summary!CH$1&amp;"'!$A$1:$S$17"),2,FALSE))),"TE","")))))</f>
        <v>QB</v>
      </c>
      <c r="CJ3" s="2">
        <f ca="1">IF(CI3="","",IF(CI3&lt;&gt;"D/ST",VLOOKUP($A3,INDIRECT("'"&amp;Summary!CH$1&amp;"'!$A$1:$S$17"),19,FALSE),VLOOKUP($A3,INDIRECT("'"&amp;Summary!CH$1&amp;"'!$A$1:$S$17"),12,FALSE)))</f>
        <v>27.9</v>
      </c>
      <c r="CK3" s="2">
        <f t="array" aca="1" ref="CK3" ca="1">IF(CI3="","",IF(CI3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3,INDIRECT("'"&amp;Summary!CH$1&amp;"'!$A$1:$A$17"),0)&amp;":$S"&amp;MATCH($A3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3,INDIRECT("'"&amp;Summary!CH$1&amp;"'!$A$1:$A$17"),0)&amp;":$S"&amp;MATCH($A3,INDIRECT("'"&amp;Summary!CH$1&amp;"'!$A$1:$A$17"),0)))))</f>
        <v>3</v>
      </c>
      <c r="CL3" s="3">
        <f ca="1">IF(CJ3=0,0,CK3*6/CJ3)</f>
        <v>0.64516129032258063</v>
      </c>
      <c r="CM3" s="3">
        <f ca="1">1-CL3</f>
        <v>0.35483870967741937</v>
      </c>
      <c r="CN3" s="2" t="str">
        <f ca="1">IF(CO3="","",IF(CO3="D/ST",MID(VLOOKUP($A3,INDIRECT("'"&amp;Summary!CN$1&amp;"'!$A$1:$S$17"),2,FALSE),1,FIND(" ",VLOOKUP($A3,INDIRECT("'"&amp;Summary!CN$1&amp;"'!$A$1:$S$17"),2,FALSE))+4),MID(VLOOKUP($A3,INDIRECT("'"&amp;Summary!CN$1&amp;"'!$A$1:$S$17"),2,FALSE),1,FIND(",",VLOOKUP($A3,INDIRECT("'"&amp;Summary!CN$1&amp;"'!$A$1:$S$17"),2,FALSE))-1)))</f>
        <v>Jameis Winston</v>
      </c>
      <c r="CO3" s="2" t="str">
        <f ca="1">IF(ISNUMBER(SEARCH("QB",VLOOKUP($A3,INDIRECT("'"&amp;Summary!CN$1&amp;"'!$A$1:$S$17"),2,FALSE))),"QB",
IF(ISNUMBER(SEARCH("RB",VLOOKUP($A3,INDIRECT("'"&amp;Summary!CN$1&amp;"'!$A$1:$S$17"),2,FALSE))),"RB",
IF(ISNUMBER(SEARCH("WR",VLOOKUP($A3,INDIRECT("'"&amp;Summary!CN$1&amp;"'!$A$1:$S$17"),2,FALSE))),"WR",
IF(ISNUMBER(SEARCH("D/ST",VLOOKUP($A3,INDIRECT("'"&amp;Summary!CN$1&amp;"'!$A$1:$S$17"),2,FALSE))),"D/ST",
IF(ISNUMBER(SEARCH("TE",VLOOKUP($A3,INDIRECT("'"&amp;Summary!CN$1&amp;"'!$A$1:$S$17"),2,FALSE))),"TE","")))))</f>
        <v>QB</v>
      </c>
      <c r="CP3" s="2">
        <f ca="1">IF(CO3="","",IF(CO3&lt;&gt;"D/ST",VLOOKUP($A3,INDIRECT("'"&amp;Summary!CN$1&amp;"'!$A$1:$S$17"),19,FALSE),VLOOKUP($A3,INDIRECT("'"&amp;Summary!CN$1&amp;"'!$A$1:$S$17"),12,FALSE)))</f>
        <v>15.3</v>
      </c>
      <c r="CQ3" s="2">
        <f t="array" aca="1" ref="CQ3" ca="1">IF(CO3="","",IF(CO3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3,INDIRECT("'"&amp;Summary!CN$1&amp;"'!$A$1:$A$17"),0)&amp;":$S"&amp;MATCH($A3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3,INDIRECT("'"&amp;Summary!CN$1&amp;"'!$A$1:$A$17"),0)&amp;":$S"&amp;MATCH($A3,INDIRECT("'"&amp;Summary!CN$1&amp;"'!$A$1:$A$17"),0)))))</f>
        <v>1</v>
      </c>
      <c r="CR3" s="3">
        <f ca="1">IF(CP3=0,0,CQ3*6/CP3)</f>
        <v>0.39215686274509803</v>
      </c>
      <c r="CS3" s="3">
        <f ca="1">1-CR3</f>
        <v>0.60784313725490202</v>
      </c>
    </row>
    <row r="4" spans="1:97" ht="16.25" thickTop="1" thickBot="1" x14ac:dyDescent="0.9">
      <c r="A4" s="2" t="s">
        <v>19</v>
      </c>
      <c r="B4" s="2" t="str">
        <f ca="1">IF(C4="","",IF(C4="D/ST",MID(VLOOKUP($A4,INDIRECT("'"&amp;Summary!B$1&amp;"'!$A$1:$S$17"),2,FALSE),1,FIND(" ",VLOOKUP($A4,INDIRECT("'"&amp;Summary!B$1&amp;"'!$A$1:$S$17"),2,FALSE))+4),MID(VLOOKUP($A4,INDIRECT("'"&amp;Summary!B$1&amp;"'!$A$1:$S$17"),2,FALSE),1,FIND(",",VLOOKUP($A4,INDIRECT("'"&amp;Summary!B$1&amp;"'!$A$1:$S$17"),2,FALSE))-1)))</f>
        <v>Ezekiel Elliott</v>
      </c>
      <c r="C4" s="2" t="str">
        <f ca="1">IF(ISNUMBER(SEARCH("QB",VLOOKUP($A4,INDIRECT("'"&amp;Summary!B$1&amp;"'!$A$1:$S$17"),2,FALSE))),"QB",
IF(ISNUMBER(SEARCH("RB",VLOOKUP($A4,INDIRECT("'"&amp;Summary!B$1&amp;"'!$A$1:$S$17"),2,FALSE))),"RB",
IF(ISNUMBER(SEARCH("WR",VLOOKUP($A4,INDIRECT("'"&amp;Summary!B$1&amp;"'!$A$1:$S$17"),2,FALSE))),"WR",
IF(ISNUMBER(SEARCH("D/ST",VLOOKUP($A4,INDIRECT("'"&amp;Summary!B$1&amp;"'!$A$1:$S$17"),2,FALSE))),"D/ST",
IF(ISNUMBER(SEARCH("TE",VLOOKUP($A4,INDIRECT("'"&amp;Summary!B$1&amp;"'!$A$1:$S$17"),2,FALSE))),"TE","")))))</f>
        <v>RB</v>
      </c>
      <c r="D4" s="2">
        <f ca="1">IF(C4="","",IF(C4&lt;&gt;"D/ST",VLOOKUP($A4,INDIRECT("'"&amp;Summary!B$1&amp;"'!$A$1:$S$17"),19,FALSE),VLOOKUP($A4,INDIRECT("'"&amp;Summary!B$1&amp;"'!$A$1:$S$17"),12,FALSE)))</f>
        <v>16.5</v>
      </c>
      <c r="E4" s="2">
        <f t="array" aca="1" ref="E4" ca="1">IF(C4="","",IF(C4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4,INDIRECT("'"&amp;Summary!B$1&amp;"'!$A$1:$A$17"),0)&amp;":$S"&amp;MATCH($A4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4,INDIRECT("'"&amp;Summary!B$1&amp;"'!$A$1:$A$17"),0)&amp;":$S"&amp;MATCH($A4,INDIRECT("'"&amp;Summary!B$1&amp;"'!$A$1:$A$17"),0)))))</f>
        <v>0</v>
      </c>
      <c r="F4" s="3">
        <f ca="1">IF(D4=0,0,E4*6/D4)</f>
        <v>0</v>
      </c>
      <c r="G4" s="3">
        <f t="shared" ref="G4:G16" ca="1" si="0">1-F4</f>
        <v>1</v>
      </c>
      <c r="H4" s="2" t="str">
        <f ca="1">IF(I4="","",IF(I4="D/ST",MID(VLOOKUP($A4,INDIRECT("'"&amp;Summary!H$1&amp;"'!$A$1:$S$17"),2,FALSE),1,FIND(" ",VLOOKUP($A4,INDIRECT("'"&amp;Summary!H$1&amp;"'!$A$1:$S$17"),2,FALSE))+4),MID(VLOOKUP($A4,INDIRECT("'"&amp;Summary!H$1&amp;"'!$A$1:$S$17"),2,FALSE),1,FIND(",",VLOOKUP($A4,INDIRECT("'"&amp;Summary!H$1&amp;"'!$A$1:$S$17"),2,FALSE))-1)))</f>
        <v>Ezekiel Elliott</v>
      </c>
      <c r="I4" s="2" t="str">
        <f ca="1">IF(ISNUMBER(SEARCH("QB",VLOOKUP($A4,INDIRECT("'"&amp;Summary!H$1&amp;"'!$A$1:$S$17"),2,FALSE))),"QB",
IF(ISNUMBER(SEARCH("RB",VLOOKUP($A4,INDIRECT("'"&amp;Summary!H$1&amp;"'!$A$1:$S$17"),2,FALSE))),"RB",
IF(ISNUMBER(SEARCH("WR",VLOOKUP($A4,INDIRECT("'"&amp;Summary!H$1&amp;"'!$A$1:$S$17"),2,FALSE))),"WR",
IF(ISNUMBER(SEARCH("D/ST",VLOOKUP($A4,INDIRECT("'"&amp;Summary!H$1&amp;"'!$A$1:$S$17"),2,FALSE))),"D/ST",
IF(ISNUMBER(SEARCH("TE",VLOOKUP($A4,INDIRECT("'"&amp;Summary!H$1&amp;"'!$A$1:$S$17"),2,FALSE))),"TE","")))))</f>
        <v>RB</v>
      </c>
      <c r="J4" s="2">
        <f ca="1">IF(I4="","",IF(I4&lt;&gt;"D/ST",VLOOKUP($A4,INDIRECT("'"&amp;Summary!H$1&amp;"'!$A$1:$S$17"),19,FALSE),VLOOKUP($A4,INDIRECT("'"&amp;Summary!H$1&amp;"'!$A$1:$S$17"),12,FALSE)))</f>
        <v>4.2</v>
      </c>
      <c r="K4" s="2">
        <f t="array" aca="1" ref="K4" ca="1">IF(I4="","",IF(I4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4,INDIRECT("'"&amp;Summary!H$1&amp;"'!$A$1:$A$17"),0)&amp;":$S"&amp;MATCH($A4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4,INDIRECT("'"&amp;Summary!H$1&amp;"'!$A$1:$A$17"),0)&amp;":$S"&amp;MATCH($A4,INDIRECT("'"&amp;Summary!H$1&amp;"'!$A$1:$A$17"),0)))))</f>
        <v>0</v>
      </c>
      <c r="L4" s="3">
        <f ca="1">IF(J4=0,0,K4*6/J4)</f>
        <v>0</v>
      </c>
      <c r="M4" s="3">
        <f t="shared" ref="M4:M16" ca="1" si="1">1-L4</f>
        <v>1</v>
      </c>
      <c r="N4" s="2" t="str">
        <f ca="1">IF(O4="","",IF(O4="D/ST",MID(VLOOKUP($A4,INDIRECT("'"&amp;Summary!N$1&amp;"'!$A$1:$S$17"),2,FALSE),1,FIND(" ",VLOOKUP($A4,INDIRECT("'"&amp;Summary!N$1&amp;"'!$A$1:$S$17"),2,FALSE))+4),MID(VLOOKUP($A4,INDIRECT("'"&amp;Summary!N$1&amp;"'!$A$1:$S$17"),2,FALSE),1,FIND(",",VLOOKUP($A4,INDIRECT("'"&amp;Summary!N$1&amp;"'!$A$1:$S$17"),2,FALSE))-1)))</f>
        <v>Ezekiel Elliott</v>
      </c>
      <c r="O4" s="2" t="str">
        <f ca="1">IF(ISNUMBER(SEARCH("QB",VLOOKUP($A4,INDIRECT("'"&amp;Summary!N$1&amp;"'!$A$1:$S$17"),2,FALSE))),"QB",
IF(ISNUMBER(SEARCH("RB",VLOOKUP($A4,INDIRECT("'"&amp;Summary!N$1&amp;"'!$A$1:$S$17"),2,FALSE))),"RB",
IF(ISNUMBER(SEARCH("WR",VLOOKUP($A4,INDIRECT("'"&amp;Summary!N$1&amp;"'!$A$1:$S$17"),2,FALSE))),"WR",
IF(ISNUMBER(SEARCH("D/ST",VLOOKUP($A4,INDIRECT("'"&amp;Summary!N$1&amp;"'!$A$1:$S$17"),2,FALSE))),"D/ST",
IF(ISNUMBER(SEARCH("TE",VLOOKUP($A4,INDIRECT("'"&amp;Summary!N$1&amp;"'!$A$1:$S$17"),2,FALSE))),"TE","")))))</f>
        <v>RB</v>
      </c>
      <c r="P4" s="2">
        <f ca="1">IF(O4="","",IF(O4&lt;&gt;"D/ST",VLOOKUP($A4,INDIRECT("'"&amp;Summary!N$1&amp;"'!$A$1:$S$17"),19,FALSE),VLOOKUP($A4,INDIRECT("'"&amp;Summary!N$1&amp;"'!$A$1:$S$17"),12,FALSE)))</f>
        <v>16.899999999999999</v>
      </c>
      <c r="Q4" s="2">
        <f t="array" aca="1" ref="Q4" ca="1">IF(O4="","",IF(O4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4,INDIRECT("'"&amp;Summary!N$1&amp;"'!$A$1:$A$17"),0)&amp;":$S"&amp;MATCH($A4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4,INDIRECT("'"&amp;Summary!N$1&amp;"'!$A$1:$A$17"),0)&amp;":$S"&amp;MATCH($A4,INDIRECT("'"&amp;Summary!N$1&amp;"'!$A$1:$A$17"),0)))))</f>
        <v>1</v>
      </c>
      <c r="R4" s="3">
        <f ca="1">IF(P4=0,0,Q4*6/P4)</f>
        <v>0.3550295857988166</v>
      </c>
      <c r="S4" s="3">
        <f t="shared" ref="S4:S16" ca="1" si="2">1-R4</f>
        <v>0.6449704142011834</v>
      </c>
      <c r="T4" s="2" t="str">
        <f ca="1">IF(U4="","",IF(U4="D/ST",MID(VLOOKUP($A4,INDIRECT("'"&amp;Summary!T$1&amp;"'!$A$1:$S$17"),2,FALSE),1,FIND(" ",VLOOKUP($A4,INDIRECT("'"&amp;Summary!T$1&amp;"'!$A$1:$S$17"),2,FALSE))+4),MID(VLOOKUP($A4,INDIRECT("'"&amp;Summary!T$1&amp;"'!$A$1:$S$17"),2,FALSE),1,FIND(",",VLOOKUP($A4,INDIRECT("'"&amp;Summary!T$1&amp;"'!$A$1:$S$17"),2,FALSE))-1)))</f>
        <v>Ezekiel Elliott</v>
      </c>
      <c r="U4" s="2" t="str">
        <f ca="1">IF(ISNUMBER(SEARCH("QB",VLOOKUP($A4,INDIRECT("'"&amp;Summary!T$1&amp;"'!$A$1:$S$17"),2,FALSE))),"QB",
IF(ISNUMBER(SEARCH("RB",VLOOKUP($A4,INDIRECT("'"&amp;Summary!T$1&amp;"'!$A$1:$S$17"),2,FALSE))),"RB",
IF(ISNUMBER(SEARCH("WR",VLOOKUP($A4,INDIRECT("'"&amp;Summary!T$1&amp;"'!$A$1:$S$17"),2,FALSE))),"WR",
IF(ISNUMBER(SEARCH("D/ST",VLOOKUP($A4,INDIRECT("'"&amp;Summary!T$1&amp;"'!$A$1:$S$17"),2,FALSE))),"D/ST",
IF(ISNUMBER(SEARCH("TE",VLOOKUP($A4,INDIRECT("'"&amp;Summary!T$1&amp;"'!$A$1:$S$17"),2,FALSE))),"TE","")))))</f>
        <v>RB</v>
      </c>
      <c r="V4" s="2">
        <f ca="1">IF(U4="","",IF(U4&lt;&gt;"D/ST",VLOOKUP($A4,INDIRECT("'"&amp;Summary!T$1&amp;"'!$A$1:$S$17"),19,FALSE),VLOOKUP($A4,INDIRECT("'"&amp;Summary!T$1&amp;"'!$A$1:$S$17"),12,FALSE)))</f>
        <v>27.9</v>
      </c>
      <c r="W4" s="2">
        <f t="array" aca="1" ref="W4" ca="1">IF(U4="","",IF(U4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4,INDIRECT("'"&amp;Summary!T$1&amp;"'!$A$1:$A$17"),0)&amp;":$S"&amp;MATCH($A4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4,INDIRECT("'"&amp;Summary!T$1&amp;"'!$A$1:$A$17"),0)&amp;":$S"&amp;MATCH($A4,INDIRECT("'"&amp;Summary!T$1&amp;"'!$A$1:$A$17"),0)))))</f>
        <v>2</v>
      </c>
      <c r="X4" s="3">
        <f ca="1">IF(V4=0,0,W4*6/V4)</f>
        <v>0.43010752688172044</v>
      </c>
      <c r="Y4" s="3">
        <f t="shared" ref="Y4:Y16" ca="1" si="3">1-X4</f>
        <v>0.56989247311827951</v>
      </c>
      <c r="Z4" s="2" t="str">
        <f ca="1">IF(AA4="","",IF(AA4="D/ST",MID(VLOOKUP($A4,INDIRECT("'"&amp;Summary!Z$1&amp;"'!$A$1:$S$17"),2,FALSE),1,FIND(" ",VLOOKUP($A4,INDIRECT("'"&amp;Summary!Z$1&amp;"'!$A$1:$S$17"),2,FALSE))+4),MID(VLOOKUP($A4,INDIRECT("'"&amp;Summary!Z$1&amp;"'!$A$1:$S$17"),2,FALSE),1,FIND(",",VLOOKUP($A4,INDIRECT("'"&amp;Summary!Z$1&amp;"'!$A$1:$S$17"),2,FALSE))-1)))</f>
        <v>Ezekiel Elliott</v>
      </c>
      <c r="AA4" s="2" t="str">
        <f ca="1">IF(ISNUMBER(SEARCH("QB",VLOOKUP($A4,INDIRECT("'"&amp;Summary!Z$1&amp;"'!$A$1:$S$17"),2,FALSE))),"QB",
IF(ISNUMBER(SEARCH("RB",VLOOKUP($A4,INDIRECT("'"&amp;Summary!Z$1&amp;"'!$A$1:$S$17"),2,FALSE))),"RB",
IF(ISNUMBER(SEARCH("WR",VLOOKUP($A4,INDIRECT("'"&amp;Summary!Z$1&amp;"'!$A$1:$S$17"),2,FALSE))),"WR",
IF(ISNUMBER(SEARCH("D/ST",VLOOKUP($A4,INDIRECT("'"&amp;Summary!Z$1&amp;"'!$A$1:$S$17"),2,FALSE))),"D/ST",
IF(ISNUMBER(SEARCH("TE",VLOOKUP($A4,INDIRECT("'"&amp;Summary!Z$1&amp;"'!$A$1:$S$17"),2,FALSE))),"TE","")))))</f>
        <v>RB</v>
      </c>
      <c r="AB4" s="2">
        <f ca="1">IF(AA4="","",IF(AA4&lt;&gt;"D/ST",VLOOKUP($A4,INDIRECT("'"&amp;Summary!Z$1&amp;"'!$A$1:$S$17"),19,FALSE),VLOOKUP($A4,INDIRECT("'"&amp;Summary!Z$1&amp;"'!$A$1:$S$17"),12,FALSE)))</f>
        <v>13.7</v>
      </c>
      <c r="AC4" s="2">
        <f t="array" aca="1" ref="AC4" ca="1">IF(AA4="","",IF(AA4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4,INDIRECT("'"&amp;Summary!Z$1&amp;"'!$A$1:$A$17"),0)&amp;":$S"&amp;MATCH($A4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4,INDIRECT("'"&amp;Summary!Z$1&amp;"'!$A$1:$A$17"),0)&amp;":$S"&amp;MATCH($A4,INDIRECT("'"&amp;Summary!Z$1&amp;"'!$A$1:$A$17"),0)))))</f>
        <v>0</v>
      </c>
      <c r="AD4" s="3">
        <f ca="1">IF(AB4=0,0,AC4*6/AB4)</f>
        <v>0</v>
      </c>
      <c r="AE4" s="3">
        <f t="shared" ref="AE4:AE16" ca="1" si="4">1-AD4</f>
        <v>1</v>
      </c>
      <c r="AF4" s="2" t="str">
        <f ca="1">IF(AG4="","",IF(AG4="D/ST",MID(VLOOKUP($A4,INDIRECT("'"&amp;Summary!AF$1&amp;"'!$A$1:$S$17"),2,FALSE),1,FIND(" ",VLOOKUP($A4,INDIRECT("'"&amp;Summary!AF$1&amp;"'!$A$1:$S$17"),2,FALSE))+4),MID(VLOOKUP($A4,INDIRECT("'"&amp;Summary!AF$1&amp;"'!$A$1:$S$17"),2,FALSE),1,FIND(",",VLOOKUP($A4,INDIRECT("'"&amp;Summary!AF$1&amp;"'!$A$1:$S$17"),2,FALSE))-1)))</f>
        <v>Isaiah Crowell</v>
      </c>
      <c r="AG4" s="2" t="str">
        <f ca="1">IF(ISNUMBER(SEARCH("QB",VLOOKUP($A4,INDIRECT("'"&amp;Summary!AF$1&amp;"'!$A$1:$S$17"),2,FALSE))),"QB",
IF(ISNUMBER(SEARCH("RB",VLOOKUP($A4,INDIRECT("'"&amp;Summary!AF$1&amp;"'!$A$1:$S$17"),2,FALSE))),"RB",
IF(ISNUMBER(SEARCH("WR",VLOOKUP($A4,INDIRECT("'"&amp;Summary!AF$1&amp;"'!$A$1:$S$17"),2,FALSE))),"WR",
IF(ISNUMBER(SEARCH("D/ST",VLOOKUP($A4,INDIRECT("'"&amp;Summary!AF$1&amp;"'!$A$1:$S$17"),2,FALSE))),"D/ST",
IF(ISNUMBER(SEARCH("TE",VLOOKUP($A4,INDIRECT("'"&amp;Summary!AF$1&amp;"'!$A$1:$S$17"),2,FALSE))),"TE","")))))</f>
        <v>RB</v>
      </c>
      <c r="AH4" s="2">
        <f ca="1">IF(AG4="","",IF(AG4&lt;&gt;"D/ST",VLOOKUP($A4,INDIRECT("'"&amp;Summary!AF$1&amp;"'!$A$1:$S$17"),19,FALSE),VLOOKUP($A4,INDIRECT("'"&amp;Summary!AF$1&amp;"'!$A$1:$S$17"),12,FALSE)))</f>
        <v>8.3000000000000007</v>
      </c>
      <c r="AI4" s="2">
        <f t="array" aca="1" ref="AI4" ca="1">IF(AG4="","",IF(AG4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4,INDIRECT("'"&amp;Summary!AF$1&amp;"'!$A$1:$A$17"),0)&amp;":$S"&amp;MATCH($A4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4,INDIRECT("'"&amp;Summary!AF$1&amp;"'!$A$1:$A$17"),0)&amp;":$S"&amp;MATCH($A4,INDIRECT("'"&amp;Summary!AF$1&amp;"'!$A$1:$A$17"),0)))))</f>
        <v>0</v>
      </c>
      <c r="AJ4" s="3">
        <f ca="1">IF(AH4=0,0,AI4*6/AH4)</f>
        <v>0</v>
      </c>
      <c r="AK4" s="3">
        <f t="shared" ref="AK4:AK16" ca="1" si="5">1-AJ4</f>
        <v>1</v>
      </c>
      <c r="AL4" s="2" t="str">
        <f ca="1">IF(AM4="","",IF(AM4="D/ST",MID(VLOOKUP($A4,INDIRECT("'"&amp;Summary!AL$1&amp;"'!$A$1:$S$17"),2,FALSE),1,FIND(" ",VLOOKUP($A4,INDIRECT("'"&amp;Summary!AL$1&amp;"'!$A$1:$S$17"),2,FALSE))+4),MID(VLOOKUP($A4,INDIRECT("'"&amp;Summary!AL$1&amp;"'!$A$1:$S$17"),2,FALSE),1,FIND(",",VLOOKUP($A4,INDIRECT("'"&amp;Summary!AL$1&amp;"'!$A$1:$S$17"),2,FALSE))-1)))</f>
        <v>Ezekiel Elliott</v>
      </c>
      <c r="AM4" s="2" t="str">
        <f ca="1">IF(ISNUMBER(SEARCH("QB",VLOOKUP($A4,INDIRECT("'"&amp;Summary!AL$1&amp;"'!$A$1:$S$17"),2,FALSE))),"QB",
IF(ISNUMBER(SEARCH("RB",VLOOKUP($A4,INDIRECT("'"&amp;Summary!AL$1&amp;"'!$A$1:$S$17"),2,FALSE))),"RB",
IF(ISNUMBER(SEARCH("WR",VLOOKUP($A4,INDIRECT("'"&amp;Summary!AL$1&amp;"'!$A$1:$S$17"),2,FALSE))),"WR",
IF(ISNUMBER(SEARCH("D/ST",VLOOKUP($A4,INDIRECT("'"&amp;Summary!AL$1&amp;"'!$A$1:$S$17"),2,FALSE))),"D/ST",
IF(ISNUMBER(SEARCH("TE",VLOOKUP($A4,INDIRECT("'"&amp;Summary!AL$1&amp;"'!$A$1:$S$17"),2,FALSE))),"TE","")))))</f>
        <v>RB</v>
      </c>
      <c r="AN4" s="2">
        <f ca="1">IF(AM4="","",IF(AM4&lt;&gt;"D/ST",VLOOKUP($A4,INDIRECT("'"&amp;Summary!AL$1&amp;"'!$A$1:$S$17"),19,FALSE),VLOOKUP($A4,INDIRECT("'"&amp;Summary!AL$1&amp;"'!$A$1:$S$17"),12,FALSE)))</f>
        <v>40.4</v>
      </c>
      <c r="AO4" s="2">
        <f t="array" aca="1" ref="AO4" ca="1">IF(AM4="","",IF(AM4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4,INDIRECT("'"&amp;Summary!AL$1&amp;"'!$A$1:$A$17"),0)&amp;":$S"&amp;MATCH($A4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4,INDIRECT("'"&amp;Summary!AL$1&amp;"'!$A$1:$A$17"),0)&amp;":$S"&amp;MATCH($A4,INDIRECT("'"&amp;Summary!AL$1&amp;"'!$A$1:$A$17"),0)))))</f>
        <v>3</v>
      </c>
      <c r="AP4" s="3">
        <f ca="1">IF(AN4=0,0,AO4*6/AN4)</f>
        <v>0.44554455445544555</v>
      </c>
      <c r="AQ4" s="3">
        <f t="shared" ref="AQ4:AQ16" ca="1" si="6">1-AP4</f>
        <v>0.5544554455445545</v>
      </c>
      <c r="AR4" s="2" t="str">
        <f ca="1">IF(AS4="","",IF(AS4="D/ST",MID(VLOOKUP($A4,INDIRECT("'"&amp;Summary!AR$1&amp;"'!$A$1:$S$17"),2,FALSE),1,FIND(" ",VLOOKUP($A4,INDIRECT("'"&amp;Summary!AR$1&amp;"'!$A$1:$S$17"),2,FALSE))+4),MID(VLOOKUP($A4,INDIRECT("'"&amp;Summary!AR$1&amp;"'!$A$1:$S$17"),2,FALSE),1,FIND(",",VLOOKUP($A4,INDIRECT("'"&amp;Summary!AR$1&amp;"'!$A$1:$S$17"),2,FALSE))-1)))</f>
        <v>Ezekiel Elliott</v>
      </c>
      <c r="AS4" s="2" t="str">
        <f ca="1">IF(ISNUMBER(SEARCH("QB",VLOOKUP($A4,INDIRECT("'"&amp;Summary!AR$1&amp;"'!$A$1:$S$17"),2,FALSE))),"QB",
IF(ISNUMBER(SEARCH("RB",VLOOKUP($A4,INDIRECT("'"&amp;Summary!AR$1&amp;"'!$A$1:$S$17"),2,FALSE))),"RB",
IF(ISNUMBER(SEARCH("WR",VLOOKUP($A4,INDIRECT("'"&amp;Summary!AR$1&amp;"'!$A$1:$S$17"),2,FALSE))),"WR",
IF(ISNUMBER(SEARCH("D/ST",VLOOKUP($A4,INDIRECT("'"&amp;Summary!AR$1&amp;"'!$A$1:$S$17"),2,FALSE))),"D/ST",
IF(ISNUMBER(SEARCH("TE",VLOOKUP($A4,INDIRECT("'"&amp;Summary!AR$1&amp;"'!$A$1:$S$17"),2,FALSE))),"TE","")))))</f>
        <v>RB</v>
      </c>
      <c r="AT4" s="2">
        <f ca="1">IF(AS4="","",IF(AS4&lt;&gt;"D/ST",VLOOKUP($A4,INDIRECT("'"&amp;Summary!AR$1&amp;"'!$A$1:$S$17"),19,FALSE),VLOOKUP($A4,INDIRECT("'"&amp;Summary!AR$1&amp;"'!$A$1:$S$17"),12,FALSE)))</f>
        <v>25.9</v>
      </c>
      <c r="AU4" s="2">
        <f t="array" aca="1" ref="AU4" ca="1">IF(AS4="","",IF(AS4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4,INDIRECT("'"&amp;Summary!AR$1&amp;"'!$A$1:$A$17"),0)&amp;":$S"&amp;MATCH($A4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4,INDIRECT("'"&amp;Summary!AR$1&amp;"'!$A$1:$A$17"),0)&amp;":$S"&amp;MATCH($A4,INDIRECT("'"&amp;Summary!AR$1&amp;"'!$A$1:$A$17"),0)))))</f>
        <v>2</v>
      </c>
      <c r="AV4" s="3">
        <f ca="1">IF(AT4=0,0,AU4*6/AT4)</f>
        <v>0.46332046332046334</v>
      </c>
      <c r="AW4" s="3">
        <f t="shared" ref="AW4:AW16" ca="1" si="7">1-AV4</f>
        <v>0.53667953667953672</v>
      </c>
      <c r="AX4" s="2" t="str">
        <f ca="1">IF(AY4="","",IF(AY4="D/ST",MID(VLOOKUP($A4,INDIRECT("'"&amp;Summary!AX$1&amp;"'!$A$1:$S$17"),2,FALSE),1,FIND(" ",VLOOKUP($A4,INDIRECT("'"&amp;Summary!AX$1&amp;"'!$A$1:$S$17"),2,FALSE))+4),MID(VLOOKUP($A4,INDIRECT("'"&amp;Summary!AX$1&amp;"'!$A$1:$S$17"),2,FALSE),1,FIND(",",VLOOKUP($A4,INDIRECT("'"&amp;Summary!AX$1&amp;"'!$A$1:$S$17"),2,FALSE))-1)))</f>
        <v>Ezekiel Elliott</v>
      </c>
      <c r="AY4" s="2" t="str">
        <f ca="1">IF(ISNUMBER(SEARCH("QB",VLOOKUP($A4,INDIRECT("'"&amp;Summary!AX$1&amp;"'!$A$1:$S$17"),2,FALSE))),"QB",
IF(ISNUMBER(SEARCH("RB",VLOOKUP($A4,INDIRECT("'"&amp;Summary!AX$1&amp;"'!$A$1:$S$17"),2,FALSE))),"RB",
IF(ISNUMBER(SEARCH("WR",VLOOKUP($A4,INDIRECT("'"&amp;Summary!AX$1&amp;"'!$A$1:$S$17"),2,FALSE))),"WR",
IF(ISNUMBER(SEARCH("D/ST",VLOOKUP($A4,INDIRECT("'"&amp;Summary!AX$1&amp;"'!$A$1:$S$17"),2,FALSE))),"D/ST",
IF(ISNUMBER(SEARCH("TE",VLOOKUP($A4,INDIRECT("'"&amp;Summary!AX$1&amp;"'!$A$1:$S$17"),2,FALSE))),"TE","")))))</f>
        <v>RB</v>
      </c>
      <c r="AZ4" s="2">
        <f ca="1">IF(AY4="","",IF(AY4&lt;&gt;"D/ST",VLOOKUP($A4,INDIRECT("'"&amp;Summary!AX$1&amp;"'!$A$1:$S$17"),19,FALSE),VLOOKUP($A4,INDIRECT("'"&amp;Summary!AX$1&amp;"'!$A$1:$S$17"),12,FALSE)))</f>
        <v>15.3</v>
      </c>
      <c r="BA4" s="2">
        <f t="array" aca="1" ref="BA4" ca="1">IF(AY4="","",IF(AY4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4,INDIRECT("'"&amp;Summary!AX$1&amp;"'!$A$1:$A$17"),0)&amp;":$S"&amp;MATCH($A4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4,INDIRECT("'"&amp;Summary!AX$1&amp;"'!$A$1:$A$17"),0)&amp;":$S"&amp;MATCH($A4,INDIRECT("'"&amp;Summary!AX$1&amp;"'!$A$1:$A$17"),0)))))</f>
        <v>1</v>
      </c>
      <c r="BB4" s="3">
        <f ca="1">IF(AZ4=0,0,BA4*6/AZ4)</f>
        <v>0.39215686274509803</v>
      </c>
      <c r="BC4" s="3">
        <f t="shared" ref="BC4:BC17" ca="1" si="8">1-BB4</f>
        <v>0.60784313725490202</v>
      </c>
      <c r="BD4" s="2" t="str">
        <f ca="1">IF(BE4="","",IF(BE4="D/ST",MID(VLOOKUP($A4,INDIRECT("'"&amp;Summary!BD$1&amp;"'!$A$1:$S$17"),2,FALSE),1,FIND(" ",VLOOKUP($A4,INDIRECT("'"&amp;Summary!BD$1&amp;"'!$A$1:$S$17"),2,FALSE))+4),MID(VLOOKUP($A4,INDIRECT("'"&amp;Summary!BD$1&amp;"'!$A$1:$S$17"),2,FALSE),1,FIND(",",VLOOKUP($A4,INDIRECT("'"&amp;Summary!BD$1&amp;"'!$A$1:$S$17"),2,FALSE))-1)))</f>
        <v>Orleans Darkwa</v>
      </c>
      <c r="BE4" s="2" t="str">
        <f ca="1">IF(ISNUMBER(SEARCH("QB",VLOOKUP($A4,INDIRECT("'"&amp;Summary!BD$1&amp;"'!$A$1:$S$17"),2,FALSE))),"QB",
IF(ISNUMBER(SEARCH("RB",VLOOKUP($A4,INDIRECT("'"&amp;Summary!BD$1&amp;"'!$A$1:$S$17"),2,FALSE))),"RB",
IF(ISNUMBER(SEARCH("WR",VLOOKUP($A4,INDIRECT("'"&amp;Summary!BD$1&amp;"'!$A$1:$S$17"),2,FALSE))),"WR",
IF(ISNUMBER(SEARCH("D/ST",VLOOKUP($A4,INDIRECT("'"&amp;Summary!BD$1&amp;"'!$A$1:$S$17"),2,FALSE))),"D/ST",
IF(ISNUMBER(SEARCH("TE",VLOOKUP($A4,INDIRECT("'"&amp;Summary!BD$1&amp;"'!$A$1:$S$17"),2,FALSE))),"TE","")))))</f>
        <v>RB</v>
      </c>
      <c r="BF4" s="2">
        <f ca="1">IF(BE4="","",IF(BE4&lt;&gt;"D/ST",VLOOKUP($A4,INDIRECT("'"&amp;Summary!BD$1&amp;"'!$A$1:$S$17"),19,FALSE),VLOOKUP($A4,INDIRECT("'"&amp;Summary!BD$1&amp;"'!$A$1:$S$17"),12,FALSE)))</f>
        <v>11.8</v>
      </c>
      <c r="BG4" s="2">
        <f t="array" aca="1" ref="BG4" ca="1">IF(BE4="","",IF(BE4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4,INDIRECT("'"&amp;Summary!BD$1&amp;"'!$A$1:$A$17"),0)&amp;":$S"&amp;MATCH($A4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4,INDIRECT("'"&amp;Summary!BD$1&amp;"'!$A$1:$A$17"),0)&amp;":$S"&amp;MATCH($A4,INDIRECT("'"&amp;Summary!BD$1&amp;"'!$A$1:$A$17"),0)))))</f>
        <v>0</v>
      </c>
      <c r="BH4" s="3">
        <f ca="1">IF(BF4=0,0,BG4*6/BF4)</f>
        <v>0</v>
      </c>
      <c r="BI4" s="3">
        <f t="shared" ref="BI4:BI16" ca="1" si="9">1-BH4</f>
        <v>1</v>
      </c>
      <c r="BJ4" s="2" t="str">
        <f ca="1">IF(BK4="","",IF(BK4="D/ST",MID(VLOOKUP($A4,INDIRECT("'"&amp;Summary!BJ$1&amp;"'!$A$1:$S$17"),2,FALSE),1,FIND(" ",VLOOKUP($A4,INDIRECT("'"&amp;Summary!BJ$1&amp;"'!$A$1:$S$17"),2,FALSE))+4),MID(VLOOKUP($A4,INDIRECT("'"&amp;Summary!BJ$1&amp;"'!$A$1:$S$17"),2,FALSE),1,FIND(",",VLOOKUP($A4,INDIRECT("'"&amp;Summary!BJ$1&amp;"'!$A$1:$S$17"),2,FALSE))-1)))</f>
        <v>Orleans Darkwa</v>
      </c>
      <c r="BK4" s="2" t="str">
        <f ca="1">IF(ISNUMBER(SEARCH("QB",VLOOKUP($A4,INDIRECT("'"&amp;Summary!BJ$1&amp;"'!$A$1:$S$17"),2,FALSE))),"QB",
IF(ISNUMBER(SEARCH("RB",VLOOKUP($A4,INDIRECT("'"&amp;Summary!BJ$1&amp;"'!$A$1:$S$17"),2,FALSE))),"RB",
IF(ISNUMBER(SEARCH("WR",VLOOKUP($A4,INDIRECT("'"&amp;Summary!BJ$1&amp;"'!$A$1:$S$17"),2,FALSE))),"WR",
IF(ISNUMBER(SEARCH("D/ST",VLOOKUP($A4,INDIRECT("'"&amp;Summary!BJ$1&amp;"'!$A$1:$S$17"),2,FALSE))),"D/ST",
IF(ISNUMBER(SEARCH("TE",VLOOKUP($A4,INDIRECT("'"&amp;Summary!BJ$1&amp;"'!$A$1:$S$17"),2,FALSE))),"TE","")))))</f>
        <v>RB</v>
      </c>
      <c r="BL4" s="2">
        <f ca="1">IF(BK4="","",IF(BK4&lt;&gt;"D/ST",VLOOKUP($A4,INDIRECT("'"&amp;Summary!BJ$1&amp;"'!$A$1:$S$17"),19,FALSE),VLOOKUP($A4,INDIRECT("'"&amp;Summary!BJ$1&amp;"'!$A$1:$S$17"),12,FALSE)))</f>
        <v>16</v>
      </c>
      <c r="BM4" s="2">
        <f t="array" aca="1" ref="BM4" ca="1">IF(BK4="","",IF(BK4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4,INDIRECT("'"&amp;Summary!BJ$1&amp;"'!$A$1:$A$17"),0)&amp;":$S"&amp;MATCH($A4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4,INDIRECT("'"&amp;Summary!BJ$1&amp;"'!$A$1:$A$17"),0)&amp;":$S"&amp;MATCH($A4,INDIRECT("'"&amp;Summary!BJ$1&amp;"'!$A$1:$A$17"),0)))))</f>
        <v>1</v>
      </c>
      <c r="BN4" s="3">
        <f ca="1">IF(BL4=0,0,BM4*6/BL4)</f>
        <v>0.375</v>
      </c>
      <c r="BO4" s="3">
        <f t="shared" ref="BO4:BO16" ca="1" si="10">1-BN4</f>
        <v>0.625</v>
      </c>
      <c r="BP4" s="2" t="str">
        <f ca="1">IF(BQ4="","",IF(BQ4="D/ST",MID(VLOOKUP($A4,INDIRECT("'"&amp;Summary!BP$1&amp;"'!$A$1:$S$17"),2,FALSE),1,FIND(" ",VLOOKUP($A4,INDIRECT("'"&amp;Summary!BP$1&amp;"'!$A$1:$S$17"),2,FALSE))+4),MID(VLOOKUP($A4,INDIRECT("'"&amp;Summary!BP$1&amp;"'!$A$1:$S$17"),2,FALSE),1,FIND(",",VLOOKUP($A4,INDIRECT("'"&amp;Summary!BP$1&amp;"'!$A$1:$S$17"),2,FALSE))-1)))</f>
        <v>Alfred Morris</v>
      </c>
      <c r="BQ4" s="2" t="str">
        <f ca="1">IF(ISNUMBER(SEARCH("QB",VLOOKUP($A4,INDIRECT("'"&amp;Summary!BP$1&amp;"'!$A$1:$S$17"),2,FALSE))),"QB",
IF(ISNUMBER(SEARCH("RB",VLOOKUP($A4,INDIRECT("'"&amp;Summary!BP$1&amp;"'!$A$1:$S$17"),2,FALSE))),"RB",
IF(ISNUMBER(SEARCH("WR",VLOOKUP($A4,INDIRECT("'"&amp;Summary!BP$1&amp;"'!$A$1:$S$17"),2,FALSE))),"WR",
IF(ISNUMBER(SEARCH("D/ST",VLOOKUP($A4,INDIRECT("'"&amp;Summary!BP$1&amp;"'!$A$1:$S$17"),2,FALSE))),"D/ST",
IF(ISNUMBER(SEARCH("TE",VLOOKUP($A4,INDIRECT("'"&amp;Summary!BP$1&amp;"'!$A$1:$S$17"),2,FALSE))),"TE","")))))</f>
        <v>RB</v>
      </c>
      <c r="BR4" s="2">
        <f ca="1">IF(BQ4="","",IF(BQ4&lt;&gt;"D/ST",VLOOKUP($A4,INDIRECT("'"&amp;Summary!BP$1&amp;"'!$A$1:$S$17"),19,FALSE),VLOOKUP($A4,INDIRECT("'"&amp;Summary!BP$1&amp;"'!$A$1:$S$17"),12,FALSE)))</f>
        <v>5.4</v>
      </c>
      <c r="BS4" s="2">
        <f t="array" aca="1" ref="BS4" ca="1">IF(BQ4="","",IF(BQ4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4,INDIRECT("'"&amp;Summary!BP$1&amp;"'!$A$1:$A$17"),0)&amp;":$S"&amp;MATCH($A4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4,INDIRECT("'"&amp;Summary!BP$1&amp;"'!$A$1:$A$17"),0)&amp;":$S"&amp;MATCH($A4,INDIRECT("'"&amp;Summary!BP$1&amp;"'!$A$1:$A$17"),0)))))</f>
        <v>0</v>
      </c>
      <c r="BT4" s="3">
        <f ca="1">IF(BR4=0,0,BS4*6/BR4)</f>
        <v>0</v>
      </c>
      <c r="BU4" s="3">
        <f t="shared" ref="BU4:BU16" ca="1" si="11">1-BT4</f>
        <v>1</v>
      </c>
      <c r="BV4" s="2" t="str">
        <f ca="1">IF(BW4="","",IF(BW4="D/ST",MID(VLOOKUP($A4,INDIRECT("'"&amp;Summary!BV$1&amp;"'!$A$1:$S$17"),2,FALSE),1,FIND(" ",VLOOKUP($A4,INDIRECT("'"&amp;Summary!BV$1&amp;"'!$A$1:$S$17"),2,FALSE))+4),MID(VLOOKUP($A4,INDIRECT("'"&amp;Summary!BV$1&amp;"'!$A$1:$S$17"),2,FALSE),1,FIND(",",VLOOKUP($A4,INDIRECT("'"&amp;Summary!BV$1&amp;"'!$A$1:$S$17"),2,FALSE))-1)))</f>
        <v>Kenyan Drake</v>
      </c>
      <c r="BW4" s="2" t="str">
        <f ca="1">IF(ISNUMBER(SEARCH("QB",VLOOKUP($A4,INDIRECT("'"&amp;Summary!BV$1&amp;"'!$A$1:$S$17"),2,FALSE))),"QB",
IF(ISNUMBER(SEARCH("RB",VLOOKUP($A4,INDIRECT("'"&amp;Summary!BV$1&amp;"'!$A$1:$S$17"),2,FALSE))),"RB",
IF(ISNUMBER(SEARCH("WR",VLOOKUP($A4,INDIRECT("'"&amp;Summary!BV$1&amp;"'!$A$1:$S$17"),2,FALSE))),"WR",
IF(ISNUMBER(SEARCH("D/ST",VLOOKUP($A4,INDIRECT("'"&amp;Summary!BV$1&amp;"'!$A$1:$S$17"),2,FALSE))),"D/ST",
IF(ISNUMBER(SEARCH("TE",VLOOKUP($A4,INDIRECT("'"&amp;Summary!BV$1&amp;"'!$A$1:$S$17"),2,FALSE))),"TE","")))))</f>
        <v>RB</v>
      </c>
      <c r="BX4" s="2">
        <f ca="1">IF(BW4="","",IF(BW4&lt;&gt;"D/ST",VLOOKUP($A4,INDIRECT("'"&amp;Summary!BV$1&amp;"'!$A$1:$S$17"),19,FALSE),VLOOKUP($A4,INDIRECT("'"&amp;Summary!BV$1&amp;"'!$A$1:$S$17"),12,FALSE)))</f>
        <v>21.6</v>
      </c>
      <c r="BY4" s="2">
        <f t="array" aca="1" ref="BY4" ca="1">IF(BW4="","",IF(BW4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4,INDIRECT("'"&amp;Summary!BV$1&amp;"'!$A$1:$A$17"),0)&amp;":$S"&amp;MATCH($A4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4,INDIRECT("'"&amp;Summary!BV$1&amp;"'!$A$1:$A$17"),0)&amp;":$S"&amp;MATCH($A4,INDIRECT("'"&amp;Summary!BV$1&amp;"'!$A$1:$A$17"),0)))))</f>
        <v>1</v>
      </c>
      <c r="BZ4" s="3">
        <f ca="1">IF(BX4=0,0,BY4*6/BX4)</f>
        <v>0.27777777777777773</v>
      </c>
      <c r="CA4" s="3">
        <f t="shared" ref="CA4:CA16" ca="1" si="12">1-BZ4</f>
        <v>0.72222222222222232</v>
      </c>
      <c r="CB4" s="2" t="str">
        <f ca="1">IF(CC4="","",IF(CC4="D/ST",MID(VLOOKUP($A4,INDIRECT("'"&amp;Summary!CB$1&amp;"'!$A$1:$S$17"),2,FALSE),1,FIND(" ",VLOOKUP($A4,INDIRECT("'"&amp;Summary!CB$1&amp;"'!$A$1:$S$17"),2,FALSE))+4),MID(VLOOKUP($A4,INDIRECT("'"&amp;Summary!CB$1&amp;"'!$A$1:$S$17"),2,FALSE),1,FIND(",",VLOOKUP($A4,INDIRECT("'"&amp;Summary!CB$1&amp;"'!$A$1:$S$17"),2,FALSE))-1)))</f>
        <v>Samaje Perine</v>
      </c>
      <c r="CC4" s="2" t="str">
        <f ca="1">IF(ISNUMBER(SEARCH("QB",VLOOKUP($A4,INDIRECT("'"&amp;Summary!CB$1&amp;"'!$A$1:$S$17"),2,FALSE))),"QB",
IF(ISNUMBER(SEARCH("RB",VLOOKUP($A4,INDIRECT("'"&amp;Summary!CB$1&amp;"'!$A$1:$S$17"),2,FALSE))),"RB",
IF(ISNUMBER(SEARCH("WR",VLOOKUP($A4,INDIRECT("'"&amp;Summary!CB$1&amp;"'!$A$1:$S$17"),2,FALSE))),"WR",
IF(ISNUMBER(SEARCH("D/ST",VLOOKUP($A4,INDIRECT("'"&amp;Summary!CB$1&amp;"'!$A$1:$S$17"),2,FALSE))),"D/ST",
IF(ISNUMBER(SEARCH("TE",VLOOKUP($A4,INDIRECT("'"&amp;Summary!CB$1&amp;"'!$A$1:$S$17"),2,FALSE))),"TE","")))))</f>
        <v>RB</v>
      </c>
      <c r="CD4" s="2">
        <f ca="1">IF(CC4="","",IF(CC4&lt;&gt;"D/ST",VLOOKUP($A4,INDIRECT("'"&amp;Summary!CB$1&amp;"'!$A$1:$S$17"),19,FALSE),VLOOKUP($A4,INDIRECT("'"&amp;Summary!CB$1&amp;"'!$A$1:$S$17"),12,FALSE)))</f>
        <v>7.2</v>
      </c>
      <c r="CE4" s="2">
        <f t="array" aca="1" ref="CE4" ca="1">IF(CC4="","",IF(CC4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4,INDIRECT("'"&amp;Summary!CB$1&amp;"'!$A$1:$A$17"),0)&amp;":$S"&amp;MATCH($A4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4,INDIRECT("'"&amp;Summary!CB$1&amp;"'!$A$1:$A$17"),0)&amp;":$S"&amp;MATCH($A4,INDIRECT("'"&amp;Summary!CB$1&amp;"'!$A$1:$A$17"),0)))))</f>
        <v>0</v>
      </c>
      <c r="CF4" s="3">
        <f ca="1">IF(CD4=0,0,CE4*6/CD4)</f>
        <v>0</v>
      </c>
      <c r="CG4" s="3">
        <f t="shared" ref="CG4:CG16" ca="1" si="13">1-CF4</f>
        <v>1</v>
      </c>
      <c r="CH4" s="2" t="str">
        <f ca="1">IF(CI4="","",IF(CI4="D/ST",MID(VLOOKUP($A4,INDIRECT("'"&amp;Summary!CH$1&amp;"'!$A$1:$S$17"),2,FALSE),1,FIND(" ",VLOOKUP($A4,INDIRECT("'"&amp;Summary!CH$1&amp;"'!$A$1:$S$17"),2,FALSE))+4),MID(VLOOKUP($A4,INDIRECT("'"&amp;Summary!CH$1&amp;"'!$A$1:$S$17"),2,FALSE),1,FIND(",",VLOOKUP($A4,INDIRECT("'"&amp;Summary!CH$1&amp;"'!$A$1:$S$17"),2,FALSE))-1)))</f>
        <v>Kenyan Drake</v>
      </c>
      <c r="CI4" s="2" t="str">
        <f ca="1">IF(ISNUMBER(SEARCH("QB",VLOOKUP($A4,INDIRECT("'"&amp;Summary!CH$1&amp;"'!$A$1:$S$17"),2,FALSE))),"QB",
IF(ISNUMBER(SEARCH("RB",VLOOKUP($A4,INDIRECT("'"&amp;Summary!CH$1&amp;"'!$A$1:$S$17"),2,FALSE))),"RB",
IF(ISNUMBER(SEARCH("WR",VLOOKUP($A4,INDIRECT("'"&amp;Summary!CH$1&amp;"'!$A$1:$S$17"),2,FALSE))),"WR",
IF(ISNUMBER(SEARCH("D/ST",VLOOKUP($A4,INDIRECT("'"&amp;Summary!CH$1&amp;"'!$A$1:$S$17"),2,FALSE))),"D/ST",
IF(ISNUMBER(SEARCH("TE",VLOOKUP($A4,INDIRECT("'"&amp;Summary!CH$1&amp;"'!$A$1:$S$17"),2,FALSE))),"TE","")))))</f>
        <v>RB</v>
      </c>
      <c r="CJ4" s="2">
        <f ca="1">IF(CI4="","",IF(CI4&lt;&gt;"D/ST",VLOOKUP($A4,INDIRECT("'"&amp;Summary!CH$1&amp;"'!$A$1:$S$17"),19,FALSE),VLOOKUP($A4,INDIRECT("'"&amp;Summary!CH$1&amp;"'!$A$1:$S$17"),12,FALSE)))</f>
        <v>20.3</v>
      </c>
      <c r="CK4" s="2">
        <f t="array" aca="1" ref="CK4" ca="1">IF(CI4="","",IF(CI4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4,INDIRECT("'"&amp;Summary!CH$1&amp;"'!$A$1:$A$17"),0)&amp;":$S"&amp;MATCH($A4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4,INDIRECT("'"&amp;Summary!CH$1&amp;"'!$A$1:$A$17"),0)&amp;":$S"&amp;MATCH($A4,INDIRECT("'"&amp;Summary!CH$1&amp;"'!$A$1:$A$17"),0)))))</f>
        <v>1</v>
      </c>
      <c r="CL4" s="3">
        <f ca="1">IF(CJ4=0,0,CK4*6/CJ4)</f>
        <v>0.29556650246305416</v>
      </c>
      <c r="CM4" s="3">
        <f t="shared" ref="CM4:CM16" ca="1" si="14">1-CL4</f>
        <v>0.70443349753694584</v>
      </c>
      <c r="CN4" s="2" t="str">
        <f ca="1">IF(CO4="","",IF(CO4="D/ST",MID(VLOOKUP($A4,INDIRECT("'"&amp;Summary!CN$1&amp;"'!$A$1:$S$17"),2,FALSE),1,FIND(" ",VLOOKUP($A4,INDIRECT("'"&amp;Summary!CN$1&amp;"'!$A$1:$S$17"),2,FALSE))+4),MID(VLOOKUP($A4,INDIRECT("'"&amp;Summary!CN$1&amp;"'!$A$1:$S$17"),2,FALSE),1,FIND(",",VLOOKUP($A4,INDIRECT("'"&amp;Summary!CN$1&amp;"'!$A$1:$S$17"),2,FALSE))-1)))</f>
        <v>Ezekiel Elliott</v>
      </c>
      <c r="CO4" s="2" t="str">
        <f ca="1">IF(ISNUMBER(SEARCH("QB",VLOOKUP($A4,INDIRECT("'"&amp;Summary!CN$1&amp;"'!$A$1:$S$17"),2,FALSE))),"QB",
IF(ISNUMBER(SEARCH("RB",VLOOKUP($A4,INDIRECT("'"&amp;Summary!CN$1&amp;"'!$A$1:$S$17"),2,FALSE))),"RB",
IF(ISNUMBER(SEARCH("WR",VLOOKUP($A4,INDIRECT("'"&amp;Summary!CN$1&amp;"'!$A$1:$S$17"),2,FALSE))),"WR",
IF(ISNUMBER(SEARCH("D/ST",VLOOKUP($A4,INDIRECT("'"&amp;Summary!CN$1&amp;"'!$A$1:$S$17"),2,FALSE))),"D/ST",
IF(ISNUMBER(SEARCH("TE",VLOOKUP($A4,INDIRECT("'"&amp;Summary!CN$1&amp;"'!$A$1:$S$17"),2,FALSE))),"TE","")))))</f>
        <v>RB</v>
      </c>
      <c r="CP4" s="2">
        <f ca="1">IF(CO4="","",IF(CO4&lt;&gt;"D/ST",VLOOKUP($A4,INDIRECT("'"&amp;Summary!CN$1&amp;"'!$A$1:$S$17"),19,FALSE),VLOOKUP($A4,INDIRECT("'"&amp;Summary!CN$1&amp;"'!$A$1:$S$17"),12,FALSE)))</f>
        <v>13.8</v>
      </c>
      <c r="CQ4" s="2">
        <f t="array" aca="1" ref="CQ4" ca="1">IF(CO4="","",IF(CO4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4,INDIRECT("'"&amp;Summary!CN$1&amp;"'!$A$1:$A$17"),0)&amp;":$S"&amp;MATCH($A4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4,INDIRECT("'"&amp;Summary!CN$1&amp;"'!$A$1:$A$17"),0)&amp;":$S"&amp;MATCH($A4,INDIRECT("'"&amp;Summary!CN$1&amp;"'!$A$1:$A$17"),0)))))</f>
        <v>0</v>
      </c>
      <c r="CR4" s="3">
        <f ca="1">IF(CP4=0,0,CQ4*6/CP4)</f>
        <v>0</v>
      </c>
      <c r="CS4" s="3">
        <f t="shared" ref="CS4:CS16" ca="1" si="15">1-CR4</f>
        <v>1</v>
      </c>
    </row>
    <row r="5" spans="1:97" ht="16.25" thickTop="1" thickBot="1" x14ac:dyDescent="0.9">
      <c r="A5" s="2" t="s">
        <v>24</v>
      </c>
      <c r="B5" s="2" t="str">
        <f ca="1">IF(C5="","",IF(C5="D/ST",MID(VLOOKUP($A5,INDIRECT("'"&amp;Summary!B$1&amp;"'!$A$1:$S$17"),2,FALSE),1,FIND(" ",VLOOKUP($A5,INDIRECT("'"&amp;Summary!B$1&amp;"'!$A$1:$S$17"),2,FALSE))+4),MID(VLOOKUP($A5,INDIRECT("'"&amp;Summary!B$1&amp;"'!$A$1:$S$17"),2,FALSE),1,FIND(",",VLOOKUP($A5,INDIRECT("'"&amp;Summary!B$1&amp;"'!$A$1:$S$17"),2,FALSE))-1)))</f>
        <v>Isaiah Crowell</v>
      </c>
      <c r="C5" s="2" t="str">
        <f ca="1">IF(ISNUMBER(SEARCH("QB",VLOOKUP($A5,INDIRECT("'"&amp;Summary!B$1&amp;"'!$A$1:$S$17"),2,FALSE))),"QB",
IF(ISNUMBER(SEARCH("RB",VLOOKUP($A5,INDIRECT("'"&amp;Summary!B$1&amp;"'!$A$1:$S$17"),2,FALSE))),"RB",
IF(ISNUMBER(SEARCH("WR",VLOOKUP($A5,INDIRECT("'"&amp;Summary!B$1&amp;"'!$A$1:$S$17"),2,FALSE))),"WR",
IF(ISNUMBER(SEARCH("D/ST",VLOOKUP($A5,INDIRECT("'"&amp;Summary!B$1&amp;"'!$A$1:$S$17"),2,FALSE))),"D/ST",
IF(ISNUMBER(SEARCH("TE",VLOOKUP($A5,INDIRECT("'"&amp;Summary!B$1&amp;"'!$A$1:$S$17"),2,FALSE))),"TE","")))))</f>
        <v>RB</v>
      </c>
      <c r="D5" s="2">
        <f ca="1">IF(C5="","",IF(C5&lt;&gt;"D/ST",VLOOKUP($A5,INDIRECT("'"&amp;Summary!B$1&amp;"'!$A$1:$S$17"),19,FALSE),VLOOKUP($A5,INDIRECT("'"&amp;Summary!B$1&amp;"'!$A$1:$S$17"),12,FALSE)))</f>
        <v>9.6</v>
      </c>
      <c r="E5" s="2">
        <f t="array" aca="1" ref="E5" ca="1">IF(C5="","",IF(C5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5,INDIRECT("'"&amp;Summary!B$1&amp;"'!$A$1:$A$17"),0)&amp;":$S"&amp;MATCH($A5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5,INDIRECT("'"&amp;Summary!B$1&amp;"'!$A$1:$A$17"),0)&amp;":$S"&amp;MATCH($A5,INDIRECT("'"&amp;Summary!B$1&amp;"'!$A$1:$A$17"),0)))))</f>
        <v>0</v>
      </c>
      <c r="F5" s="3">
        <f t="shared" ref="F5:F16" ca="1" si="16">IF(D5=0,0,E5*6/D5)</f>
        <v>0</v>
      </c>
      <c r="G5" s="3">
        <f t="shared" ca="1" si="0"/>
        <v>1</v>
      </c>
      <c r="H5" s="2" t="str">
        <f ca="1">IF(I5="","",IF(I5="D/ST",MID(VLOOKUP($A5,INDIRECT("'"&amp;Summary!H$1&amp;"'!$A$1:$S$17"),2,FALSE),1,FIND(" ",VLOOKUP($A5,INDIRECT("'"&amp;Summary!H$1&amp;"'!$A$1:$S$17"),2,FALSE))+4),MID(VLOOKUP($A5,INDIRECT("'"&amp;Summary!H$1&amp;"'!$A$1:$S$17"),2,FALSE),1,FIND(",",VLOOKUP($A5,INDIRECT("'"&amp;Summary!H$1&amp;"'!$A$1:$S$17"),2,FALSE))-1)))</f>
        <v>Dalvin Cook</v>
      </c>
      <c r="I5" s="2" t="str">
        <f ca="1">IF(ISNUMBER(SEARCH("QB",VLOOKUP($A5,INDIRECT("'"&amp;Summary!H$1&amp;"'!$A$1:$S$17"),2,FALSE))),"QB",
IF(ISNUMBER(SEARCH("RB",VLOOKUP($A5,INDIRECT("'"&amp;Summary!H$1&amp;"'!$A$1:$S$17"),2,FALSE))),"RB",
IF(ISNUMBER(SEARCH("WR",VLOOKUP($A5,INDIRECT("'"&amp;Summary!H$1&amp;"'!$A$1:$S$17"),2,FALSE))),"WR",
IF(ISNUMBER(SEARCH("D/ST",VLOOKUP($A5,INDIRECT("'"&amp;Summary!H$1&amp;"'!$A$1:$S$17"),2,FALSE))),"D/ST",
IF(ISNUMBER(SEARCH("TE",VLOOKUP($A5,INDIRECT("'"&amp;Summary!H$1&amp;"'!$A$1:$S$17"),2,FALSE))),"TE","")))))</f>
        <v>RB</v>
      </c>
      <c r="J5" s="2">
        <f ca="1">IF(I5="","",IF(I5&lt;&gt;"D/ST",VLOOKUP($A5,INDIRECT("'"&amp;Summary!H$1&amp;"'!$A$1:$S$17"),19,FALSE),VLOOKUP($A5,INDIRECT("'"&amp;Summary!H$1&amp;"'!$A$1:$S$17"),12,FALSE)))</f>
        <v>7.4</v>
      </c>
      <c r="K5" s="2">
        <f t="array" aca="1" ref="K5" ca="1">IF(I5="","",IF(I5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5,INDIRECT("'"&amp;Summary!H$1&amp;"'!$A$1:$A$17"),0)&amp;":$S"&amp;MATCH($A5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5,INDIRECT("'"&amp;Summary!H$1&amp;"'!$A$1:$A$17"),0)&amp;":$S"&amp;MATCH($A5,INDIRECT("'"&amp;Summary!H$1&amp;"'!$A$1:$A$17"),0)))))</f>
        <v>0</v>
      </c>
      <c r="L5" s="3">
        <f t="shared" ref="L5:L16" ca="1" si="17">IF(J5=0,0,K5*6/J5)</f>
        <v>0</v>
      </c>
      <c r="M5" s="3">
        <f t="shared" ca="1" si="1"/>
        <v>1</v>
      </c>
      <c r="N5" s="2" t="str">
        <f ca="1">IF(O5="","",IF(O5="D/ST",MID(VLOOKUP($A5,INDIRECT("'"&amp;Summary!N$1&amp;"'!$A$1:$S$17"),2,FALSE),1,FIND(" ",VLOOKUP($A5,INDIRECT("'"&amp;Summary!N$1&amp;"'!$A$1:$S$17"),2,FALSE))+4),MID(VLOOKUP($A5,INDIRECT("'"&amp;Summary!N$1&amp;"'!$A$1:$S$17"),2,FALSE),1,FIND(",",VLOOKUP($A5,INDIRECT("'"&amp;Summary!N$1&amp;"'!$A$1:$S$17"),2,FALSE))-1)))</f>
        <v>Dalvin Cook</v>
      </c>
      <c r="O5" s="2" t="str">
        <f ca="1">IF(ISNUMBER(SEARCH("QB",VLOOKUP($A5,INDIRECT("'"&amp;Summary!N$1&amp;"'!$A$1:$S$17"),2,FALSE))),"QB",
IF(ISNUMBER(SEARCH("RB",VLOOKUP($A5,INDIRECT("'"&amp;Summary!N$1&amp;"'!$A$1:$S$17"),2,FALSE))),"RB",
IF(ISNUMBER(SEARCH("WR",VLOOKUP($A5,INDIRECT("'"&amp;Summary!N$1&amp;"'!$A$1:$S$17"),2,FALSE))),"WR",
IF(ISNUMBER(SEARCH("D/ST",VLOOKUP($A5,INDIRECT("'"&amp;Summary!N$1&amp;"'!$A$1:$S$17"),2,FALSE))),"D/ST",
IF(ISNUMBER(SEARCH("TE",VLOOKUP($A5,INDIRECT("'"&amp;Summary!N$1&amp;"'!$A$1:$S$17"),2,FALSE))),"TE","")))))</f>
        <v>RB</v>
      </c>
      <c r="P5" s="2">
        <f ca="1">IF(O5="","",IF(O5&lt;&gt;"D/ST",VLOOKUP($A5,INDIRECT("'"&amp;Summary!N$1&amp;"'!$A$1:$S$17"),19,FALSE),VLOOKUP($A5,INDIRECT("'"&amp;Summary!N$1&amp;"'!$A$1:$S$17"),12,FALSE)))</f>
        <v>25.4</v>
      </c>
      <c r="Q5" s="2">
        <f t="array" aca="1" ref="Q5" ca="1">IF(O5="","",IF(O5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5,INDIRECT("'"&amp;Summary!N$1&amp;"'!$A$1:$A$17"),0)&amp;":$S"&amp;MATCH($A5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5,INDIRECT("'"&amp;Summary!N$1&amp;"'!$A$1:$A$17"),0)&amp;":$S"&amp;MATCH($A5,INDIRECT("'"&amp;Summary!N$1&amp;"'!$A$1:$A$17"),0)))))</f>
        <v>1</v>
      </c>
      <c r="R5" s="3">
        <f t="shared" ref="R5:R16" ca="1" si="18">IF(P5=0,0,Q5*6/P5)</f>
        <v>0.23622047244094491</v>
      </c>
      <c r="S5" s="3">
        <f t="shared" ca="1" si="2"/>
        <v>0.76377952755905509</v>
      </c>
      <c r="T5" s="2" t="str">
        <f ca="1">IF(U5="","",IF(U5="D/ST",MID(VLOOKUP($A5,INDIRECT("'"&amp;Summary!T$1&amp;"'!$A$1:$S$17"),2,FALSE),1,FIND(" ",VLOOKUP($A5,INDIRECT("'"&amp;Summary!T$1&amp;"'!$A$1:$S$17"),2,FALSE))+4),MID(VLOOKUP($A5,INDIRECT("'"&amp;Summary!T$1&amp;"'!$A$1:$S$17"),2,FALSE),1,FIND(",",VLOOKUP($A5,INDIRECT("'"&amp;Summary!T$1&amp;"'!$A$1:$S$17"),2,FALSE))-1)))</f>
        <v>Dalvin Cook</v>
      </c>
      <c r="U5" s="2" t="str">
        <f ca="1">IF(ISNUMBER(SEARCH("QB",VLOOKUP($A5,INDIRECT("'"&amp;Summary!T$1&amp;"'!$A$1:$S$17"),2,FALSE))),"QB",
IF(ISNUMBER(SEARCH("RB",VLOOKUP($A5,INDIRECT("'"&amp;Summary!T$1&amp;"'!$A$1:$S$17"),2,FALSE))),"RB",
IF(ISNUMBER(SEARCH("WR",VLOOKUP($A5,INDIRECT("'"&amp;Summary!T$1&amp;"'!$A$1:$S$17"),2,FALSE))),"WR",
IF(ISNUMBER(SEARCH("D/ST",VLOOKUP($A5,INDIRECT("'"&amp;Summary!T$1&amp;"'!$A$1:$S$17"),2,FALSE))),"D/ST",
IF(ISNUMBER(SEARCH("TE",VLOOKUP($A5,INDIRECT("'"&amp;Summary!T$1&amp;"'!$A$1:$S$17"),2,FALSE))),"TE","")))))</f>
        <v>RB</v>
      </c>
      <c r="V5" s="2">
        <f ca="1">IF(U5="","",IF(U5&lt;&gt;"D/ST",VLOOKUP($A5,INDIRECT("'"&amp;Summary!T$1&amp;"'!$A$1:$S$17"),19,FALSE),VLOOKUP($A5,INDIRECT("'"&amp;Summary!T$1&amp;"'!$A$1:$S$17"),12,FALSE)))</f>
        <v>11.9</v>
      </c>
      <c r="W5" s="2">
        <f t="array" aca="1" ref="W5" ca="1">IF(U5="","",IF(U5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5,INDIRECT("'"&amp;Summary!T$1&amp;"'!$A$1:$A$17"),0)&amp;":$S"&amp;MATCH($A5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5,INDIRECT("'"&amp;Summary!T$1&amp;"'!$A$1:$A$17"),0)&amp;":$S"&amp;MATCH($A5,INDIRECT("'"&amp;Summary!T$1&amp;"'!$A$1:$A$17"),0)))))</f>
        <v>1</v>
      </c>
      <c r="X5" s="3">
        <f t="shared" ref="X5:X16" ca="1" si="19">IF(V5=0,0,W5*6/V5)</f>
        <v>0.50420168067226889</v>
      </c>
      <c r="Y5" s="3">
        <f t="shared" ca="1" si="3"/>
        <v>0.49579831932773111</v>
      </c>
      <c r="Z5" s="2" t="str">
        <f ca="1">IF(AA5="","",IF(AA5="D/ST",MID(VLOOKUP($A5,INDIRECT("'"&amp;Summary!Z$1&amp;"'!$A$1:$S$17"),2,FALSE),1,FIND(" ",VLOOKUP($A5,INDIRECT("'"&amp;Summary!Z$1&amp;"'!$A$1:$S$17"),2,FALSE))+4),MID(VLOOKUP($A5,INDIRECT("'"&amp;Summary!Z$1&amp;"'!$A$1:$S$17"),2,FALSE),1,FIND(",",VLOOKUP($A5,INDIRECT("'"&amp;Summary!Z$1&amp;"'!$A$1:$S$17"),2,FALSE))-1)))</f>
        <v>Isaiah Crowell</v>
      </c>
      <c r="AA5" s="2" t="str">
        <f ca="1">IF(ISNUMBER(SEARCH("QB",VLOOKUP($A5,INDIRECT("'"&amp;Summary!Z$1&amp;"'!$A$1:$S$17"),2,FALSE))),"QB",
IF(ISNUMBER(SEARCH("RB",VLOOKUP($A5,INDIRECT("'"&amp;Summary!Z$1&amp;"'!$A$1:$S$17"),2,FALSE))),"RB",
IF(ISNUMBER(SEARCH("WR",VLOOKUP($A5,INDIRECT("'"&amp;Summary!Z$1&amp;"'!$A$1:$S$17"),2,FALSE))),"WR",
IF(ISNUMBER(SEARCH("D/ST",VLOOKUP($A5,INDIRECT("'"&amp;Summary!Z$1&amp;"'!$A$1:$S$17"),2,FALSE))),"D/ST",
IF(ISNUMBER(SEARCH("TE",VLOOKUP($A5,INDIRECT("'"&amp;Summary!Z$1&amp;"'!$A$1:$S$17"),2,FALSE))),"TE","")))))</f>
        <v>RB</v>
      </c>
      <c r="AB5" s="2">
        <f ca="1">IF(AA5="","",IF(AA5&lt;&gt;"D/ST",VLOOKUP($A5,INDIRECT("'"&amp;Summary!Z$1&amp;"'!$A$1:$S$17"),19,FALSE),VLOOKUP($A5,INDIRECT("'"&amp;Summary!Z$1&amp;"'!$A$1:$S$17"),12,FALSE)))</f>
        <v>7.7</v>
      </c>
      <c r="AC5" s="2">
        <f t="array" aca="1" ref="AC5" ca="1">IF(AA5="","",IF(AA5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5,INDIRECT("'"&amp;Summary!Z$1&amp;"'!$A$1:$A$17"),0)&amp;":$S"&amp;MATCH($A5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5,INDIRECT("'"&amp;Summary!Z$1&amp;"'!$A$1:$A$17"),0)&amp;":$S"&amp;MATCH($A5,INDIRECT("'"&amp;Summary!Z$1&amp;"'!$A$1:$A$17"),0)))))</f>
        <v>0</v>
      </c>
      <c r="AD5" s="3">
        <f t="shared" ref="AD5:AD16" ca="1" si="20">IF(AB5=0,0,AC5*6/AB5)</f>
        <v>0</v>
      </c>
      <c r="AE5" s="3">
        <f t="shared" ca="1" si="4"/>
        <v>1</v>
      </c>
      <c r="AF5" s="2" t="str">
        <f ca="1">IF(AG5="","",IF(AG5="D/ST",MID(VLOOKUP($A5,INDIRECT("'"&amp;Summary!AF$1&amp;"'!$A$1:$S$17"),2,FALSE),1,FIND(" ",VLOOKUP($A5,INDIRECT("'"&amp;Summary!AF$1&amp;"'!$A$1:$S$17"),2,FALSE))+4),MID(VLOOKUP($A5,INDIRECT("'"&amp;Summary!AF$1&amp;"'!$A$1:$S$17"),2,FALSE),1,FIND(",",VLOOKUP($A5,INDIRECT("'"&amp;Summary!AF$1&amp;"'!$A$1:$S$17"),2,FALSE))-1)))</f>
        <v>Elijah McGuire</v>
      </c>
      <c r="AG5" s="2" t="str">
        <f ca="1">IF(ISNUMBER(SEARCH("QB",VLOOKUP($A5,INDIRECT("'"&amp;Summary!AF$1&amp;"'!$A$1:$S$17"),2,FALSE))),"QB",
IF(ISNUMBER(SEARCH("RB",VLOOKUP($A5,INDIRECT("'"&amp;Summary!AF$1&amp;"'!$A$1:$S$17"),2,FALSE))),"RB",
IF(ISNUMBER(SEARCH("WR",VLOOKUP($A5,INDIRECT("'"&amp;Summary!AF$1&amp;"'!$A$1:$S$17"),2,FALSE))),"WR",
IF(ISNUMBER(SEARCH("D/ST",VLOOKUP($A5,INDIRECT("'"&amp;Summary!AF$1&amp;"'!$A$1:$S$17"),2,FALSE))),"D/ST",
IF(ISNUMBER(SEARCH("TE",VLOOKUP($A5,INDIRECT("'"&amp;Summary!AF$1&amp;"'!$A$1:$S$17"),2,FALSE))),"TE","")))))</f>
        <v>RB</v>
      </c>
      <c r="AH5" s="2">
        <f ca="1">IF(AG5="","",IF(AG5&lt;&gt;"D/ST",VLOOKUP($A5,INDIRECT("'"&amp;Summary!AF$1&amp;"'!$A$1:$S$17"),19,FALSE),VLOOKUP($A5,INDIRECT("'"&amp;Summary!AF$1&amp;"'!$A$1:$S$17"),12,FALSE)))</f>
        <v>2.2000000000000002</v>
      </c>
      <c r="AI5" s="2">
        <f t="array" aca="1" ref="AI5" ca="1">IF(AG5="","",IF(AG5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5,INDIRECT("'"&amp;Summary!AF$1&amp;"'!$A$1:$A$17"),0)&amp;":$S"&amp;MATCH($A5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5,INDIRECT("'"&amp;Summary!AF$1&amp;"'!$A$1:$A$17"),0)&amp;":$S"&amp;MATCH($A5,INDIRECT("'"&amp;Summary!AF$1&amp;"'!$A$1:$A$17"),0)))))</f>
        <v>0</v>
      </c>
      <c r="AJ5" s="3">
        <f t="shared" ref="AJ5:AJ16" ca="1" si="21">IF(AH5=0,0,AI5*6/AH5)</f>
        <v>0</v>
      </c>
      <c r="AK5" s="3">
        <f t="shared" ca="1" si="5"/>
        <v>1</v>
      </c>
      <c r="AL5" s="2" t="str">
        <f ca="1">IF(AM5="","",IF(AM5="D/ST",MID(VLOOKUP($A5,INDIRECT("'"&amp;Summary!AL$1&amp;"'!$A$1:$S$17"),2,FALSE),1,FIND(" ",VLOOKUP($A5,INDIRECT("'"&amp;Summary!AL$1&amp;"'!$A$1:$S$17"),2,FALSE))+4),MID(VLOOKUP($A5,INDIRECT("'"&amp;Summary!AL$1&amp;"'!$A$1:$S$17"),2,FALSE),1,FIND(",",VLOOKUP($A5,INDIRECT("'"&amp;Summary!AL$1&amp;"'!$A$1:$S$17"),2,FALSE))-1)))</f>
        <v>Chris Ivory</v>
      </c>
      <c r="AM5" s="2" t="str">
        <f ca="1">IF(ISNUMBER(SEARCH("QB",VLOOKUP($A5,INDIRECT("'"&amp;Summary!AL$1&amp;"'!$A$1:$S$17"),2,FALSE))),"QB",
IF(ISNUMBER(SEARCH("RB",VLOOKUP($A5,INDIRECT("'"&amp;Summary!AL$1&amp;"'!$A$1:$S$17"),2,FALSE))),"RB",
IF(ISNUMBER(SEARCH("WR",VLOOKUP($A5,INDIRECT("'"&amp;Summary!AL$1&amp;"'!$A$1:$S$17"),2,FALSE))),"WR",
IF(ISNUMBER(SEARCH("D/ST",VLOOKUP($A5,INDIRECT("'"&amp;Summary!AL$1&amp;"'!$A$1:$S$17"),2,FALSE))),"D/ST",
IF(ISNUMBER(SEARCH("TE",VLOOKUP($A5,INDIRECT("'"&amp;Summary!AL$1&amp;"'!$A$1:$S$17"),2,FALSE))),"TE","")))))</f>
        <v>RB</v>
      </c>
      <c r="AN5" s="2">
        <f ca="1">IF(AM5="","",IF(AM5&lt;&gt;"D/ST",VLOOKUP($A5,INDIRECT("'"&amp;Summary!AL$1&amp;"'!$A$1:$S$17"),19,FALSE),VLOOKUP($A5,INDIRECT("'"&amp;Summary!AL$1&amp;"'!$A$1:$S$17"),12,FALSE)))</f>
        <v>8.6999999999999993</v>
      </c>
      <c r="AO5" s="2">
        <f t="array" aca="1" ref="AO5" ca="1">IF(AM5="","",IF(AM5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5,INDIRECT("'"&amp;Summary!AL$1&amp;"'!$A$1:$A$17"),0)&amp;":$S"&amp;MATCH($A5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5,INDIRECT("'"&amp;Summary!AL$1&amp;"'!$A$1:$A$17"),0)&amp;":$S"&amp;MATCH($A5,INDIRECT("'"&amp;Summary!AL$1&amp;"'!$A$1:$A$17"),0)))))</f>
        <v>1</v>
      </c>
      <c r="AP5" s="3">
        <f t="shared" ref="AP5:AP16" ca="1" si="22">IF(AN5=0,0,AO5*6/AN5)</f>
        <v>0.68965517241379315</v>
      </c>
      <c r="AQ5" s="3">
        <f t="shared" ca="1" si="6"/>
        <v>0.31034482758620685</v>
      </c>
      <c r="AR5" s="2" t="str">
        <f ca="1">IF(AS5="","",IF(AS5="D/ST",MID(VLOOKUP($A5,INDIRECT("'"&amp;Summary!AR$1&amp;"'!$A$1:$S$17"),2,FALSE),1,FIND(" ",VLOOKUP($A5,INDIRECT("'"&amp;Summary!AR$1&amp;"'!$A$1:$S$17"),2,FALSE))+4),MID(VLOOKUP($A5,INDIRECT("'"&amp;Summary!AR$1&amp;"'!$A$1:$S$17"),2,FALSE),1,FIND(",",VLOOKUP($A5,INDIRECT("'"&amp;Summary!AR$1&amp;"'!$A$1:$S$17"),2,FALSE))-1)))</f>
        <v>Dion Lewis</v>
      </c>
      <c r="AS5" s="2" t="str">
        <f ca="1">IF(ISNUMBER(SEARCH("QB",VLOOKUP($A5,INDIRECT("'"&amp;Summary!AR$1&amp;"'!$A$1:$S$17"),2,FALSE))),"QB",
IF(ISNUMBER(SEARCH("RB",VLOOKUP($A5,INDIRECT("'"&amp;Summary!AR$1&amp;"'!$A$1:$S$17"),2,FALSE))),"RB",
IF(ISNUMBER(SEARCH("WR",VLOOKUP($A5,INDIRECT("'"&amp;Summary!AR$1&amp;"'!$A$1:$S$17"),2,FALSE))),"WR",
IF(ISNUMBER(SEARCH("D/ST",VLOOKUP($A5,INDIRECT("'"&amp;Summary!AR$1&amp;"'!$A$1:$S$17"),2,FALSE))),"D/ST",
IF(ISNUMBER(SEARCH("TE",VLOOKUP($A5,INDIRECT("'"&amp;Summary!AR$1&amp;"'!$A$1:$S$17"),2,FALSE))),"TE","")))))</f>
        <v>RB</v>
      </c>
      <c r="AT5" s="2">
        <f ca="1">IF(AS5="","",IF(AS5&lt;&gt;"D/ST",VLOOKUP($A5,INDIRECT("'"&amp;Summary!AR$1&amp;"'!$A$1:$S$17"),19,FALSE),VLOOKUP($A5,INDIRECT("'"&amp;Summary!AR$1&amp;"'!$A$1:$S$17"),12,FALSE)))</f>
        <v>6.4</v>
      </c>
      <c r="AU5" s="2">
        <f t="array" aca="1" ref="AU5" ca="1">IF(AS5="","",IF(AS5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5,INDIRECT("'"&amp;Summary!AR$1&amp;"'!$A$1:$A$17"),0)&amp;":$S"&amp;MATCH($A5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5,INDIRECT("'"&amp;Summary!AR$1&amp;"'!$A$1:$A$17"),0)&amp;":$S"&amp;MATCH($A5,INDIRECT("'"&amp;Summary!AR$1&amp;"'!$A$1:$A$17"),0)))))</f>
        <v>0</v>
      </c>
      <c r="AV5" s="3">
        <f t="shared" ref="AV5:AV16" ca="1" si="23">IF(AT5=0,0,AU5*6/AT5)</f>
        <v>0</v>
      </c>
      <c r="AW5" s="3">
        <f t="shared" ca="1" si="7"/>
        <v>1</v>
      </c>
      <c r="AX5" s="2" t="str">
        <f ca="1">IF(AY5="","",IF(AY5="D/ST",MID(VLOOKUP($A5,INDIRECT("'"&amp;Summary!AX$1&amp;"'!$A$1:$S$17"),2,FALSE),1,FIND(" ",VLOOKUP($A5,INDIRECT("'"&amp;Summary!AX$1&amp;"'!$A$1:$S$17"),2,FALSE))+4),MID(VLOOKUP($A5,INDIRECT("'"&amp;Summary!AX$1&amp;"'!$A$1:$S$17"),2,FALSE),1,FIND(",",VLOOKUP($A5,INDIRECT("'"&amp;Summary!AX$1&amp;"'!$A$1:$S$17"),2,FALSE))-1)))</f>
        <v>Alex Collins</v>
      </c>
      <c r="AY5" s="2" t="str">
        <f ca="1">IF(ISNUMBER(SEARCH("QB",VLOOKUP($A5,INDIRECT("'"&amp;Summary!AX$1&amp;"'!$A$1:$S$17"),2,FALSE))),"QB",
IF(ISNUMBER(SEARCH("RB",VLOOKUP($A5,INDIRECT("'"&amp;Summary!AX$1&amp;"'!$A$1:$S$17"),2,FALSE))),"RB",
IF(ISNUMBER(SEARCH("WR",VLOOKUP($A5,INDIRECT("'"&amp;Summary!AX$1&amp;"'!$A$1:$S$17"),2,FALSE))),"WR",
IF(ISNUMBER(SEARCH("D/ST",VLOOKUP($A5,INDIRECT("'"&amp;Summary!AX$1&amp;"'!$A$1:$S$17"),2,FALSE))),"D/ST",
IF(ISNUMBER(SEARCH("TE",VLOOKUP($A5,INDIRECT("'"&amp;Summary!AX$1&amp;"'!$A$1:$S$17"),2,FALSE))),"TE","")))))</f>
        <v>RB</v>
      </c>
      <c r="AZ5" s="2">
        <f ca="1">IF(AY5="","",IF(AY5&lt;&gt;"D/ST",VLOOKUP($A5,INDIRECT("'"&amp;Summary!AX$1&amp;"'!$A$1:$S$17"),19,FALSE),VLOOKUP($A5,INDIRECT("'"&amp;Summary!AX$1&amp;"'!$A$1:$S$17"),12,FALSE)))</f>
        <v>5.0999999999999996</v>
      </c>
      <c r="BA5" s="2">
        <f t="array" aca="1" ref="BA5" ca="1">IF(AY5="","",IF(AY5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5,INDIRECT("'"&amp;Summary!AX$1&amp;"'!$A$1:$A$17"),0)&amp;":$S"&amp;MATCH($A5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5,INDIRECT("'"&amp;Summary!AX$1&amp;"'!$A$1:$A$17"),0)&amp;":$S"&amp;MATCH($A5,INDIRECT("'"&amp;Summary!AX$1&amp;"'!$A$1:$A$17"),0)))))</f>
        <v>0</v>
      </c>
      <c r="BB5" s="3">
        <f t="shared" ref="BB5:BB17" ca="1" si="24">IF(AZ5=0,0,BA5*6/AZ5)</f>
        <v>0</v>
      </c>
      <c r="BC5" s="3">
        <f t="shared" ca="1" si="8"/>
        <v>1</v>
      </c>
      <c r="BD5" s="2" t="str">
        <f ca="1">IF(BE5="","",IF(BE5="D/ST",MID(VLOOKUP($A5,INDIRECT("'"&amp;Summary!BD$1&amp;"'!$A$1:$S$17"),2,FALSE),1,FIND(" ",VLOOKUP($A5,INDIRECT("'"&amp;Summary!BD$1&amp;"'!$A$1:$S$17"),2,FALSE))+4),MID(VLOOKUP($A5,INDIRECT("'"&amp;Summary!BD$1&amp;"'!$A$1:$S$17"),2,FALSE),1,FIND(",",VLOOKUP($A5,INDIRECT("'"&amp;Summary!BD$1&amp;"'!$A$1:$S$17"),2,FALSE))-1)))</f>
        <v>Alfred Morris</v>
      </c>
      <c r="BE5" s="2" t="str">
        <f ca="1">IF(ISNUMBER(SEARCH("QB",VLOOKUP($A5,INDIRECT("'"&amp;Summary!BD$1&amp;"'!$A$1:$S$17"),2,FALSE))),"QB",
IF(ISNUMBER(SEARCH("RB",VLOOKUP($A5,INDIRECT("'"&amp;Summary!BD$1&amp;"'!$A$1:$S$17"),2,FALSE))),"RB",
IF(ISNUMBER(SEARCH("WR",VLOOKUP($A5,INDIRECT("'"&amp;Summary!BD$1&amp;"'!$A$1:$S$17"),2,FALSE))),"WR",
IF(ISNUMBER(SEARCH("D/ST",VLOOKUP($A5,INDIRECT("'"&amp;Summary!BD$1&amp;"'!$A$1:$S$17"),2,FALSE))),"D/ST",
IF(ISNUMBER(SEARCH("TE",VLOOKUP($A5,INDIRECT("'"&amp;Summary!BD$1&amp;"'!$A$1:$S$17"),2,FALSE))),"TE","")))))</f>
        <v>RB</v>
      </c>
      <c r="BF5" s="2">
        <f ca="1">IF(BE5="","",IF(BE5&lt;&gt;"D/ST",VLOOKUP($A5,INDIRECT("'"&amp;Summary!BD$1&amp;"'!$A$1:$S$17"),19,FALSE),VLOOKUP($A5,INDIRECT("'"&amp;Summary!BD$1&amp;"'!$A$1:$S$17"),12,FALSE)))</f>
        <v>5.3</v>
      </c>
      <c r="BG5" s="2">
        <f t="array" aca="1" ref="BG5" ca="1">IF(BE5="","",IF(BE5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5,INDIRECT("'"&amp;Summary!BD$1&amp;"'!$A$1:$A$17"),0)&amp;":$S"&amp;MATCH($A5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5,INDIRECT("'"&amp;Summary!BD$1&amp;"'!$A$1:$A$17"),0)&amp;":$S"&amp;MATCH($A5,INDIRECT("'"&amp;Summary!BD$1&amp;"'!$A$1:$A$17"),0)))))</f>
        <v>0</v>
      </c>
      <c r="BH5" s="3">
        <f t="shared" ref="BH5:BH16" ca="1" si="25">IF(BF5=0,0,BG5*6/BF5)</f>
        <v>0</v>
      </c>
      <c r="BI5" s="3">
        <f t="shared" ca="1" si="9"/>
        <v>1</v>
      </c>
      <c r="BJ5" s="2" t="str">
        <f ca="1">IF(BK5="","",IF(BK5="D/ST",MID(VLOOKUP($A5,INDIRECT("'"&amp;Summary!BJ$1&amp;"'!$A$1:$S$17"),2,FALSE),1,FIND(" ",VLOOKUP($A5,INDIRECT("'"&amp;Summary!BJ$1&amp;"'!$A$1:$S$17"),2,FALSE))+4),MID(VLOOKUP($A5,INDIRECT("'"&amp;Summary!BJ$1&amp;"'!$A$1:$S$17"),2,FALSE),1,FIND(",",VLOOKUP($A5,INDIRECT("'"&amp;Summary!BJ$1&amp;"'!$A$1:$S$17"),2,FALSE))-1)))</f>
        <v>Kenyan Drake</v>
      </c>
      <c r="BK5" s="2" t="str">
        <f ca="1">IF(ISNUMBER(SEARCH("QB",VLOOKUP($A5,INDIRECT("'"&amp;Summary!BJ$1&amp;"'!$A$1:$S$17"),2,FALSE))),"QB",
IF(ISNUMBER(SEARCH("RB",VLOOKUP($A5,INDIRECT("'"&amp;Summary!BJ$1&amp;"'!$A$1:$S$17"),2,FALSE))),"RB",
IF(ISNUMBER(SEARCH("WR",VLOOKUP($A5,INDIRECT("'"&amp;Summary!BJ$1&amp;"'!$A$1:$S$17"),2,FALSE))),"WR",
IF(ISNUMBER(SEARCH("D/ST",VLOOKUP($A5,INDIRECT("'"&amp;Summary!BJ$1&amp;"'!$A$1:$S$17"),2,FALSE))),"D/ST",
IF(ISNUMBER(SEARCH("TE",VLOOKUP($A5,INDIRECT("'"&amp;Summary!BJ$1&amp;"'!$A$1:$S$17"),2,FALSE))),"TE","")))))</f>
        <v>RB</v>
      </c>
      <c r="BL5" s="2">
        <f ca="1">IF(BK5="","",IF(BK5&lt;&gt;"D/ST",VLOOKUP($A5,INDIRECT("'"&amp;Summary!BJ$1&amp;"'!$A$1:$S$17"),19,FALSE),VLOOKUP($A5,INDIRECT("'"&amp;Summary!BJ$1&amp;"'!$A$1:$S$17"),12,FALSE)))</f>
        <v>1.9</v>
      </c>
      <c r="BM5" s="2">
        <f t="array" aca="1" ref="BM5" ca="1">IF(BK5="","",IF(BK5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5,INDIRECT("'"&amp;Summary!BJ$1&amp;"'!$A$1:$A$17"),0)&amp;":$S"&amp;MATCH($A5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5,INDIRECT("'"&amp;Summary!BJ$1&amp;"'!$A$1:$A$17"),0)&amp;":$S"&amp;MATCH($A5,INDIRECT("'"&amp;Summary!BJ$1&amp;"'!$A$1:$A$17"),0)))))</f>
        <v>0</v>
      </c>
      <c r="BN5" s="3">
        <f t="shared" ref="BN5:BN16" ca="1" si="26">IF(BL5=0,0,BM5*6/BL5)</f>
        <v>0</v>
      </c>
      <c r="BO5" s="3">
        <f t="shared" ca="1" si="10"/>
        <v>1</v>
      </c>
      <c r="BP5" s="2" t="str">
        <f ca="1">IF(BQ5="","",IF(BQ5="D/ST",MID(VLOOKUP($A5,INDIRECT("'"&amp;Summary!BP$1&amp;"'!$A$1:$S$17"),2,FALSE),1,FIND(" ",VLOOKUP($A5,INDIRECT("'"&amp;Summary!BP$1&amp;"'!$A$1:$S$17"),2,FALSE))+4),MID(VLOOKUP($A5,INDIRECT("'"&amp;Summary!BP$1&amp;"'!$A$1:$S$17"),2,FALSE),1,FIND(",",VLOOKUP($A5,INDIRECT("'"&amp;Summary!BP$1&amp;"'!$A$1:$S$17"),2,FALSE))-1)))</f>
        <v>Samaje Perine</v>
      </c>
      <c r="BQ5" s="2" t="str">
        <f ca="1">IF(ISNUMBER(SEARCH("QB",VLOOKUP($A5,INDIRECT("'"&amp;Summary!BP$1&amp;"'!$A$1:$S$17"),2,FALSE))),"QB",
IF(ISNUMBER(SEARCH("RB",VLOOKUP($A5,INDIRECT("'"&amp;Summary!BP$1&amp;"'!$A$1:$S$17"),2,FALSE))),"RB",
IF(ISNUMBER(SEARCH("WR",VLOOKUP($A5,INDIRECT("'"&amp;Summary!BP$1&amp;"'!$A$1:$S$17"),2,FALSE))),"WR",
IF(ISNUMBER(SEARCH("D/ST",VLOOKUP($A5,INDIRECT("'"&amp;Summary!BP$1&amp;"'!$A$1:$S$17"),2,FALSE))),"D/ST",
IF(ISNUMBER(SEARCH("TE",VLOOKUP($A5,INDIRECT("'"&amp;Summary!BP$1&amp;"'!$A$1:$S$17"),2,FALSE))),"TE","")))))</f>
        <v>RB</v>
      </c>
      <c r="BR5" s="2">
        <f ca="1">IF(BQ5="","",IF(BQ5&lt;&gt;"D/ST",VLOOKUP($A5,INDIRECT("'"&amp;Summary!BP$1&amp;"'!$A$1:$S$17"),19,FALSE),VLOOKUP($A5,INDIRECT("'"&amp;Summary!BP$1&amp;"'!$A$1:$S$17"),12,FALSE)))</f>
        <v>14.5</v>
      </c>
      <c r="BS5" s="2">
        <f t="array" aca="1" ref="BS5" ca="1">IF(BQ5="","",IF(BQ5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5,INDIRECT("'"&amp;Summary!BP$1&amp;"'!$A$1:$A$17"),0)&amp;":$S"&amp;MATCH($A5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5,INDIRECT("'"&amp;Summary!BP$1&amp;"'!$A$1:$A$17"),0)&amp;":$S"&amp;MATCH($A5,INDIRECT("'"&amp;Summary!BP$1&amp;"'!$A$1:$A$17"),0)))))</f>
        <v>0</v>
      </c>
      <c r="BT5" s="3">
        <f t="shared" ref="BT5:BT16" ca="1" si="27">IF(BR5=0,0,BS5*6/BR5)</f>
        <v>0</v>
      </c>
      <c r="BU5" s="3">
        <f t="shared" ca="1" si="11"/>
        <v>1</v>
      </c>
      <c r="BV5" s="2" t="str">
        <f ca="1">IF(BW5="","",IF(BW5="D/ST",MID(VLOOKUP($A5,INDIRECT("'"&amp;Summary!BV$1&amp;"'!$A$1:$S$17"),2,FALSE),1,FIND(" ",VLOOKUP($A5,INDIRECT("'"&amp;Summary!BV$1&amp;"'!$A$1:$S$17"),2,FALSE))+4),MID(VLOOKUP($A5,INDIRECT("'"&amp;Summary!BV$1&amp;"'!$A$1:$S$17"),2,FALSE),1,FIND(",",VLOOKUP($A5,INDIRECT("'"&amp;Summary!BV$1&amp;"'!$A$1:$S$17"),2,FALSE))-1)))</f>
        <v>Samaje Perine</v>
      </c>
      <c r="BW5" s="2" t="str">
        <f ca="1">IF(ISNUMBER(SEARCH("QB",VLOOKUP($A5,INDIRECT("'"&amp;Summary!BV$1&amp;"'!$A$1:$S$17"),2,FALSE))),"QB",
IF(ISNUMBER(SEARCH("RB",VLOOKUP($A5,INDIRECT("'"&amp;Summary!BV$1&amp;"'!$A$1:$S$17"),2,FALSE))),"RB",
IF(ISNUMBER(SEARCH("WR",VLOOKUP($A5,INDIRECT("'"&amp;Summary!BV$1&amp;"'!$A$1:$S$17"),2,FALSE))),"WR",
IF(ISNUMBER(SEARCH("D/ST",VLOOKUP($A5,INDIRECT("'"&amp;Summary!BV$1&amp;"'!$A$1:$S$17"),2,FALSE))),"D/ST",
IF(ISNUMBER(SEARCH("TE",VLOOKUP($A5,INDIRECT("'"&amp;Summary!BV$1&amp;"'!$A$1:$S$17"),2,FALSE))),"TE","")))))</f>
        <v>RB</v>
      </c>
      <c r="BX5" s="2">
        <f ca="1">IF(BW5="","",IF(BW5&lt;&gt;"D/ST",VLOOKUP($A5,INDIRECT("'"&amp;Summary!BV$1&amp;"'!$A$1:$S$17"),19,FALSE),VLOOKUP($A5,INDIRECT("'"&amp;Summary!BV$1&amp;"'!$A$1:$S$17"),12,FALSE)))</f>
        <v>8.4</v>
      </c>
      <c r="BY5" s="2">
        <f t="array" aca="1" ref="BY5" ca="1">IF(BW5="","",IF(BW5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5,INDIRECT("'"&amp;Summary!BV$1&amp;"'!$A$1:$A$17"),0)&amp;":$S"&amp;MATCH($A5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5,INDIRECT("'"&amp;Summary!BV$1&amp;"'!$A$1:$A$17"),0)&amp;":$S"&amp;MATCH($A5,INDIRECT("'"&amp;Summary!BV$1&amp;"'!$A$1:$A$17"),0)))))</f>
        <v>0</v>
      </c>
      <c r="BZ5" s="3">
        <f t="shared" ref="BZ5:BZ16" ca="1" si="28">IF(BX5=0,0,BY5*6/BX5)</f>
        <v>0</v>
      </c>
      <c r="CA5" s="3">
        <f t="shared" ca="1" si="12"/>
        <v>1</v>
      </c>
      <c r="CB5" s="2" t="str">
        <f ca="1">IF(CC5="","",IF(CC5="D/ST",MID(VLOOKUP($A5,INDIRECT("'"&amp;Summary!CB$1&amp;"'!$A$1:$S$17"),2,FALSE),1,FIND(" ",VLOOKUP($A5,INDIRECT("'"&amp;Summary!CB$1&amp;"'!$A$1:$S$17"),2,FALSE))+4),MID(VLOOKUP($A5,INDIRECT("'"&amp;Summary!CB$1&amp;"'!$A$1:$S$17"),2,FALSE),1,FIND(",",VLOOKUP($A5,INDIRECT("'"&amp;Summary!CB$1&amp;"'!$A$1:$S$17"),2,FALSE))-1)))</f>
        <v>Giovani Bernard</v>
      </c>
      <c r="CC5" s="2" t="str">
        <f ca="1">IF(ISNUMBER(SEARCH("QB",VLOOKUP($A5,INDIRECT("'"&amp;Summary!CB$1&amp;"'!$A$1:$S$17"),2,FALSE))),"QB",
IF(ISNUMBER(SEARCH("RB",VLOOKUP($A5,INDIRECT("'"&amp;Summary!CB$1&amp;"'!$A$1:$S$17"),2,FALSE))),"RB",
IF(ISNUMBER(SEARCH("WR",VLOOKUP($A5,INDIRECT("'"&amp;Summary!CB$1&amp;"'!$A$1:$S$17"),2,FALSE))),"WR",
IF(ISNUMBER(SEARCH("D/ST",VLOOKUP($A5,INDIRECT("'"&amp;Summary!CB$1&amp;"'!$A$1:$S$17"),2,FALSE))),"D/ST",
IF(ISNUMBER(SEARCH("TE",VLOOKUP($A5,INDIRECT("'"&amp;Summary!CB$1&amp;"'!$A$1:$S$17"),2,FALSE))),"TE","")))))</f>
        <v>RB</v>
      </c>
      <c r="CD5" s="2">
        <f ca="1">IF(CC5="","",IF(CC5&lt;&gt;"D/ST",VLOOKUP($A5,INDIRECT("'"&amp;Summary!CB$1&amp;"'!$A$1:$S$17"),19,FALSE),VLOOKUP($A5,INDIRECT("'"&amp;Summary!CB$1&amp;"'!$A$1:$S$17"),12,FALSE)))</f>
        <v>16</v>
      </c>
      <c r="CE5" s="2">
        <f t="array" aca="1" ref="CE5" ca="1">IF(CC5="","",IF(CC5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5,INDIRECT("'"&amp;Summary!CB$1&amp;"'!$A$1:$A$17"),0)&amp;":$S"&amp;MATCH($A5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5,INDIRECT("'"&amp;Summary!CB$1&amp;"'!$A$1:$A$17"),0)&amp;":$S"&amp;MATCH($A5,INDIRECT("'"&amp;Summary!CB$1&amp;"'!$A$1:$A$17"),0)))))</f>
        <v>0</v>
      </c>
      <c r="CF5" s="3">
        <f t="shared" ref="CF5:CF16" ca="1" si="29">IF(CD5=0,0,CE5*6/CD5)</f>
        <v>0</v>
      </c>
      <c r="CG5" s="3">
        <f t="shared" ca="1" si="13"/>
        <v>1</v>
      </c>
      <c r="CH5" s="2" t="str">
        <f ca="1">IF(CI5="","",IF(CI5="D/ST",MID(VLOOKUP($A5,INDIRECT("'"&amp;Summary!CH$1&amp;"'!$A$1:$S$17"),2,FALSE),1,FIND(" ",VLOOKUP($A5,INDIRECT("'"&amp;Summary!CH$1&amp;"'!$A$1:$S$17"),2,FALSE))+4),MID(VLOOKUP($A5,INDIRECT("'"&amp;Summary!CH$1&amp;"'!$A$1:$S$17"),2,FALSE),1,FIND(",",VLOOKUP($A5,INDIRECT("'"&amp;Summary!CH$1&amp;"'!$A$1:$S$17"),2,FALSE))-1)))</f>
        <v>Samaje Perine</v>
      </c>
      <c r="CI5" s="2" t="str">
        <f ca="1">IF(ISNUMBER(SEARCH("QB",VLOOKUP($A5,INDIRECT("'"&amp;Summary!CH$1&amp;"'!$A$1:$S$17"),2,FALSE))),"QB",
IF(ISNUMBER(SEARCH("RB",VLOOKUP($A5,INDIRECT("'"&amp;Summary!CH$1&amp;"'!$A$1:$S$17"),2,FALSE))),"RB",
IF(ISNUMBER(SEARCH("WR",VLOOKUP($A5,INDIRECT("'"&amp;Summary!CH$1&amp;"'!$A$1:$S$17"),2,FALSE))),"WR",
IF(ISNUMBER(SEARCH("D/ST",VLOOKUP($A5,INDIRECT("'"&amp;Summary!CH$1&amp;"'!$A$1:$S$17"),2,FALSE))),"D/ST",
IF(ISNUMBER(SEARCH("TE",VLOOKUP($A5,INDIRECT("'"&amp;Summary!CH$1&amp;"'!$A$1:$S$17"),2,FALSE))),"TE","")))))</f>
        <v>RB</v>
      </c>
      <c r="CJ5" s="2">
        <f ca="1">IF(CI5="","",IF(CI5&lt;&gt;"D/ST",VLOOKUP($A5,INDIRECT("'"&amp;Summary!CH$1&amp;"'!$A$1:$S$17"),19,FALSE),VLOOKUP($A5,INDIRECT("'"&amp;Summary!CH$1&amp;"'!$A$1:$S$17"),12,FALSE)))</f>
        <v>7.6</v>
      </c>
      <c r="CK5" s="2">
        <f t="array" aca="1" ref="CK5" ca="1">IF(CI5="","",IF(CI5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5,INDIRECT("'"&amp;Summary!CH$1&amp;"'!$A$1:$A$17"),0)&amp;":$S"&amp;MATCH($A5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5,INDIRECT("'"&amp;Summary!CH$1&amp;"'!$A$1:$A$17"),0)&amp;":$S"&amp;MATCH($A5,INDIRECT("'"&amp;Summary!CH$1&amp;"'!$A$1:$A$17"),0)))))</f>
        <v>0</v>
      </c>
      <c r="CL5" s="3">
        <f t="shared" ref="CL5:CL16" ca="1" si="30">IF(CJ5=0,0,CK5*6/CJ5)</f>
        <v>0</v>
      </c>
      <c r="CM5" s="3">
        <f t="shared" ca="1" si="14"/>
        <v>1</v>
      </c>
      <c r="CN5" s="2" t="str">
        <f ca="1">IF(CO5="","",IF(CO5="D/ST",MID(VLOOKUP($A5,INDIRECT("'"&amp;Summary!CN$1&amp;"'!$A$1:$S$17"),2,FALSE),1,FIND(" ",VLOOKUP($A5,INDIRECT("'"&amp;Summary!CN$1&amp;"'!$A$1:$S$17"),2,FALSE))+4),MID(VLOOKUP($A5,INDIRECT("'"&amp;Summary!CN$1&amp;"'!$A$1:$S$17"),2,FALSE),1,FIND(",",VLOOKUP($A5,INDIRECT("'"&amp;Summary!CN$1&amp;"'!$A$1:$S$17"),2,FALSE))-1)))</f>
        <v>Kenyan Drake</v>
      </c>
      <c r="CO5" s="2" t="str">
        <f ca="1">IF(ISNUMBER(SEARCH("QB",VLOOKUP($A5,INDIRECT("'"&amp;Summary!CN$1&amp;"'!$A$1:$S$17"),2,FALSE))),"QB",
IF(ISNUMBER(SEARCH("RB",VLOOKUP($A5,INDIRECT("'"&amp;Summary!CN$1&amp;"'!$A$1:$S$17"),2,FALSE))),"RB",
IF(ISNUMBER(SEARCH("WR",VLOOKUP($A5,INDIRECT("'"&amp;Summary!CN$1&amp;"'!$A$1:$S$17"),2,FALSE))),"WR",
IF(ISNUMBER(SEARCH("D/ST",VLOOKUP($A5,INDIRECT("'"&amp;Summary!CN$1&amp;"'!$A$1:$S$17"),2,FALSE))),"D/ST",
IF(ISNUMBER(SEARCH("TE",VLOOKUP($A5,INDIRECT("'"&amp;Summary!CN$1&amp;"'!$A$1:$S$17"),2,FALSE))),"TE","")))))</f>
        <v>RB</v>
      </c>
      <c r="CP5" s="2">
        <f ca="1">IF(CO5="","",IF(CO5&lt;&gt;"D/ST",VLOOKUP($A5,INDIRECT("'"&amp;Summary!CN$1&amp;"'!$A$1:$S$17"),19,FALSE),VLOOKUP($A5,INDIRECT("'"&amp;Summary!CN$1&amp;"'!$A$1:$S$17"),12,FALSE)))</f>
        <v>5.7</v>
      </c>
      <c r="CQ5" s="2">
        <f t="array" aca="1" ref="CQ5" ca="1">IF(CO5="","",IF(CO5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5,INDIRECT("'"&amp;Summary!CN$1&amp;"'!$A$1:$A$17"),0)&amp;":$S"&amp;MATCH($A5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5,INDIRECT("'"&amp;Summary!CN$1&amp;"'!$A$1:$A$17"),0)&amp;":$S"&amp;MATCH($A5,INDIRECT("'"&amp;Summary!CN$1&amp;"'!$A$1:$A$17"),0)))))</f>
        <v>0</v>
      </c>
      <c r="CR5" s="3">
        <f t="shared" ref="CR5:CR16" ca="1" si="31">IF(CP5=0,0,CQ5*6/CP5)</f>
        <v>0</v>
      </c>
      <c r="CS5" s="3">
        <f t="shared" ca="1" si="15"/>
        <v>1</v>
      </c>
    </row>
    <row r="6" spans="1:97" ht="16.25" thickTop="1" thickBot="1" x14ac:dyDescent="0.9">
      <c r="A6" s="2" t="s">
        <v>28</v>
      </c>
      <c r="B6" s="2" t="str">
        <f ca="1">IF(C6="","",IF(C6="D/ST",MID(VLOOKUP($A6,INDIRECT("'"&amp;Summary!B$1&amp;"'!$A$1:$S$17"),2,FALSE),1,FIND(" ",VLOOKUP($A6,INDIRECT("'"&amp;Summary!B$1&amp;"'!$A$1:$S$17"),2,FALSE))+4),MID(VLOOKUP($A6,INDIRECT("'"&amp;Summary!B$1&amp;"'!$A$1:$S$17"),2,FALSE),1,FIND(",",VLOOKUP($A6,INDIRECT("'"&amp;Summary!B$1&amp;"'!$A$1:$S$17"),2,FALSE))-1)))</f>
        <v>Martavis Bryant</v>
      </c>
      <c r="C6" s="2" t="str">
        <f ca="1">IF(ISNUMBER(SEARCH("QB",VLOOKUP($A6,INDIRECT("'"&amp;Summary!B$1&amp;"'!$A$1:$S$17"),2,FALSE))),"QB",
IF(ISNUMBER(SEARCH("RB",VLOOKUP($A6,INDIRECT("'"&amp;Summary!B$1&amp;"'!$A$1:$S$17"),2,FALSE))),"RB",
IF(ISNUMBER(SEARCH("WR",VLOOKUP($A6,INDIRECT("'"&amp;Summary!B$1&amp;"'!$A$1:$S$17"),2,FALSE))),"WR",
IF(ISNUMBER(SEARCH("D/ST",VLOOKUP($A6,INDIRECT("'"&amp;Summary!B$1&amp;"'!$A$1:$S$17"),2,FALSE))),"D/ST",
IF(ISNUMBER(SEARCH("TE",VLOOKUP($A6,INDIRECT("'"&amp;Summary!B$1&amp;"'!$A$1:$S$17"),2,FALSE))),"TE","")))))</f>
        <v>WR</v>
      </c>
      <c r="D6" s="2">
        <f ca="1">IF(C6="","",IF(C6&lt;&gt;"D/ST",VLOOKUP($A6,INDIRECT("'"&amp;Summary!B$1&amp;"'!$A$1:$S$17"),19,FALSE),VLOOKUP($A6,INDIRECT("'"&amp;Summary!B$1&amp;"'!$A$1:$S$17"),12,FALSE)))</f>
        <v>2.4</v>
      </c>
      <c r="E6" s="2">
        <f t="array" aca="1" ref="E6" ca="1">IF(C6="","",IF(C6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6,INDIRECT("'"&amp;Summary!B$1&amp;"'!$A$1:$A$17"),0)&amp;":$S"&amp;MATCH($A6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6,INDIRECT("'"&amp;Summary!B$1&amp;"'!$A$1:$A$17"),0)&amp;":$S"&amp;MATCH($A6,INDIRECT("'"&amp;Summary!B$1&amp;"'!$A$1:$A$17"),0)))))</f>
        <v>0</v>
      </c>
      <c r="F6" s="3">
        <f t="shared" ca="1" si="16"/>
        <v>0</v>
      </c>
      <c r="G6" s="3">
        <f t="shared" ca="1" si="0"/>
        <v>1</v>
      </c>
      <c r="H6" s="2" t="str">
        <f ca="1">IF(I6="","",IF(I6="D/ST",MID(VLOOKUP($A6,INDIRECT("'"&amp;Summary!H$1&amp;"'!$A$1:$S$17"),2,FALSE),1,FIND(" ",VLOOKUP($A6,INDIRECT("'"&amp;Summary!H$1&amp;"'!$A$1:$S$17"),2,FALSE))+4),MID(VLOOKUP($A6,INDIRECT("'"&amp;Summary!H$1&amp;"'!$A$1:$S$17"),2,FALSE),1,FIND(",",VLOOKUP($A6,INDIRECT("'"&amp;Summary!H$1&amp;"'!$A$1:$S$17"),2,FALSE))-1)))</f>
        <v>Mike Evans</v>
      </c>
      <c r="I6" s="2" t="str">
        <f ca="1">IF(ISNUMBER(SEARCH("QB",VLOOKUP($A6,INDIRECT("'"&amp;Summary!H$1&amp;"'!$A$1:$S$17"),2,FALSE))),"QB",
IF(ISNUMBER(SEARCH("RB",VLOOKUP($A6,INDIRECT("'"&amp;Summary!H$1&amp;"'!$A$1:$S$17"),2,FALSE))),"RB",
IF(ISNUMBER(SEARCH("WR",VLOOKUP($A6,INDIRECT("'"&amp;Summary!H$1&amp;"'!$A$1:$S$17"),2,FALSE))),"WR",
IF(ISNUMBER(SEARCH("D/ST",VLOOKUP($A6,INDIRECT("'"&amp;Summary!H$1&amp;"'!$A$1:$S$17"),2,FALSE))),"D/ST",
IF(ISNUMBER(SEARCH("TE",VLOOKUP($A6,INDIRECT("'"&amp;Summary!H$1&amp;"'!$A$1:$S$17"),2,FALSE))),"TE","")))))</f>
        <v>WR</v>
      </c>
      <c r="J6" s="2">
        <f ca="1">IF(I6="","",IF(I6&lt;&gt;"D/ST",VLOOKUP($A6,INDIRECT("'"&amp;Summary!H$1&amp;"'!$A$1:$S$17"),19,FALSE),VLOOKUP($A6,INDIRECT("'"&amp;Summary!H$1&amp;"'!$A$1:$S$17"),12,FALSE)))</f>
        <v>18.8</v>
      </c>
      <c r="K6" s="2">
        <f t="array" aca="1" ref="K6" ca="1">IF(I6="","",IF(I6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6,INDIRECT("'"&amp;Summary!H$1&amp;"'!$A$1:$A$17"),0)&amp;":$S"&amp;MATCH($A6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6,INDIRECT("'"&amp;Summary!H$1&amp;"'!$A$1:$A$17"),0)&amp;":$S"&amp;MATCH($A6,INDIRECT("'"&amp;Summary!H$1&amp;"'!$A$1:$A$17"),0)))))</f>
        <v>1</v>
      </c>
      <c r="L6" s="3">
        <f t="shared" ca="1" si="17"/>
        <v>0.31914893617021273</v>
      </c>
      <c r="M6" s="3">
        <f t="shared" ca="1" si="1"/>
        <v>0.68085106382978733</v>
      </c>
      <c r="N6" s="2" t="str">
        <f ca="1">IF(O6="","",IF(O6="D/ST",MID(VLOOKUP($A6,INDIRECT("'"&amp;Summary!N$1&amp;"'!$A$1:$S$17"),2,FALSE),1,FIND(" ",VLOOKUP($A6,INDIRECT("'"&amp;Summary!N$1&amp;"'!$A$1:$S$17"),2,FALSE))+4),MID(VLOOKUP($A6,INDIRECT("'"&amp;Summary!N$1&amp;"'!$A$1:$S$17"),2,FALSE),1,FIND(",",VLOOKUP($A6,INDIRECT("'"&amp;Summary!N$1&amp;"'!$A$1:$S$17"),2,FALSE))-1)))</f>
        <v>Mike Evans</v>
      </c>
      <c r="O6" s="2" t="str">
        <f ca="1">IF(ISNUMBER(SEARCH("QB",VLOOKUP($A6,INDIRECT("'"&amp;Summary!N$1&amp;"'!$A$1:$S$17"),2,FALSE))),"QB",
IF(ISNUMBER(SEARCH("RB",VLOOKUP($A6,INDIRECT("'"&amp;Summary!N$1&amp;"'!$A$1:$S$17"),2,FALSE))),"RB",
IF(ISNUMBER(SEARCH("WR",VLOOKUP($A6,INDIRECT("'"&amp;Summary!N$1&amp;"'!$A$1:$S$17"),2,FALSE))),"WR",
IF(ISNUMBER(SEARCH("D/ST",VLOOKUP($A6,INDIRECT("'"&amp;Summary!N$1&amp;"'!$A$1:$S$17"),2,FALSE))),"D/ST",
IF(ISNUMBER(SEARCH("TE",VLOOKUP($A6,INDIRECT("'"&amp;Summary!N$1&amp;"'!$A$1:$S$17"),2,FALSE))),"TE","")))))</f>
        <v>WR</v>
      </c>
      <c r="P6" s="2">
        <f ca="1">IF(O6="","",IF(O6&lt;&gt;"D/ST",VLOOKUP($A6,INDIRECT("'"&amp;Summary!N$1&amp;"'!$A$1:$S$17"),19,FALSE),VLOOKUP($A6,INDIRECT("'"&amp;Summary!N$1&amp;"'!$A$1:$S$17"),12,FALSE)))</f>
        <v>10.199999999999999</v>
      </c>
      <c r="Q6" s="2">
        <f t="array" aca="1" ref="Q6" ca="1">IF(O6="","",IF(O6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6,INDIRECT("'"&amp;Summary!N$1&amp;"'!$A$1:$A$17"),0)&amp;":$S"&amp;MATCH($A6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6,INDIRECT("'"&amp;Summary!N$1&amp;"'!$A$1:$A$17"),0)&amp;":$S"&amp;MATCH($A6,INDIRECT("'"&amp;Summary!N$1&amp;"'!$A$1:$A$17"),0)))))</f>
        <v>0</v>
      </c>
      <c r="R6" s="3">
        <f t="shared" ca="1" si="18"/>
        <v>0</v>
      </c>
      <c r="S6" s="3">
        <f t="shared" ca="1" si="2"/>
        <v>1</v>
      </c>
      <c r="T6" s="2" t="str">
        <f ca="1">IF(U6="","",IF(U6="D/ST",MID(VLOOKUP($A6,INDIRECT("'"&amp;Summary!T$1&amp;"'!$A$1:$S$17"),2,FALSE),1,FIND(" ",VLOOKUP($A6,INDIRECT("'"&amp;Summary!T$1&amp;"'!$A$1:$S$17"),2,FALSE))+4),MID(VLOOKUP($A6,INDIRECT("'"&amp;Summary!T$1&amp;"'!$A$1:$S$17"),2,FALSE),1,FIND(",",VLOOKUP($A6,INDIRECT("'"&amp;Summary!T$1&amp;"'!$A$1:$S$17"),2,FALSE))-1)))</f>
        <v>Mike Evans</v>
      </c>
      <c r="U6" s="2" t="str">
        <f ca="1">IF(ISNUMBER(SEARCH("QB",VLOOKUP($A6,INDIRECT("'"&amp;Summary!T$1&amp;"'!$A$1:$S$17"),2,FALSE))),"QB",
IF(ISNUMBER(SEARCH("RB",VLOOKUP($A6,INDIRECT("'"&amp;Summary!T$1&amp;"'!$A$1:$S$17"),2,FALSE))),"RB",
IF(ISNUMBER(SEARCH("WR",VLOOKUP($A6,INDIRECT("'"&amp;Summary!T$1&amp;"'!$A$1:$S$17"),2,FALSE))),"WR",
IF(ISNUMBER(SEARCH("D/ST",VLOOKUP($A6,INDIRECT("'"&amp;Summary!T$1&amp;"'!$A$1:$S$17"),2,FALSE))),"D/ST",
IF(ISNUMBER(SEARCH("TE",VLOOKUP($A6,INDIRECT("'"&amp;Summary!T$1&amp;"'!$A$1:$S$17"),2,FALSE))),"TE","")))))</f>
        <v>WR</v>
      </c>
      <c r="V6" s="2">
        <f ca="1">IF(U6="","",IF(U6&lt;&gt;"D/ST",VLOOKUP($A6,INDIRECT("'"&amp;Summary!T$1&amp;"'!$A$1:$S$17"),19,FALSE),VLOOKUP($A6,INDIRECT("'"&amp;Summary!T$1&amp;"'!$A$1:$S$17"),12,FALSE)))</f>
        <v>15.2</v>
      </c>
      <c r="W6" s="2">
        <f t="array" aca="1" ref="W6" ca="1">IF(U6="","",IF(U6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6,INDIRECT("'"&amp;Summary!T$1&amp;"'!$A$1:$A$17"),0)&amp;":$S"&amp;MATCH($A6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6,INDIRECT("'"&amp;Summary!T$1&amp;"'!$A$1:$A$17"),0)&amp;":$S"&amp;MATCH($A6,INDIRECT("'"&amp;Summary!T$1&amp;"'!$A$1:$A$17"),0)))))</f>
        <v>1</v>
      </c>
      <c r="X6" s="3">
        <f t="shared" ca="1" si="19"/>
        <v>0.39473684210526316</v>
      </c>
      <c r="Y6" s="3">
        <f t="shared" ca="1" si="3"/>
        <v>0.60526315789473684</v>
      </c>
      <c r="Z6" s="2" t="str">
        <f ca="1">IF(AA6="","",IF(AA6="D/ST",MID(VLOOKUP($A6,INDIRECT("'"&amp;Summary!Z$1&amp;"'!$A$1:$S$17"),2,FALSE),1,FIND(" ",VLOOKUP($A6,INDIRECT("'"&amp;Summary!Z$1&amp;"'!$A$1:$S$17"),2,FALSE))+4),MID(VLOOKUP($A6,INDIRECT("'"&amp;Summary!Z$1&amp;"'!$A$1:$S$17"),2,FALSE),1,FIND(",",VLOOKUP($A6,INDIRECT("'"&amp;Summary!Z$1&amp;"'!$A$1:$S$17"),2,FALSE))-1)))</f>
        <v>Mike Evans</v>
      </c>
      <c r="AA6" s="2" t="str">
        <f ca="1">IF(ISNUMBER(SEARCH("QB",VLOOKUP($A6,INDIRECT("'"&amp;Summary!Z$1&amp;"'!$A$1:$S$17"),2,FALSE))),"QB",
IF(ISNUMBER(SEARCH("RB",VLOOKUP($A6,INDIRECT("'"&amp;Summary!Z$1&amp;"'!$A$1:$S$17"),2,FALSE))),"RB",
IF(ISNUMBER(SEARCH("WR",VLOOKUP($A6,INDIRECT("'"&amp;Summary!Z$1&amp;"'!$A$1:$S$17"),2,FALSE))),"WR",
IF(ISNUMBER(SEARCH("D/ST",VLOOKUP($A6,INDIRECT("'"&amp;Summary!Z$1&amp;"'!$A$1:$S$17"),2,FALSE))),"D/ST",
IF(ISNUMBER(SEARCH("TE",VLOOKUP($A6,INDIRECT("'"&amp;Summary!Z$1&amp;"'!$A$1:$S$17"),2,FALSE))),"TE","")))))</f>
        <v>WR</v>
      </c>
      <c r="AB6" s="2">
        <f ca="1">IF(AA6="","",IF(AA6&lt;&gt;"D/ST",VLOOKUP($A6,INDIRECT("'"&amp;Summary!Z$1&amp;"'!$A$1:$S$17"),19,FALSE),VLOOKUP($A6,INDIRECT("'"&amp;Summary!Z$1&amp;"'!$A$1:$S$17"),12,FALSE)))</f>
        <v>7.4</v>
      </c>
      <c r="AC6" s="2">
        <f t="array" aca="1" ref="AC6" ca="1">IF(AA6="","",IF(AA6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6,INDIRECT("'"&amp;Summary!Z$1&amp;"'!$A$1:$A$17"),0)&amp;":$S"&amp;MATCH($A6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6,INDIRECT("'"&amp;Summary!Z$1&amp;"'!$A$1:$A$17"),0)&amp;":$S"&amp;MATCH($A6,INDIRECT("'"&amp;Summary!Z$1&amp;"'!$A$1:$A$17"),0)))))</f>
        <v>0</v>
      </c>
      <c r="AD6" s="3">
        <f t="shared" ca="1" si="20"/>
        <v>0</v>
      </c>
      <c r="AE6" s="3">
        <f t="shared" ca="1" si="4"/>
        <v>1</v>
      </c>
      <c r="AF6" s="2" t="str">
        <f ca="1">IF(AG6="","",IF(AG6="D/ST",MID(VLOOKUP($A6,INDIRECT("'"&amp;Summary!AF$1&amp;"'!$A$1:$S$17"),2,FALSE),1,FIND(" ",VLOOKUP($A6,INDIRECT("'"&amp;Summary!AF$1&amp;"'!$A$1:$S$17"),2,FALSE))+4),MID(VLOOKUP($A6,INDIRECT("'"&amp;Summary!AF$1&amp;"'!$A$1:$S$17"),2,FALSE),1,FIND(",",VLOOKUP($A6,INDIRECT("'"&amp;Summary!AF$1&amp;"'!$A$1:$S$17"),2,FALSE))-1)))</f>
        <v>Mike Evans</v>
      </c>
      <c r="AG6" s="2" t="str">
        <f ca="1">IF(ISNUMBER(SEARCH("QB",VLOOKUP($A6,INDIRECT("'"&amp;Summary!AF$1&amp;"'!$A$1:$S$17"),2,FALSE))),"QB",
IF(ISNUMBER(SEARCH("RB",VLOOKUP($A6,INDIRECT("'"&amp;Summary!AF$1&amp;"'!$A$1:$S$17"),2,FALSE))),"RB",
IF(ISNUMBER(SEARCH("WR",VLOOKUP($A6,INDIRECT("'"&amp;Summary!AF$1&amp;"'!$A$1:$S$17"),2,FALSE))),"WR",
IF(ISNUMBER(SEARCH("D/ST",VLOOKUP($A6,INDIRECT("'"&amp;Summary!AF$1&amp;"'!$A$1:$S$17"),2,FALSE))),"D/ST",
IF(ISNUMBER(SEARCH("TE",VLOOKUP($A6,INDIRECT("'"&amp;Summary!AF$1&amp;"'!$A$1:$S$17"),2,FALSE))),"TE","")))))</f>
        <v>WR</v>
      </c>
      <c r="AH6" s="2">
        <f ca="1">IF(AG6="","",IF(AG6&lt;&gt;"D/ST",VLOOKUP($A6,INDIRECT("'"&amp;Summary!AF$1&amp;"'!$A$1:$S$17"),19,FALSE),VLOOKUP($A6,INDIRECT("'"&amp;Summary!AF$1&amp;"'!$A$1:$S$17"),12,FALSE)))</f>
        <v>17</v>
      </c>
      <c r="AI6" s="2">
        <f t="array" aca="1" ref="AI6" ca="1">IF(AG6="","",IF(AG6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6,INDIRECT("'"&amp;Summary!AF$1&amp;"'!$A$1:$A$17"),0)&amp;":$S"&amp;MATCH($A6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6,INDIRECT("'"&amp;Summary!AF$1&amp;"'!$A$1:$A$17"),0)&amp;":$S"&amp;MATCH($A6,INDIRECT("'"&amp;Summary!AF$1&amp;"'!$A$1:$A$17"),0)))))</f>
        <v>1</v>
      </c>
      <c r="AJ6" s="3">
        <f t="shared" ca="1" si="21"/>
        <v>0.35294117647058826</v>
      </c>
      <c r="AK6" s="3">
        <f t="shared" ca="1" si="5"/>
        <v>0.64705882352941169</v>
      </c>
      <c r="AL6" s="2" t="str">
        <f ca="1">IF(AM6="","",IF(AM6="D/ST",MID(VLOOKUP($A6,INDIRECT("'"&amp;Summary!AL$1&amp;"'!$A$1:$S$17"),2,FALSE),1,FIND(" ",VLOOKUP($A6,INDIRECT("'"&amp;Summary!AL$1&amp;"'!$A$1:$S$17"),2,FALSE))+4),MID(VLOOKUP($A6,INDIRECT("'"&amp;Summary!AL$1&amp;"'!$A$1:$S$17"),2,FALSE),1,FIND(",",VLOOKUP($A6,INDIRECT("'"&amp;Summary!AL$1&amp;"'!$A$1:$S$17"),2,FALSE))-1)))</f>
        <v>Mike Evans</v>
      </c>
      <c r="AM6" s="2" t="str">
        <f ca="1">IF(ISNUMBER(SEARCH("QB",VLOOKUP($A6,INDIRECT("'"&amp;Summary!AL$1&amp;"'!$A$1:$S$17"),2,FALSE))),"QB",
IF(ISNUMBER(SEARCH("RB",VLOOKUP($A6,INDIRECT("'"&amp;Summary!AL$1&amp;"'!$A$1:$S$17"),2,FALSE))),"RB",
IF(ISNUMBER(SEARCH("WR",VLOOKUP($A6,INDIRECT("'"&amp;Summary!AL$1&amp;"'!$A$1:$S$17"),2,FALSE))),"WR",
IF(ISNUMBER(SEARCH("D/ST",VLOOKUP($A6,INDIRECT("'"&amp;Summary!AL$1&amp;"'!$A$1:$S$17"),2,FALSE))),"D/ST",
IF(ISNUMBER(SEARCH("TE",VLOOKUP($A6,INDIRECT("'"&amp;Summary!AL$1&amp;"'!$A$1:$S$17"),2,FALSE))),"TE","")))))</f>
        <v>WR</v>
      </c>
      <c r="AN6" s="2">
        <f ca="1">IF(AM6="","",IF(AM6&lt;&gt;"D/ST",VLOOKUP($A6,INDIRECT("'"&amp;Summary!AL$1&amp;"'!$A$1:$S$17"),19,FALSE),VLOOKUP($A6,INDIRECT("'"&amp;Summary!AL$1&amp;"'!$A$1:$S$17"),12,FALSE)))</f>
        <v>18.3</v>
      </c>
      <c r="AO6" s="2">
        <f t="array" aca="1" ref="AO6" ca="1">IF(AM6="","",IF(AM6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6,INDIRECT("'"&amp;Summary!AL$1&amp;"'!$A$1:$A$17"),0)&amp;":$S"&amp;MATCH($A6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6,INDIRECT("'"&amp;Summary!AL$1&amp;"'!$A$1:$A$17"),0)&amp;":$S"&amp;MATCH($A6,INDIRECT("'"&amp;Summary!AL$1&amp;"'!$A$1:$A$17"),0)))))</f>
        <v>1</v>
      </c>
      <c r="AP6" s="3">
        <f t="shared" ca="1" si="22"/>
        <v>0.32786885245901637</v>
      </c>
      <c r="AQ6" s="3">
        <f t="shared" ca="1" si="6"/>
        <v>0.67213114754098369</v>
      </c>
      <c r="AR6" s="2" t="str">
        <f ca="1">IF(AS6="","",IF(AS6="D/ST",MID(VLOOKUP($A6,INDIRECT("'"&amp;Summary!AR$1&amp;"'!$A$1:$S$17"),2,FALSE),1,FIND(" ",VLOOKUP($A6,INDIRECT("'"&amp;Summary!AR$1&amp;"'!$A$1:$S$17"),2,FALSE))+4),MID(VLOOKUP($A6,INDIRECT("'"&amp;Summary!AR$1&amp;"'!$A$1:$S$17"),2,FALSE),1,FIND(",",VLOOKUP($A6,INDIRECT("'"&amp;Summary!AR$1&amp;"'!$A$1:$S$17"),2,FALSE))-1)))</f>
        <v>Mike Evans</v>
      </c>
      <c r="AS6" s="2" t="str">
        <f ca="1">IF(ISNUMBER(SEARCH("QB",VLOOKUP($A6,INDIRECT("'"&amp;Summary!AR$1&amp;"'!$A$1:$S$17"),2,FALSE))),"QB",
IF(ISNUMBER(SEARCH("RB",VLOOKUP($A6,INDIRECT("'"&amp;Summary!AR$1&amp;"'!$A$1:$S$17"),2,FALSE))),"RB",
IF(ISNUMBER(SEARCH("WR",VLOOKUP($A6,INDIRECT("'"&amp;Summary!AR$1&amp;"'!$A$1:$S$17"),2,FALSE))),"WR",
IF(ISNUMBER(SEARCH("D/ST",VLOOKUP($A6,INDIRECT("'"&amp;Summary!AR$1&amp;"'!$A$1:$S$17"),2,FALSE))),"D/ST",
IF(ISNUMBER(SEARCH("TE",VLOOKUP($A6,INDIRECT("'"&amp;Summary!AR$1&amp;"'!$A$1:$S$17"),2,FALSE))),"TE","")))))</f>
        <v>WR</v>
      </c>
      <c r="AT6" s="2">
        <f ca="1">IF(AS6="","",IF(AS6&lt;&gt;"D/ST",VLOOKUP($A6,INDIRECT("'"&amp;Summary!AR$1&amp;"'!$A$1:$S$17"),19,FALSE),VLOOKUP($A6,INDIRECT("'"&amp;Summary!AR$1&amp;"'!$A$1:$S$17"),12,FALSE)))</f>
        <v>8.5</v>
      </c>
      <c r="AU6" s="2">
        <f t="array" aca="1" ref="AU6" ca="1">IF(AS6="","",IF(AS6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6,INDIRECT("'"&amp;Summary!AR$1&amp;"'!$A$1:$A$17"),0)&amp;":$S"&amp;MATCH($A6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6,INDIRECT("'"&amp;Summary!AR$1&amp;"'!$A$1:$A$17"),0)&amp;":$S"&amp;MATCH($A6,INDIRECT("'"&amp;Summary!AR$1&amp;"'!$A$1:$A$17"),0)))))</f>
        <v>0</v>
      </c>
      <c r="AV6" s="3">
        <f t="shared" ca="1" si="23"/>
        <v>0</v>
      </c>
      <c r="AW6" s="3">
        <f t="shared" ca="1" si="7"/>
        <v>1</v>
      </c>
      <c r="AX6" s="2" t="str">
        <f ca="1">IF(AY6="","",IF(AY6="D/ST",MID(VLOOKUP($A6,INDIRECT("'"&amp;Summary!AX$1&amp;"'!$A$1:$S$17"),2,FALSE),1,FIND(" ",VLOOKUP($A6,INDIRECT("'"&amp;Summary!AX$1&amp;"'!$A$1:$S$17"),2,FALSE))+4),MID(VLOOKUP($A6,INDIRECT("'"&amp;Summary!AX$1&amp;"'!$A$1:$S$17"),2,FALSE),1,FIND(",",VLOOKUP($A6,INDIRECT("'"&amp;Summary!AX$1&amp;"'!$A$1:$S$17"),2,FALSE))-1)))</f>
        <v>Mike Evans</v>
      </c>
      <c r="AY6" s="2" t="str">
        <f ca="1">IF(ISNUMBER(SEARCH("QB",VLOOKUP($A6,INDIRECT("'"&amp;Summary!AX$1&amp;"'!$A$1:$S$17"),2,FALSE))),"QB",
IF(ISNUMBER(SEARCH("RB",VLOOKUP($A6,INDIRECT("'"&amp;Summary!AX$1&amp;"'!$A$1:$S$17"),2,FALSE))),"RB",
IF(ISNUMBER(SEARCH("WR",VLOOKUP($A6,INDIRECT("'"&amp;Summary!AX$1&amp;"'!$A$1:$S$17"),2,FALSE))),"WR",
IF(ISNUMBER(SEARCH("D/ST",VLOOKUP($A6,INDIRECT("'"&amp;Summary!AX$1&amp;"'!$A$1:$S$17"),2,FALSE))),"D/ST",
IF(ISNUMBER(SEARCH("TE",VLOOKUP($A6,INDIRECT("'"&amp;Summary!AX$1&amp;"'!$A$1:$S$17"),2,FALSE))),"TE","")))))</f>
        <v>WR</v>
      </c>
      <c r="AZ6" s="2">
        <f ca="1">IF(AY6="","",IF(AY6&lt;&gt;"D/ST",VLOOKUP($A6,INDIRECT("'"&amp;Summary!AX$1&amp;"'!$A$1:$S$17"),19,FALSE),VLOOKUP($A6,INDIRECT("'"&amp;Summary!AX$1&amp;"'!$A$1:$S$17"),12,FALSE)))</f>
        <v>1.8</v>
      </c>
      <c r="BA6" s="2">
        <f t="array" aca="1" ref="BA6" ca="1">IF(AY6="","",IF(AY6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6,INDIRECT("'"&amp;Summary!AX$1&amp;"'!$A$1:$A$17"),0)&amp;":$S"&amp;MATCH($A6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6,INDIRECT("'"&amp;Summary!AX$1&amp;"'!$A$1:$A$17"),0)&amp;":$S"&amp;MATCH($A6,INDIRECT("'"&amp;Summary!AX$1&amp;"'!$A$1:$A$17"),0)))))</f>
        <v>0</v>
      </c>
      <c r="BB6" s="3">
        <f t="shared" ca="1" si="24"/>
        <v>0</v>
      </c>
      <c r="BC6" s="3">
        <f t="shared" ca="1" si="8"/>
        <v>1</v>
      </c>
      <c r="BD6" s="2" t="str">
        <f ca="1">IF(BE6="","",IF(BE6="D/ST",MID(VLOOKUP($A6,INDIRECT("'"&amp;Summary!BD$1&amp;"'!$A$1:$S$17"),2,FALSE),1,FIND(" ",VLOOKUP($A6,INDIRECT("'"&amp;Summary!BD$1&amp;"'!$A$1:$S$17"),2,FALSE))+4),MID(VLOOKUP($A6,INDIRECT("'"&amp;Summary!BD$1&amp;"'!$A$1:$S$17"),2,FALSE),1,FIND(",",VLOOKUP($A6,INDIRECT("'"&amp;Summary!BD$1&amp;"'!$A$1:$S$17"),2,FALSE))-1)))</f>
        <v>Doug Baldwin</v>
      </c>
      <c r="BE6" s="2" t="str">
        <f ca="1">IF(ISNUMBER(SEARCH("QB",VLOOKUP($A6,INDIRECT("'"&amp;Summary!BD$1&amp;"'!$A$1:$S$17"),2,FALSE))),"QB",
IF(ISNUMBER(SEARCH("RB",VLOOKUP($A6,INDIRECT("'"&amp;Summary!BD$1&amp;"'!$A$1:$S$17"),2,FALSE))),"RB",
IF(ISNUMBER(SEARCH("WR",VLOOKUP($A6,INDIRECT("'"&amp;Summary!BD$1&amp;"'!$A$1:$S$17"),2,FALSE))),"WR",
IF(ISNUMBER(SEARCH("D/ST",VLOOKUP($A6,INDIRECT("'"&amp;Summary!BD$1&amp;"'!$A$1:$S$17"),2,FALSE))),"D/ST",
IF(ISNUMBER(SEARCH("TE",VLOOKUP($A6,INDIRECT("'"&amp;Summary!BD$1&amp;"'!$A$1:$S$17"),2,FALSE))),"TE","")))))</f>
        <v>WR</v>
      </c>
      <c r="BF6" s="2">
        <f ca="1">IF(BE6="","",IF(BE6&lt;&gt;"D/ST",VLOOKUP($A6,INDIRECT("'"&amp;Summary!BD$1&amp;"'!$A$1:$S$17"),19,FALSE),VLOOKUP($A6,INDIRECT("'"&amp;Summary!BD$1&amp;"'!$A$1:$S$17"),12,FALSE)))</f>
        <v>12</v>
      </c>
      <c r="BG6" s="2">
        <f t="array" aca="1" ref="BG6" ca="1">IF(BE6="","",IF(BE6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6,INDIRECT("'"&amp;Summary!BD$1&amp;"'!$A$1:$A$17"),0)&amp;":$S"&amp;MATCH($A6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6,INDIRECT("'"&amp;Summary!BD$1&amp;"'!$A$1:$A$17"),0)&amp;":$S"&amp;MATCH($A6,INDIRECT("'"&amp;Summary!BD$1&amp;"'!$A$1:$A$17"),0)))))</f>
        <v>0</v>
      </c>
      <c r="BH6" s="3">
        <f t="shared" ca="1" si="25"/>
        <v>0</v>
      </c>
      <c r="BI6" s="3">
        <f t="shared" ca="1" si="9"/>
        <v>1</v>
      </c>
      <c r="BJ6" s="2" t="str">
        <f ca="1">IF(BK6="","",IF(BK6="D/ST",MID(VLOOKUP($A6,INDIRECT("'"&amp;Summary!BJ$1&amp;"'!$A$1:$S$17"),2,FALSE),1,FIND(" ",VLOOKUP($A6,INDIRECT("'"&amp;Summary!BJ$1&amp;"'!$A$1:$S$17"),2,FALSE))+4),MID(VLOOKUP($A6,INDIRECT("'"&amp;Summary!BJ$1&amp;"'!$A$1:$S$17"),2,FALSE),1,FIND(",",VLOOKUP($A6,INDIRECT("'"&amp;Summary!BJ$1&amp;"'!$A$1:$S$17"),2,FALSE))-1)))</f>
        <v>Doug Baldwin</v>
      </c>
      <c r="BK6" s="2" t="str">
        <f ca="1">IF(ISNUMBER(SEARCH("QB",VLOOKUP($A6,INDIRECT("'"&amp;Summary!BJ$1&amp;"'!$A$1:$S$17"),2,FALSE))),"QB",
IF(ISNUMBER(SEARCH("RB",VLOOKUP($A6,INDIRECT("'"&amp;Summary!BJ$1&amp;"'!$A$1:$S$17"),2,FALSE))),"RB",
IF(ISNUMBER(SEARCH("WR",VLOOKUP($A6,INDIRECT("'"&amp;Summary!BJ$1&amp;"'!$A$1:$S$17"),2,FALSE))),"WR",
IF(ISNUMBER(SEARCH("D/ST",VLOOKUP($A6,INDIRECT("'"&amp;Summary!BJ$1&amp;"'!$A$1:$S$17"),2,FALSE))),"D/ST",
IF(ISNUMBER(SEARCH("TE",VLOOKUP($A6,INDIRECT("'"&amp;Summary!BJ$1&amp;"'!$A$1:$S$17"),2,FALSE))),"TE","")))))</f>
        <v>WR</v>
      </c>
      <c r="BL6" s="2">
        <f ca="1">IF(BK6="","",IF(BK6&lt;&gt;"D/ST",VLOOKUP($A6,INDIRECT("'"&amp;Summary!BJ$1&amp;"'!$A$1:$S$17"),19,FALSE),VLOOKUP($A6,INDIRECT("'"&amp;Summary!BJ$1&amp;"'!$A$1:$S$17"),12,FALSE)))</f>
        <v>11</v>
      </c>
      <c r="BM6" s="2">
        <f t="array" aca="1" ref="BM6" ca="1">IF(BK6="","",IF(BK6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6,INDIRECT("'"&amp;Summary!BJ$1&amp;"'!$A$1:$A$17"),0)&amp;":$S"&amp;MATCH($A6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6,INDIRECT("'"&amp;Summary!BJ$1&amp;"'!$A$1:$A$17"),0)&amp;":$S"&amp;MATCH($A6,INDIRECT("'"&amp;Summary!BJ$1&amp;"'!$A$1:$A$17"),0)))))</f>
        <v>1</v>
      </c>
      <c r="BN6" s="3">
        <f t="shared" ca="1" si="26"/>
        <v>0.54545454545454541</v>
      </c>
      <c r="BO6" s="3">
        <f t="shared" ca="1" si="10"/>
        <v>0.45454545454545459</v>
      </c>
      <c r="BP6" s="2" t="str">
        <f ca="1">IF(BQ6="","",IF(BQ6="D/ST",MID(VLOOKUP($A6,INDIRECT("'"&amp;Summary!BP$1&amp;"'!$A$1:$S$17"),2,FALSE),1,FIND(" ",VLOOKUP($A6,INDIRECT("'"&amp;Summary!BP$1&amp;"'!$A$1:$S$17"),2,FALSE))+4),MID(VLOOKUP($A6,INDIRECT("'"&amp;Summary!BP$1&amp;"'!$A$1:$S$17"),2,FALSE),1,FIND(",",VLOOKUP($A6,INDIRECT("'"&amp;Summary!BP$1&amp;"'!$A$1:$S$17"),2,FALSE))-1)))</f>
        <v>Doug Baldwin</v>
      </c>
      <c r="BQ6" s="2" t="str">
        <f ca="1">IF(ISNUMBER(SEARCH("QB",VLOOKUP($A6,INDIRECT("'"&amp;Summary!BP$1&amp;"'!$A$1:$S$17"),2,FALSE))),"QB",
IF(ISNUMBER(SEARCH("RB",VLOOKUP($A6,INDIRECT("'"&amp;Summary!BP$1&amp;"'!$A$1:$S$17"),2,FALSE))),"RB",
IF(ISNUMBER(SEARCH("WR",VLOOKUP($A6,INDIRECT("'"&amp;Summary!BP$1&amp;"'!$A$1:$S$17"),2,FALSE))),"WR",
IF(ISNUMBER(SEARCH("D/ST",VLOOKUP($A6,INDIRECT("'"&amp;Summary!BP$1&amp;"'!$A$1:$S$17"),2,FALSE))),"D/ST",
IF(ISNUMBER(SEARCH("TE",VLOOKUP($A6,INDIRECT("'"&amp;Summary!BP$1&amp;"'!$A$1:$S$17"),2,FALSE))),"TE","")))))</f>
        <v>WR</v>
      </c>
      <c r="BR6" s="2">
        <f ca="1">IF(BQ6="","",IF(BQ6&lt;&gt;"D/ST",VLOOKUP($A6,INDIRECT("'"&amp;Summary!BP$1&amp;"'!$A$1:$S$17"),19,FALSE),VLOOKUP($A6,INDIRECT("'"&amp;Summary!BP$1&amp;"'!$A$1:$S$17"),12,FALSE)))</f>
        <v>3</v>
      </c>
      <c r="BS6" s="2">
        <f t="array" aca="1" ref="BS6" ca="1">IF(BQ6="","",IF(BQ6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6,INDIRECT("'"&amp;Summary!BP$1&amp;"'!$A$1:$A$17"),0)&amp;":$S"&amp;MATCH($A6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6,INDIRECT("'"&amp;Summary!BP$1&amp;"'!$A$1:$A$17"),0)&amp;":$S"&amp;MATCH($A6,INDIRECT("'"&amp;Summary!BP$1&amp;"'!$A$1:$A$17"),0)))))</f>
        <v>0</v>
      </c>
      <c r="BT6" s="3">
        <f t="shared" ca="1" si="27"/>
        <v>0</v>
      </c>
      <c r="BU6" s="3">
        <f t="shared" ca="1" si="11"/>
        <v>1</v>
      </c>
      <c r="BV6" s="2" t="str">
        <f ca="1">IF(BW6="","",IF(BW6="D/ST",MID(VLOOKUP($A6,INDIRECT("'"&amp;Summary!BV$1&amp;"'!$A$1:$S$17"),2,FALSE),1,FIND(" ",VLOOKUP($A6,INDIRECT("'"&amp;Summary!BV$1&amp;"'!$A$1:$S$17"),2,FALSE))+4),MID(VLOOKUP($A6,INDIRECT("'"&amp;Summary!BV$1&amp;"'!$A$1:$S$17"),2,FALSE),1,FIND(",",VLOOKUP($A6,INDIRECT("'"&amp;Summary!BV$1&amp;"'!$A$1:$S$17"),2,FALSE))-1)))</f>
        <v>Doug Baldwin</v>
      </c>
      <c r="BW6" s="2" t="str">
        <f ca="1">IF(ISNUMBER(SEARCH("QB",VLOOKUP($A6,INDIRECT("'"&amp;Summary!BV$1&amp;"'!$A$1:$S$17"),2,FALSE))),"QB",
IF(ISNUMBER(SEARCH("RB",VLOOKUP($A6,INDIRECT("'"&amp;Summary!BV$1&amp;"'!$A$1:$S$17"),2,FALSE))),"RB",
IF(ISNUMBER(SEARCH("WR",VLOOKUP($A6,INDIRECT("'"&amp;Summary!BV$1&amp;"'!$A$1:$S$17"),2,FALSE))),"WR",
IF(ISNUMBER(SEARCH("D/ST",VLOOKUP($A6,INDIRECT("'"&amp;Summary!BV$1&amp;"'!$A$1:$S$17"),2,FALSE))),"D/ST",
IF(ISNUMBER(SEARCH("TE",VLOOKUP($A6,INDIRECT("'"&amp;Summary!BV$1&amp;"'!$A$1:$S$17"),2,FALSE))),"TE","")))))</f>
        <v>WR</v>
      </c>
      <c r="BX6" s="2">
        <f ca="1">IF(BW6="","",IF(BW6&lt;&gt;"D/ST",VLOOKUP($A6,INDIRECT("'"&amp;Summary!BV$1&amp;"'!$A$1:$S$17"),19,FALSE),VLOOKUP($A6,INDIRECT("'"&amp;Summary!BV$1&amp;"'!$A$1:$S$17"),12,FALSE)))</f>
        <v>10.9</v>
      </c>
      <c r="BY6" s="2">
        <f t="array" aca="1" ref="BY6" ca="1">IF(BW6="","",IF(BW6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6,INDIRECT("'"&amp;Summary!BV$1&amp;"'!$A$1:$A$17"),0)&amp;":$S"&amp;MATCH($A6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6,INDIRECT("'"&amp;Summary!BV$1&amp;"'!$A$1:$A$17"),0)&amp;":$S"&amp;MATCH($A6,INDIRECT("'"&amp;Summary!BV$1&amp;"'!$A$1:$A$17"),0)))))</f>
        <v>0</v>
      </c>
      <c r="BZ6" s="3">
        <f t="shared" ca="1" si="28"/>
        <v>0</v>
      </c>
      <c r="CA6" s="3">
        <f t="shared" ca="1" si="12"/>
        <v>1</v>
      </c>
      <c r="CB6" s="2" t="str">
        <f ca="1">IF(CC6="","",IF(CC6="D/ST",MID(VLOOKUP($A6,INDIRECT("'"&amp;Summary!CB$1&amp;"'!$A$1:$S$17"),2,FALSE),1,FIND(" ",VLOOKUP($A6,INDIRECT("'"&amp;Summary!CB$1&amp;"'!$A$1:$S$17"),2,FALSE))+4),MID(VLOOKUP($A6,INDIRECT("'"&amp;Summary!CB$1&amp;"'!$A$1:$S$17"),2,FALSE),1,FIND(",",VLOOKUP($A6,INDIRECT("'"&amp;Summary!CB$1&amp;"'!$A$1:$S$17"),2,FALSE))-1)))</f>
        <v>Mike Evans</v>
      </c>
      <c r="CC6" s="2" t="str">
        <f ca="1">IF(ISNUMBER(SEARCH("QB",VLOOKUP($A6,INDIRECT("'"&amp;Summary!CB$1&amp;"'!$A$1:$S$17"),2,FALSE))),"QB",
IF(ISNUMBER(SEARCH("RB",VLOOKUP($A6,INDIRECT("'"&amp;Summary!CB$1&amp;"'!$A$1:$S$17"),2,FALSE))),"RB",
IF(ISNUMBER(SEARCH("WR",VLOOKUP($A6,INDIRECT("'"&amp;Summary!CB$1&amp;"'!$A$1:$S$17"),2,FALSE))),"WR",
IF(ISNUMBER(SEARCH("D/ST",VLOOKUP($A6,INDIRECT("'"&amp;Summary!CB$1&amp;"'!$A$1:$S$17"),2,FALSE))),"D/ST",
IF(ISNUMBER(SEARCH("TE",VLOOKUP($A6,INDIRECT("'"&amp;Summary!CB$1&amp;"'!$A$1:$S$17"),2,FALSE))),"TE","")))))</f>
        <v>WR</v>
      </c>
      <c r="CD6" s="2">
        <f ca="1">IF(CC6="","",IF(CC6&lt;&gt;"D/ST",VLOOKUP($A6,INDIRECT("'"&amp;Summary!CB$1&amp;"'!$A$1:$S$17"),19,FALSE),VLOOKUP($A6,INDIRECT("'"&amp;Summary!CB$1&amp;"'!$A$1:$S$17"),12,FALSE)))</f>
        <v>3.5</v>
      </c>
      <c r="CE6" s="2">
        <f t="array" aca="1" ref="CE6" ca="1">IF(CC6="","",IF(CC6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6,INDIRECT("'"&amp;Summary!CB$1&amp;"'!$A$1:$A$17"),0)&amp;":$S"&amp;MATCH($A6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6,INDIRECT("'"&amp;Summary!CB$1&amp;"'!$A$1:$A$17"),0)&amp;":$S"&amp;MATCH($A6,INDIRECT("'"&amp;Summary!CB$1&amp;"'!$A$1:$A$17"),0)))))</f>
        <v>0</v>
      </c>
      <c r="CF6" s="3">
        <f t="shared" ca="1" si="29"/>
        <v>0</v>
      </c>
      <c r="CG6" s="3">
        <f t="shared" ca="1" si="13"/>
        <v>1</v>
      </c>
      <c r="CH6" s="2" t="str">
        <f ca="1">IF(CI6="","",IF(CI6="D/ST",MID(VLOOKUP($A6,INDIRECT("'"&amp;Summary!CH$1&amp;"'!$A$1:$S$17"),2,FALSE),1,FIND(" ",VLOOKUP($A6,INDIRECT("'"&amp;Summary!CH$1&amp;"'!$A$1:$S$17"),2,FALSE))+4),MID(VLOOKUP($A6,INDIRECT("'"&amp;Summary!CH$1&amp;"'!$A$1:$S$17"),2,FALSE),1,FIND(",",VLOOKUP($A6,INDIRECT("'"&amp;Summary!CH$1&amp;"'!$A$1:$S$17"),2,FALSE))-1)))</f>
        <v>Doug Baldwin</v>
      </c>
      <c r="CI6" s="2" t="str">
        <f ca="1">IF(ISNUMBER(SEARCH("QB",VLOOKUP($A6,INDIRECT("'"&amp;Summary!CH$1&amp;"'!$A$1:$S$17"),2,FALSE))),"QB",
IF(ISNUMBER(SEARCH("RB",VLOOKUP($A6,INDIRECT("'"&amp;Summary!CH$1&amp;"'!$A$1:$S$17"),2,FALSE))),"RB",
IF(ISNUMBER(SEARCH("WR",VLOOKUP($A6,INDIRECT("'"&amp;Summary!CH$1&amp;"'!$A$1:$S$17"),2,FALSE))),"WR",
IF(ISNUMBER(SEARCH("D/ST",VLOOKUP($A6,INDIRECT("'"&amp;Summary!CH$1&amp;"'!$A$1:$S$17"),2,FALSE))),"D/ST",
IF(ISNUMBER(SEARCH("TE",VLOOKUP($A6,INDIRECT("'"&amp;Summary!CH$1&amp;"'!$A$1:$S$17"),2,FALSE))),"TE","")))))</f>
        <v>WR</v>
      </c>
      <c r="CJ6" s="2">
        <f ca="1">IF(CI6="","",IF(CI6&lt;&gt;"D/ST",VLOOKUP($A6,INDIRECT("'"&amp;Summary!CH$1&amp;"'!$A$1:$S$17"),19,FALSE),VLOOKUP($A6,INDIRECT("'"&amp;Summary!CH$1&amp;"'!$A$1:$S$17"),12,FALSE)))</f>
        <v>1.1000000000000001</v>
      </c>
      <c r="CK6" s="2">
        <f t="array" aca="1" ref="CK6" ca="1">IF(CI6="","",IF(CI6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6,INDIRECT("'"&amp;Summary!CH$1&amp;"'!$A$1:$A$17"),0)&amp;":$S"&amp;MATCH($A6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6,INDIRECT("'"&amp;Summary!CH$1&amp;"'!$A$1:$A$17"),0)&amp;":$S"&amp;MATCH($A6,INDIRECT("'"&amp;Summary!CH$1&amp;"'!$A$1:$A$17"),0)))))</f>
        <v>0</v>
      </c>
      <c r="CL6" s="3">
        <f t="shared" ca="1" si="30"/>
        <v>0</v>
      </c>
      <c r="CM6" s="3">
        <f t="shared" ca="1" si="14"/>
        <v>1</v>
      </c>
      <c r="CN6" s="2" t="str">
        <f ca="1">IF(CO6="","",IF(CO6="D/ST",MID(VLOOKUP($A6,INDIRECT("'"&amp;Summary!CN$1&amp;"'!$A$1:$S$17"),2,FALSE),1,FIND(" ",VLOOKUP($A6,INDIRECT("'"&amp;Summary!CN$1&amp;"'!$A$1:$S$17"),2,FALSE))+4),MID(VLOOKUP($A6,INDIRECT("'"&amp;Summary!CN$1&amp;"'!$A$1:$S$17"),2,FALSE),1,FIND(",",VLOOKUP($A6,INDIRECT("'"&amp;Summary!CN$1&amp;"'!$A$1:$S$17"),2,FALSE))-1)))</f>
        <v>Doug Baldwin</v>
      </c>
      <c r="CO6" s="2" t="str">
        <f ca="1">IF(ISNUMBER(SEARCH("QB",VLOOKUP($A6,INDIRECT("'"&amp;Summary!CN$1&amp;"'!$A$1:$S$17"),2,FALSE))),"QB",
IF(ISNUMBER(SEARCH("RB",VLOOKUP($A6,INDIRECT("'"&amp;Summary!CN$1&amp;"'!$A$1:$S$17"),2,FALSE))),"RB",
IF(ISNUMBER(SEARCH("WR",VLOOKUP($A6,INDIRECT("'"&amp;Summary!CN$1&amp;"'!$A$1:$S$17"),2,FALSE))),"WR",
IF(ISNUMBER(SEARCH("D/ST",VLOOKUP($A6,INDIRECT("'"&amp;Summary!CN$1&amp;"'!$A$1:$S$17"),2,FALSE))),"D/ST",
IF(ISNUMBER(SEARCH("TE",VLOOKUP($A6,INDIRECT("'"&amp;Summary!CN$1&amp;"'!$A$1:$S$17"),2,FALSE))),"TE","")))))</f>
        <v>WR</v>
      </c>
      <c r="CP6" s="2">
        <f ca="1">IF(CO6="","",IF(CO6&lt;&gt;"D/ST",VLOOKUP($A6,INDIRECT("'"&amp;Summary!CN$1&amp;"'!$A$1:$S$17"),19,FALSE),VLOOKUP($A6,INDIRECT("'"&amp;Summary!CN$1&amp;"'!$A$1:$S$17"),12,FALSE)))</f>
        <v>11.5</v>
      </c>
      <c r="CQ6" s="2">
        <f t="array" aca="1" ref="CQ6" ca="1">IF(CO6="","",IF(CO6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6,INDIRECT("'"&amp;Summary!CN$1&amp;"'!$A$1:$A$17"),0)&amp;":$S"&amp;MATCH($A6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6,INDIRECT("'"&amp;Summary!CN$1&amp;"'!$A$1:$A$17"),0)&amp;":$S"&amp;MATCH($A6,INDIRECT("'"&amp;Summary!CN$1&amp;"'!$A$1:$A$17"),0)))))</f>
        <v>1</v>
      </c>
      <c r="CR6" s="3">
        <f t="shared" ca="1" si="31"/>
        <v>0.52173913043478259</v>
      </c>
      <c r="CS6" s="3">
        <f t="shared" ca="1" si="15"/>
        <v>0.47826086956521741</v>
      </c>
    </row>
    <row r="7" spans="1:97" ht="16.25" thickTop="1" thickBot="1" x14ac:dyDescent="0.9">
      <c r="A7" s="2" t="s">
        <v>32</v>
      </c>
      <c r="B7" s="2" t="str">
        <f ca="1">IF(C7="","",IF(C7="D/ST",MID(VLOOKUP($A7,INDIRECT("'"&amp;Summary!B$1&amp;"'!$A$1:$S$17"),2,FALSE),1,FIND(" ",VLOOKUP($A7,INDIRECT("'"&amp;Summary!B$1&amp;"'!$A$1:$S$17"),2,FALSE))+4),MID(VLOOKUP($A7,INDIRECT("'"&amp;Summary!B$1&amp;"'!$A$1:$S$17"),2,FALSE),1,FIND(",",VLOOKUP($A7,INDIRECT("'"&amp;Summary!B$1&amp;"'!$A$1:$S$17"),2,FALSE))-1)))</f>
        <v>Allen Robinson</v>
      </c>
      <c r="C7" s="2" t="str">
        <f ca="1">IF(ISNUMBER(SEARCH("QB",VLOOKUP($A7,INDIRECT("'"&amp;Summary!B$1&amp;"'!$A$1:$S$17"),2,FALSE))),"QB",
IF(ISNUMBER(SEARCH("RB",VLOOKUP($A7,INDIRECT("'"&amp;Summary!B$1&amp;"'!$A$1:$S$17"),2,FALSE))),"RB",
IF(ISNUMBER(SEARCH("WR",VLOOKUP($A7,INDIRECT("'"&amp;Summary!B$1&amp;"'!$A$1:$S$17"),2,FALSE))),"WR",
IF(ISNUMBER(SEARCH("D/ST",VLOOKUP($A7,INDIRECT("'"&amp;Summary!B$1&amp;"'!$A$1:$S$17"),2,FALSE))),"D/ST",
IF(ISNUMBER(SEARCH("TE",VLOOKUP($A7,INDIRECT("'"&amp;Summary!B$1&amp;"'!$A$1:$S$17"),2,FALSE))),"TE","")))))</f>
        <v>WR</v>
      </c>
      <c r="D7" s="2">
        <f ca="1">IF(C7="","",IF(C7&lt;&gt;"D/ST",VLOOKUP($A7,INDIRECT("'"&amp;Summary!B$1&amp;"'!$A$1:$S$17"),19,FALSE),VLOOKUP($A7,INDIRECT("'"&amp;Summary!B$1&amp;"'!$A$1:$S$17"),12,FALSE)))</f>
        <v>2.2000000000000002</v>
      </c>
      <c r="E7" s="2">
        <f t="array" aca="1" ref="E7" ca="1">IF(C7="","",IF(C7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7,INDIRECT("'"&amp;Summary!B$1&amp;"'!$A$1:$A$17"),0)&amp;":$S"&amp;MATCH($A7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7,INDIRECT("'"&amp;Summary!B$1&amp;"'!$A$1:$A$17"),0)&amp;":$S"&amp;MATCH($A7,INDIRECT("'"&amp;Summary!B$1&amp;"'!$A$1:$A$17"),0)))))</f>
        <v>0</v>
      </c>
      <c r="F7" s="3">
        <f t="shared" ca="1" si="16"/>
        <v>0</v>
      </c>
      <c r="G7" s="3">
        <f t="shared" ca="1" si="0"/>
        <v>1</v>
      </c>
      <c r="H7" s="2" t="str">
        <f ca="1">IF(I7="","",IF(I7="D/ST",MID(VLOOKUP($A7,INDIRECT("'"&amp;Summary!H$1&amp;"'!$A$1:$S$17"),2,FALSE),1,FIND(" ",VLOOKUP($A7,INDIRECT("'"&amp;Summary!H$1&amp;"'!$A$1:$S$17"),2,FALSE))+4),MID(VLOOKUP($A7,INDIRECT("'"&amp;Summary!H$1&amp;"'!$A$1:$S$17"),2,FALSE),1,FIND(",",VLOOKUP($A7,INDIRECT("'"&amp;Summary!H$1&amp;"'!$A$1:$S$17"),2,FALSE))-1)))</f>
        <v>Martavis Bryant</v>
      </c>
      <c r="I7" s="2" t="str">
        <f ca="1">IF(ISNUMBER(SEARCH("QB",VLOOKUP($A7,INDIRECT("'"&amp;Summary!H$1&amp;"'!$A$1:$S$17"),2,FALSE))),"QB",
IF(ISNUMBER(SEARCH("RB",VLOOKUP($A7,INDIRECT("'"&amp;Summary!H$1&amp;"'!$A$1:$S$17"),2,FALSE))),"RB",
IF(ISNUMBER(SEARCH("WR",VLOOKUP($A7,INDIRECT("'"&amp;Summary!H$1&amp;"'!$A$1:$S$17"),2,FALSE))),"WR",
IF(ISNUMBER(SEARCH("D/ST",VLOOKUP($A7,INDIRECT("'"&amp;Summary!H$1&amp;"'!$A$1:$S$17"),2,FALSE))),"D/ST",
IF(ISNUMBER(SEARCH("TE",VLOOKUP($A7,INDIRECT("'"&amp;Summary!H$1&amp;"'!$A$1:$S$17"),2,FALSE))),"TE","")))))</f>
        <v>WR</v>
      </c>
      <c r="J7" s="2">
        <f ca="1">IF(I7="","",IF(I7&lt;&gt;"D/ST",VLOOKUP($A7,INDIRECT("'"&amp;Summary!H$1&amp;"'!$A$1:$S$17"),19,FALSE),VLOOKUP($A7,INDIRECT("'"&amp;Summary!H$1&amp;"'!$A$1:$S$17"),12,FALSE)))</f>
        <v>17.3</v>
      </c>
      <c r="K7" s="2">
        <f t="array" aca="1" ref="K7" ca="1">IF(I7="","",IF(I7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7,INDIRECT("'"&amp;Summary!H$1&amp;"'!$A$1:$A$17"),0)&amp;":$S"&amp;MATCH($A7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7,INDIRECT("'"&amp;Summary!H$1&amp;"'!$A$1:$A$17"),0)&amp;":$S"&amp;MATCH($A7,INDIRECT("'"&amp;Summary!H$1&amp;"'!$A$1:$A$17"),0)))))</f>
        <v>1</v>
      </c>
      <c r="L7" s="3">
        <f t="shared" ca="1" si="17"/>
        <v>0.34682080924855491</v>
      </c>
      <c r="M7" s="3">
        <f t="shared" ca="1" si="1"/>
        <v>0.65317919075144504</v>
      </c>
      <c r="N7" s="2" t="str">
        <f ca="1">IF(O7="","",IF(O7="D/ST",MID(VLOOKUP($A7,INDIRECT("'"&amp;Summary!N$1&amp;"'!$A$1:$S$17"),2,FALSE),1,FIND(" ",VLOOKUP($A7,INDIRECT("'"&amp;Summary!N$1&amp;"'!$A$1:$S$17"),2,FALSE))+4),MID(VLOOKUP($A7,INDIRECT("'"&amp;Summary!N$1&amp;"'!$A$1:$S$17"),2,FALSE),1,FIND(",",VLOOKUP($A7,INDIRECT("'"&amp;Summary!N$1&amp;"'!$A$1:$S$17"),2,FALSE))-1)))</f>
        <v>Doug Baldwin</v>
      </c>
      <c r="O7" s="2" t="str">
        <f ca="1">IF(ISNUMBER(SEARCH("QB",VLOOKUP($A7,INDIRECT("'"&amp;Summary!N$1&amp;"'!$A$1:$S$17"),2,FALSE))),"QB",
IF(ISNUMBER(SEARCH("RB",VLOOKUP($A7,INDIRECT("'"&amp;Summary!N$1&amp;"'!$A$1:$S$17"),2,FALSE))),"RB",
IF(ISNUMBER(SEARCH("WR",VLOOKUP($A7,INDIRECT("'"&amp;Summary!N$1&amp;"'!$A$1:$S$17"),2,FALSE))),"WR",
IF(ISNUMBER(SEARCH("D/ST",VLOOKUP($A7,INDIRECT("'"&amp;Summary!N$1&amp;"'!$A$1:$S$17"),2,FALSE))),"D/ST",
IF(ISNUMBER(SEARCH("TE",VLOOKUP($A7,INDIRECT("'"&amp;Summary!N$1&amp;"'!$A$1:$S$17"),2,FALSE))),"TE","")))))</f>
        <v>WR</v>
      </c>
      <c r="P7" s="2">
        <f ca="1">IF(O7="","",IF(O7&lt;&gt;"D/ST",VLOOKUP($A7,INDIRECT("'"&amp;Summary!N$1&amp;"'!$A$1:$S$17"),19,FALSE),VLOOKUP($A7,INDIRECT("'"&amp;Summary!N$1&amp;"'!$A$1:$S$17"),12,FALSE)))</f>
        <v>21.5</v>
      </c>
      <c r="Q7" s="2">
        <f t="array" aca="1" ref="Q7" ca="1">IF(O7="","",IF(O7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7,INDIRECT("'"&amp;Summary!N$1&amp;"'!$A$1:$A$17"),0)&amp;":$S"&amp;MATCH($A7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7,INDIRECT("'"&amp;Summary!N$1&amp;"'!$A$1:$A$17"),0)&amp;":$S"&amp;MATCH($A7,INDIRECT("'"&amp;Summary!N$1&amp;"'!$A$1:$A$17"),0)))))</f>
        <v>1</v>
      </c>
      <c r="R7" s="3">
        <f t="shared" ca="1" si="18"/>
        <v>0.27906976744186046</v>
      </c>
      <c r="S7" s="3">
        <f t="shared" ca="1" si="2"/>
        <v>0.72093023255813948</v>
      </c>
      <c r="T7" s="2" t="str">
        <f ca="1">IF(U7="","",IF(U7="D/ST",MID(VLOOKUP($A7,INDIRECT("'"&amp;Summary!T$1&amp;"'!$A$1:$S$17"),2,FALSE),1,FIND(" ",VLOOKUP($A7,INDIRECT("'"&amp;Summary!T$1&amp;"'!$A$1:$S$17"),2,FALSE))+4),MID(VLOOKUP($A7,INDIRECT("'"&amp;Summary!T$1&amp;"'!$A$1:$S$17"),2,FALSE),1,FIND(",",VLOOKUP($A7,INDIRECT("'"&amp;Summary!T$1&amp;"'!$A$1:$S$17"),2,FALSE))-1)))</f>
        <v>Doug Baldwin</v>
      </c>
      <c r="U7" s="2" t="str">
        <f ca="1">IF(ISNUMBER(SEARCH("QB",VLOOKUP($A7,INDIRECT("'"&amp;Summary!T$1&amp;"'!$A$1:$S$17"),2,FALSE))),"QB",
IF(ISNUMBER(SEARCH("RB",VLOOKUP($A7,INDIRECT("'"&amp;Summary!T$1&amp;"'!$A$1:$S$17"),2,FALSE))),"RB",
IF(ISNUMBER(SEARCH("WR",VLOOKUP($A7,INDIRECT("'"&amp;Summary!T$1&amp;"'!$A$1:$S$17"),2,FALSE))),"WR",
IF(ISNUMBER(SEARCH("D/ST",VLOOKUP($A7,INDIRECT("'"&amp;Summary!T$1&amp;"'!$A$1:$S$17"),2,FALSE))),"D/ST",
IF(ISNUMBER(SEARCH("TE",VLOOKUP($A7,INDIRECT("'"&amp;Summary!T$1&amp;"'!$A$1:$S$17"),2,FALSE))),"TE","")))))</f>
        <v>WR</v>
      </c>
      <c r="V7" s="2">
        <f ca="1">IF(U7="","",IF(U7&lt;&gt;"D/ST",VLOOKUP($A7,INDIRECT("'"&amp;Summary!T$1&amp;"'!$A$1:$S$17"),19,FALSE),VLOOKUP($A7,INDIRECT("'"&amp;Summary!T$1&amp;"'!$A$1:$S$17"),12,FALSE)))</f>
        <v>7</v>
      </c>
      <c r="W7" s="2">
        <f t="array" aca="1" ref="W7" ca="1">IF(U7="","",IF(U7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7,INDIRECT("'"&amp;Summary!T$1&amp;"'!$A$1:$A$17"),0)&amp;":$S"&amp;MATCH($A7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7,INDIRECT("'"&amp;Summary!T$1&amp;"'!$A$1:$A$17"),0)&amp;":$S"&amp;MATCH($A7,INDIRECT("'"&amp;Summary!T$1&amp;"'!$A$1:$A$17"),0)))))</f>
        <v>0</v>
      </c>
      <c r="X7" s="3">
        <f t="shared" ca="1" si="19"/>
        <v>0</v>
      </c>
      <c r="Y7" s="3">
        <f t="shared" ca="1" si="3"/>
        <v>1</v>
      </c>
      <c r="Z7" s="2" t="str">
        <f ca="1">IF(AA7="","",IF(AA7="D/ST",MID(VLOOKUP($A7,INDIRECT("'"&amp;Summary!Z$1&amp;"'!$A$1:$S$17"),2,FALSE),1,FIND(" ",VLOOKUP($A7,INDIRECT("'"&amp;Summary!Z$1&amp;"'!$A$1:$S$17"),2,FALSE))+4),MID(VLOOKUP($A7,INDIRECT("'"&amp;Summary!Z$1&amp;"'!$A$1:$S$17"),2,FALSE),1,FIND(",",VLOOKUP($A7,INDIRECT("'"&amp;Summary!Z$1&amp;"'!$A$1:$S$17"),2,FALSE))-1)))</f>
        <v>Doug Baldwin</v>
      </c>
      <c r="AA7" s="2" t="str">
        <f ca="1">IF(ISNUMBER(SEARCH("QB",VLOOKUP($A7,INDIRECT("'"&amp;Summary!Z$1&amp;"'!$A$1:$S$17"),2,FALSE))),"QB",
IF(ISNUMBER(SEARCH("RB",VLOOKUP($A7,INDIRECT("'"&amp;Summary!Z$1&amp;"'!$A$1:$S$17"),2,FALSE))),"RB",
IF(ISNUMBER(SEARCH("WR",VLOOKUP($A7,INDIRECT("'"&amp;Summary!Z$1&amp;"'!$A$1:$S$17"),2,FALSE))),"WR",
IF(ISNUMBER(SEARCH("D/ST",VLOOKUP($A7,INDIRECT("'"&amp;Summary!Z$1&amp;"'!$A$1:$S$17"),2,FALSE))),"D/ST",
IF(ISNUMBER(SEARCH("TE",VLOOKUP($A7,INDIRECT("'"&amp;Summary!Z$1&amp;"'!$A$1:$S$17"),2,FALSE))),"TE","")))))</f>
        <v>WR</v>
      </c>
      <c r="AB7" s="2">
        <f ca="1">IF(AA7="","",IF(AA7&lt;&gt;"D/ST",VLOOKUP($A7,INDIRECT("'"&amp;Summary!Z$1&amp;"'!$A$1:$S$17"),19,FALSE),VLOOKUP($A7,INDIRECT("'"&amp;Summary!Z$1&amp;"'!$A$1:$S$17"),12,FALSE)))</f>
        <v>5.7</v>
      </c>
      <c r="AC7" s="2">
        <f t="array" aca="1" ref="AC7" ca="1">IF(AA7="","",IF(AA7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7,INDIRECT("'"&amp;Summary!Z$1&amp;"'!$A$1:$A$17"),0)&amp;":$S"&amp;MATCH($A7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7,INDIRECT("'"&amp;Summary!Z$1&amp;"'!$A$1:$A$17"),0)&amp;":$S"&amp;MATCH($A7,INDIRECT("'"&amp;Summary!Z$1&amp;"'!$A$1:$A$17"),0)))))</f>
        <v>0</v>
      </c>
      <c r="AD7" s="3">
        <f t="shared" ca="1" si="20"/>
        <v>0</v>
      </c>
      <c r="AE7" s="3">
        <f t="shared" ca="1" si="4"/>
        <v>1</v>
      </c>
      <c r="AF7" s="2" t="str">
        <f ca="1">IF(AG7="","",IF(AG7="D/ST",MID(VLOOKUP($A7,INDIRECT("'"&amp;Summary!AF$1&amp;"'!$A$1:$S$17"),2,FALSE),1,FIND(" ",VLOOKUP($A7,INDIRECT("'"&amp;Summary!AF$1&amp;"'!$A$1:$S$17"),2,FALSE))+4),MID(VLOOKUP($A7,INDIRECT("'"&amp;Summary!AF$1&amp;"'!$A$1:$S$17"),2,FALSE),1,FIND(",",VLOOKUP($A7,INDIRECT("'"&amp;Summary!AF$1&amp;"'!$A$1:$S$17"),2,FALSE))-1)))</f>
        <v>Julio Jones</v>
      </c>
      <c r="AG7" s="2" t="str">
        <f ca="1">IF(ISNUMBER(SEARCH("QB",VLOOKUP($A7,INDIRECT("'"&amp;Summary!AF$1&amp;"'!$A$1:$S$17"),2,FALSE))),"QB",
IF(ISNUMBER(SEARCH("RB",VLOOKUP($A7,INDIRECT("'"&amp;Summary!AF$1&amp;"'!$A$1:$S$17"),2,FALSE))),"RB",
IF(ISNUMBER(SEARCH("WR",VLOOKUP($A7,INDIRECT("'"&amp;Summary!AF$1&amp;"'!$A$1:$S$17"),2,FALSE))),"WR",
IF(ISNUMBER(SEARCH("D/ST",VLOOKUP($A7,INDIRECT("'"&amp;Summary!AF$1&amp;"'!$A$1:$S$17"),2,FALSE))),"D/ST",
IF(ISNUMBER(SEARCH("TE",VLOOKUP($A7,INDIRECT("'"&amp;Summary!AF$1&amp;"'!$A$1:$S$17"),2,FALSE))),"TE","")))))</f>
        <v>WR</v>
      </c>
      <c r="AH7" s="2">
        <f ca="1">IF(AG7="","",IF(AG7&lt;&gt;"D/ST",VLOOKUP($A7,INDIRECT("'"&amp;Summary!AF$1&amp;"'!$A$1:$S$17"),19,FALSE),VLOOKUP($A7,INDIRECT("'"&amp;Summary!AF$1&amp;"'!$A$1:$S$17"),12,FALSE)))</f>
        <v>10.199999999999999</v>
      </c>
      <c r="AI7" s="2">
        <f t="array" aca="1" ref="AI7" ca="1">IF(AG7="","",IF(AG7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7,INDIRECT("'"&amp;Summary!AF$1&amp;"'!$A$1:$A$17"),0)&amp;":$S"&amp;MATCH($A7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7,INDIRECT("'"&amp;Summary!AF$1&amp;"'!$A$1:$A$17"),0)&amp;":$S"&amp;MATCH($A7,INDIRECT("'"&amp;Summary!AF$1&amp;"'!$A$1:$A$17"),0)))))</f>
        <v>0</v>
      </c>
      <c r="AJ7" s="3">
        <f t="shared" ca="1" si="21"/>
        <v>0</v>
      </c>
      <c r="AK7" s="3">
        <f t="shared" ca="1" si="5"/>
        <v>1</v>
      </c>
      <c r="AL7" s="2" t="str">
        <f ca="1">IF(AM7="","",IF(AM7="D/ST",MID(VLOOKUP($A7,INDIRECT("'"&amp;Summary!AL$1&amp;"'!$A$1:$S$17"),2,FALSE),1,FIND(" ",VLOOKUP($A7,INDIRECT("'"&amp;Summary!AL$1&amp;"'!$A$1:$S$17"),2,FALSE))+4),MID(VLOOKUP($A7,INDIRECT("'"&amp;Summary!AL$1&amp;"'!$A$1:$S$17"),2,FALSE),1,FIND(",",VLOOKUP($A7,INDIRECT("'"&amp;Summary!AL$1&amp;"'!$A$1:$S$17"),2,FALSE))-1)))</f>
        <v>Julio Jones</v>
      </c>
      <c r="AM7" s="2" t="str">
        <f ca="1">IF(ISNUMBER(SEARCH("QB",VLOOKUP($A7,INDIRECT("'"&amp;Summary!AL$1&amp;"'!$A$1:$S$17"),2,FALSE))),"QB",
IF(ISNUMBER(SEARCH("RB",VLOOKUP($A7,INDIRECT("'"&amp;Summary!AL$1&amp;"'!$A$1:$S$17"),2,FALSE))),"RB",
IF(ISNUMBER(SEARCH("WR",VLOOKUP($A7,INDIRECT("'"&amp;Summary!AL$1&amp;"'!$A$1:$S$17"),2,FALSE))),"WR",
IF(ISNUMBER(SEARCH("D/ST",VLOOKUP($A7,INDIRECT("'"&amp;Summary!AL$1&amp;"'!$A$1:$S$17"),2,FALSE))),"D/ST",
IF(ISNUMBER(SEARCH("TE",VLOOKUP($A7,INDIRECT("'"&amp;Summary!AL$1&amp;"'!$A$1:$S$17"),2,FALSE))),"TE","")))))</f>
        <v>WR</v>
      </c>
      <c r="AN7" s="2">
        <f ca="1">IF(AM7="","",IF(AM7&lt;&gt;"D/ST",VLOOKUP($A7,INDIRECT("'"&amp;Summary!AL$1&amp;"'!$A$1:$S$17"),19,FALSE),VLOOKUP($A7,INDIRECT("'"&amp;Summary!AL$1&amp;"'!$A$1:$S$17"),12,FALSE)))</f>
        <v>20.399999999999999</v>
      </c>
      <c r="AO7" s="2">
        <f t="array" aca="1" ref="AO7" ca="1">IF(AM7="","",IF(AM7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7,INDIRECT("'"&amp;Summary!AL$1&amp;"'!$A$1:$A$17"),0)&amp;":$S"&amp;MATCH($A7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7,INDIRECT("'"&amp;Summary!AL$1&amp;"'!$A$1:$A$17"),0)&amp;":$S"&amp;MATCH($A7,INDIRECT("'"&amp;Summary!AL$1&amp;"'!$A$1:$A$17"),0)))))</f>
        <v>1</v>
      </c>
      <c r="AP7" s="3">
        <f t="shared" ca="1" si="22"/>
        <v>0.29411764705882354</v>
      </c>
      <c r="AQ7" s="3">
        <f t="shared" ca="1" si="6"/>
        <v>0.70588235294117641</v>
      </c>
      <c r="AR7" s="2" t="str">
        <f ca="1">IF(AS7="","",IF(AS7="D/ST",MID(VLOOKUP($A7,INDIRECT("'"&amp;Summary!AR$1&amp;"'!$A$1:$S$17"),2,FALSE),1,FIND(" ",VLOOKUP($A7,INDIRECT("'"&amp;Summary!AR$1&amp;"'!$A$1:$S$17"),2,FALSE))+4),MID(VLOOKUP($A7,INDIRECT("'"&amp;Summary!AR$1&amp;"'!$A$1:$S$17"),2,FALSE),1,FIND(",",VLOOKUP($A7,INDIRECT("'"&amp;Summary!AR$1&amp;"'!$A$1:$S$17"),2,FALSE))-1)))</f>
        <v>Julio Jones</v>
      </c>
      <c r="AS7" s="2" t="str">
        <f ca="1">IF(ISNUMBER(SEARCH("QB",VLOOKUP($A7,INDIRECT("'"&amp;Summary!AR$1&amp;"'!$A$1:$S$17"),2,FALSE))),"QB",
IF(ISNUMBER(SEARCH("RB",VLOOKUP($A7,INDIRECT("'"&amp;Summary!AR$1&amp;"'!$A$1:$S$17"),2,FALSE))),"RB",
IF(ISNUMBER(SEARCH("WR",VLOOKUP($A7,INDIRECT("'"&amp;Summary!AR$1&amp;"'!$A$1:$S$17"),2,FALSE))),"WR",
IF(ISNUMBER(SEARCH("D/ST",VLOOKUP($A7,INDIRECT("'"&amp;Summary!AR$1&amp;"'!$A$1:$S$17"),2,FALSE))),"D/ST",
IF(ISNUMBER(SEARCH("TE",VLOOKUP($A7,INDIRECT("'"&amp;Summary!AR$1&amp;"'!$A$1:$S$17"),2,FALSE))),"TE","")))))</f>
        <v>WR</v>
      </c>
      <c r="AT7" s="2">
        <f ca="1">IF(AS7="","",IF(AS7&lt;&gt;"D/ST",VLOOKUP($A7,INDIRECT("'"&amp;Summary!AR$1&amp;"'!$A$1:$S$17"),19,FALSE),VLOOKUP($A7,INDIRECT("'"&amp;Summary!AR$1&amp;"'!$A$1:$S$17"),12,FALSE)))</f>
        <v>8.9</v>
      </c>
      <c r="AU7" s="2">
        <f t="array" aca="1" ref="AU7" ca="1">IF(AS7="","",IF(AS7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7,INDIRECT("'"&amp;Summary!AR$1&amp;"'!$A$1:$A$17"),0)&amp;":$S"&amp;MATCH($A7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7,INDIRECT("'"&amp;Summary!AR$1&amp;"'!$A$1:$A$17"),0)&amp;":$S"&amp;MATCH($A7,INDIRECT("'"&amp;Summary!AR$1&amp;"'!$A$1:$A$17"),0)))))</f>
        <v>0</v>
      </c>
      <c r="AV7" s="3">
        <f t="shared" ca="1" si="23"/>
        <v>0</v>
      </c>
      <c r="AW7" s="3">
        <f t="shared" ca="1" si="7"/>
        <v>1</v>
      </c>
      <c r="AX7" s="2" t="str">
        <f ca="1">IF(AY7="","",IF(AY7="D/ST",MID(VLOOKUP($A7,INDIRECT("'"&amp;Summary!AX$1&amp;"'!$A$1:$S$17"),2,FALSE),1,FIND(" ",VLOOKUP($A7,INDIRECT("'"&amp;Summary!AX$1&amp;"'!$A$1:$S$17"),2,FALSE))+4),MID(VLOOKUP($A7,INDIRECT("'"&amp;Summary!AX$1&amp;"'!$A$1:$S$17"),2,FALSE),1,FIND(",",VLOOKUP($A7,INDIRECT("'"&amp;Summary!AX$1&amp;"'!$A$1:$S$17"),2,FALSE))-1)))</f>
        <v>Julio Jones</v>
      </c>
      <c r="AY7" s="2" t="str">
        <f ca="1">IF(ISNUMBER(SEARCH("QB",VLOOKUP($A7,INDIRECT("'"&amp;Summary!AX$1&amp;"'!$A$1:$S$17"),2,FALSE))),"QB",
IF(ISNUMBER(SEARCH("RB",VLOOKUP($A7,INDIRECT("'"&amp;Summary!AX$1&amp;"'!$A$1:$S$17"),2,FALSE))),"RB",
IF(ISNUMBER(SEARCH("WR",VLOOKUP($A7,INDIRECT("'"&amp;Summary!AX$1&amp;"'!$A$1:$S$17"),2,FALSE))),"WR",
IF(ISNUMBER(SEARCH("D/ST",VLOOKUP($A7,INDIRECT("'"&amp;Summary!AX$1&amp;"'!$A$1:$S$17"),2,FALSE))),"D/ST",
IF(ISNUMBER(SEARCH("TE",VLOOKUP($A7,INDIRECT("'"&amp;Summary!AX$1&amp;"'!$A$1:$S$17"),2,FALSE))),"TE","")))))</f>
        <v>WR</v>
      </c>
      <c r="AZ7" s="2">
        <f ca="1">IF(AY7="","",IF(AY7&lt;&gt;"D/ST",VLOOKUP($A7,INDIRECT("'"&amp;Summary!AX$1&amp;"'!$A$1:$S$17"),19,FALSE),VLOOKUP($A7,INDIRECT("'"&amp;Summary!AX$1&amp;"'!$A$1:$S$17"),12,FALSE)))</f>
        <v>14.8</v>
      </c>
      <c r="BA7" s="2">
        <f t="array" aca="1" ref="BA7" ca="1">IF(AY7="","",IF(AY7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7,INDIRECT("'"&amp;Summary!AX$1&amp;"'!$A$1:$A$17"),0)&amp;":$S"&amp;MATCH($A7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7,INDIRECT("'"&amp;Summary!AX$1&amp;"'!$A$1:$A$17"),0)&amp;":$S"&amp;MATCH($A7,INDIRECT("'"&amp;Summary!AX$1&amp;"'!$A$1:$A$17"),0)))))</f>
        <v>0</v>
      </c>
      <c r="BB7" s="3">
        <f t="shared" ca="1" si="24"/>
        <v>0</v>
      </c>
      <c r="BC7" s="3">
        <f t="shared" ca="1" si="8"/>
        <v>1</v>
      </c>
      <c r="BD7" s="2" t="str">
        <f ca="1">IF(BE7="","",IF(BE7="D/ST",MID(VLOOKUP($A7,INDIRECT("'"&amp;Summary!BD$1&amp;"'!$A$1:$S$17"),2,FALSE),1,FIND(" ",VLOOKUP($A7,INDIRECT("'"&amp;Summary!BD$1&amp;"'!$A$1:$S$17"),2,FALSE))+4),MID(VLOOKUP($A7,INDIRECT("'"&amp;Summary!BD$1&amp;"'!$A$1:$S$17"),2,FALSE),1,FIND(",",VLOOKUP($A7,INDIRECT("'"&amp;Summary!BD$1&amp;"'!$A$1:$S$17"),2,FALSE))-1)))</f>
        <v>Julio Jones</v>
      </c>
      <c r="BE7" s="2" t="str">
        <f ca="1">IF(ISNUMBER(SEARCH("QB",VLOOKUP($A7,INDIRECT("'"&amp;Summary!BD$1&amp;"'!$A$1:$S$17"),2,FALSE))),"QB",
IF(ISNUMBER(SEARCH("RB",VLOOKUP($A7,INDIRECT("'"&amp;Summary!BD$1&amp;"'!$A$1:$S$17"),2,FALSE))),"RB",
IF(ISNUMBER(SEARCH("WR",VLOOKUP($A7,INDIRECT("'"&amp;Summary!BD$1&amp;"'!$A$1:$S$17"),2,FALSE))),"WR",
IF(ISNUMBER(SEARCH("D/ST",VLOOKUP($A7,INDIRECT("'"&amp;Summary!BD$1&amp;"'!$A$1:$S$17"),2,FALSE))),"D/ST",
IF(ISNUMBER(SEARCH("TE",VLOOKUP($A7,INDIRECT("'"&amp;Summary!BD$1&amp;"'!$A$1:$S$17"),2,FALSE))),"TE","")))))</f>
        <v>WR</v>
      </c>
      <c r="BF7" s="2">
        <f ca="1">IF(BE7="","",IF(BE7&lt;&gt;"D/ST",VLOOKUP($A7,INDIRECT("'"&amp;Summary!BD$1&amp;"'!$A$1:$S$17"),19,FALSE),VLOOKUP($A7,INDIRECT("'"&amp;Summary!BD$1&amp;"'!$A$1:$S$17"),12,FALSE)))</f>
        <v>8.6999999999999993</v>
      </c>
      <c r="BG7" s="2">
        <f t="array" aca="1" ref="BG7" ca="1">IF(BE7="","",IF(BE7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7,INDIRECT("'"&amp;Summary!BD$1&amp;"'!$A$1:$A$17"),0)&amp;":$S"&amp;MATCH($A7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7,INDIRECT("'"&amp;Summary!BD$1&amp;"'!$A$1:$A$17"),0)&amp;":$S"&amp;MATCH($A7,INDIRECT("'"&amp;Summary!BD$1&amp;"'!$A$1:$A$17"),0)))))</f>
        <v>0</v>
      </c>
      <c r="BH7" s="3">
        <f t="shared" ca="1" si="25"/>
        <v>0</v>
      </c>
      <c r="BI7" s="3">
        <f t="shared" ca="1" si="9"/>
        <v>1</v>
      </c>
      <c r="BJ7" s="2" t="str">
        <f ca="1">IF(BK7="","",IF(BK7="D/ST",MID(VLOOKUP($A7,INDIRECT("'"&amp;Summary!BJ$1&amp;"'!$A$1:$S$17"),2,FALSE),1,FIND(" ",VLOOKUP($A7,INDIRECT("'"&amp;Summary!BJ$1&amp;"'!$A$1:$S$17"),2,FALSE))+4),MID(VLOOKUP($A7,INDIRECT("'"&amp;Summary!BJ$1&amp;"'!$A$1:$S$17"),2,FALSE),1,FIND(",",VLOOKUP($A7,INDIRECT("'"&amp;Summary!BJ$1&amp;"'!$A$1:$S$17"),2,FALSE))-1)))</f>
        <v>Julio Jones</v>
      </c>
      <c r="BK7" s="2" t="str">
        <f ca="1">IF(ISNUMBER(SEARCH("QB",VLOOKUP($A7,INDIRECT("'"&amp;Summary!BJ$1&amp;"'!$A$1:$S$17"),2,FALSE))),"QB",
IF(ISNUMBER(SEARCH("RB",VLOOKUP($A7,INDIRECT("'"&amp;Summary!BJ$1&amp;"'!$A$1:$S$17"),2,FALSE))),"RB",
IF(ISNUMBER(SEARCH("WR",VLOOKUP($A7,INDIRECT("'"&amp;Summary!BJ$1&amp;"'!$A$1:$S$17"),2,FALSE))),"WR",
IF(ISNUMBER(SEARCH("D/ST",VLOOKUP($A7,INDIRECT("'"&amp;Summary!BJ$1&amp;"'!$A$1:$S$17"),2,FALSE))),"D/ST",
IF(ISNUMBER(SEARCH("TE",VLOOKUP($A7,INDIRECT("'"&amp;Summary!BJ$1&amp;"'!$A$1:$S$17"),2,FALSE))),"TE","")))))</f>
        <v>WR</v>
      </c>
      <c r="BL7" s="2">
        <f ca="1">IF(BK7="","",IF(BK7&lt;&gt;"D/ST",VLOOKUP($A7,INDIRECT("'"&amp;Summary!BJ$1&amp;"'!$A$1:$S$17"),19,FALSE),VLOOKUP($A7,INDIRECT("'"&amp;Summary!BJ$1&amp;"'!$A$1:$S$17"),12,FALSE)))</f>
        <v>9.6</v>
      </c>
      <c r="BM7" s="2">
        <f t="array" aca="1" ref="BM7" ca="1">IF(BK7="","",IF(BK7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7,INDIRECT("'"&amp;Summary!BJ$1&amp;"'!$A$1:$A$17"),0)&amp;":$S"&amp;MATCH($A7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7,INDIRECT("'"&amp;Summary!BJ$1&amp;"'!$A$1:$A$17"),0)&amp;":$S"&amp;MATCH($A7,INDIRECT("'"&amp;Summary!BJ$1&amp;"'!$A$1:$A$17"),0)))))</f>
        <v>0</v>
      </c>
      <c r="BN7" s="3">
        <f t="shared" ca="1" si="26"/>
        <v>0</v>
      </c>
      <c r="BO7" s="3">
        <f t="shared" ca="1" si="10"/>
        <v>1</v>
      </c>
      <c r="BP7" s="2" t="str">
        <f ca="1">IF(BQ7="","",IF(BQ7="D/ST",MID(VLOOKUP($A7,INDIRECT("'"&amp;Summary!BP$1&amp;"'!$A$1:$S$17"),2,FALSE),1,FIND(" ",VLOOKUP($A7,INDIRECT("'"&amp;Summary!BP$1&amp;"'!$A$1:$S$17"),2,FALSE))+4),MID(VLOOKUP($A7,INDIRECT("'"&amp;Summary!BP$1&amp;"'!$A$1:$S$17"),2,FALSE),1,FIND(",",VLOOKUP($A7,INDIRECT("'"&amp;Summary!BP$1&amp;"'!$A$1:$S$17"),2,FALSE))-1)))</f>
        <v>Julio Jones</v>
      </c>
      <c r="BQ7" s="2" t="str">
        <f ca="1">IF(ISNUMBER(SEARCH("QB",VLOOKUP($A7,INDIRECT("'"&amp;Summary!BP$1&amp;"'!$A$1:$S$17"),2,FALSE))),"QB",
IF(ISNUMBER(SEARCH("RB",VLOOKUP($A7,INDIRECT("'"&amp;Summary!BP$1&amp;"'!$A$1:$S$17"),2,FALSE))),"RB",
IF(ISNUMBER(SEARCH("WR",VLOOKUP($A7,INDIRECT("'"&amp;Summary!BP$1&amp;"'!$A$1:$S$17"),2,FALSE))),"WR",
IF(ISNUMBER(SEARCH("D/ST",VLOOKUP($A7,INDIRECT("'"&amp;Summary!BP$1&amp;"'!$A$1:$S$17"),2,FALSE))),"D/ST",
IF(ISNUMBER(SEARCH("TE",VLOOKUP($A7,INDIRECT("'"&amp;Summary!BP$1&amp;"'!$A$1:$S$17"),2,FALSE))),"TE","")))))</f>
        <v>WR</v>
      </c>
      <c r="BR7" s="2">
        <f ca="1">IF(BQ7="","",IF(BQ7&lt;&gt;"D/ST",VLOOKUP($A7,INDIRECT("'"&amp;Summary!BP$1&amp;"'!$A$1:$S$17"),19,FALSE),VLOOKUP($A7,INDIRECT("'"&amp;Summary!BP$1&amp;"'!$A$1:$S$17"),12,FALSE)))</f>
        <v>44.8</v>
      </c>
      <c r="BS7" s="2">
        <f t="array" aca="1" ref="BS7" ca="1">IF(BQ7="","",IF(BQ7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7,INDIRECT("'"&amp;Summary!BP$1&amp;"'!$A$1:$A$17"),0)&amp;":$S"&amp;MATCH($A7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7,INDIRECT("'"&amp;Summary!BP$1&amp;"'!$A$1:$A$17"),0)&amp;":$S"&amp;MATCH($A7,INDIRECT("'"&amp;Summary!BP$1&amp;"'!$A$1:$A$17"),0)))))</f>
        <v>2</v>
      </c>
      <c r="BT7" s="3">
        <f t="shared" ca="1" si="27"/>
        <v>0.26785714285714285</v>
      </c>
      <c r="BU7" s="3">
        <f t="shared" ca="1" si="11"/>
        <v>0.73214285714285721</v>
      </c>
      <c r="BV7" s="2" t="str">
        <f ca="1">IF(BW7="","",IF(BW7="D/ST",MID(VLOOKUP($A7,INDIRECT("'"&amp;Summary!BV$1&amp;"'!$A$1:$S$17"),2,FALSE),1,FIND(" ",VLOOKUP($A7,INDIRECT("'"&amp;Summary!BV$1&amp;"'!$A$1:$S$17"),2,FALSE))+4),MID(VLOOKUP($A7,INDIRECT("'"&amp;Summary!BV$1&amp;"'!$A$1:$S$17"),2,FALSE),1,FIND(",",VLOOKUP($A7,INDIRECT("'"&amp;Summary!BV$1&amp;"'!$A$1:$S$17"),2,FALSE))-1)))</f>
        <v>Julio Jones</v>
      </c>
      <c r="BW7" s="2" t="str">
        <f ca="1">IF(ISNUMBER(SEARCH("QB",VLOOKUP($A7,INDIRECT("'"&amp;Summary!BV$1&amp;"'!$A$1:$S$17"),2,FALSE))),"QB",
IF(ISNUMBER(SEARCH("RB",VLOOKUP($A7,INDIRECT("'"&amp;Summary!BV$1&amp;"'!$A$1:$S$17"),2,FALSE))),"RB",
IF(ISNUMBER(SEARCH("WR",VLOOKUP($A7,INDIRECT("'"&amp;Summary!BV$1&amp;"'!$A$1:$S$17"),2,FALSE))),"WR",
IF(ISNUMBER(SEARCH("D/ST",VLOOKUP($A7,INDIRECT("'"&amp;Summary!BV$1&amp;"'!$A$1:$S$17"),2,FALSE))),"D/ST",
IF(ISNUMBER(SEARCH("TE",VLOOKUP($A7,INDIRECT("'"&amp;Summary!BV$1&amp;"'!$A$1:$S$17"),2,FALSE))),"TE","")))))</f>
        <v>WR</v>
      </c>
      <c r="BX7" s="2">
        <f ca="1">IF(BW7="","",IF(BW7&lt;&gt;"D/ST",VLOOKUP($A7,INDIRECT("'"&amp;Summary!BV$1&amp;"'!$A$1:$S$17"),19,FALSE),VLOOKUP($A7,INDIRECT("'"&amp;Summary!BV$1&amp;"'!$A$1:$S$17"),12,FALSE)))</f>
        <v>3.4</v>
      </c>
      <c r="BY7" s="2">
        <f t="array" aca="1" ref="BY7" ca="1">IF(BW7="","",IF(BW7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7,INDIRECT("'"&amp;Summary!BV$1&amp;"'!$A$1:$A$17"),0)&amp;":$S"&amp;MATCH($A7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7,INDIRECT("'"&amp;Summary!BV$1&amp;"'!$A$1:$A$17"),0)&amp;":$S"&amp;MATCH($A7,INDIRECT("'"&amp;Summary!BV$1&amp;"'!$A$1:$A$17"),0)))))</f>
        <v>0</v>
      </c>
      <c r="BZ7" s="3">
        <f t="shared" ca="1" si="28"/>
        <v>0</v>
      </c>
      <c r="CA7" s="3">
        <f t="shared" ca="1" si="12"/>
        <v>1</v>
      </c>
      <c r="CB7" s="2" t="str">
        <f ca="1">IF(CC7="","",IF(CC7="D/ST",MID(VLOOKUP($A7,INDIRECT("'"&amp;Summary!CB$1&amp;"'!$A$1:$S$17"),2,FALSE),1,FIND(" ",VLOOKUP($A7,INDIRECT("'"&amp;Summary!CB$1&amp;"'!$A$1:$S$17"),2,FALSE))+4),MID(VLOOKUP($A7,INDIRECT("'"&amp;Summary!CB$1&amp;"'!$A$1:$S$17"),2,FALSE),1,FIND(",",VLOOKUP($A7,INDIRECT("'"&amp;Summary!CB$1&amp;"'!$A$1:$S$17"),2,FALSE))-1)))</f>
        <v>Julio Jones</v>
      </c>
      <c r="CC7" s="2" t="str">
        <f ca="1">IF(ISNUMBER(SEARCH("QB",VLOOKUP($A7,INDIRECT("'"&amp;Summary!CB$1&amp;"'!$A$1:$S$17"),2,FALSE))),"QB",
IF(ISNUMBER(SEARCH("RB",VLOOKUP($A7,INDIRECT("'"&amp;Summary!CB$1&amp;"'!$A$1:$S$17"),2,FALSE))),"RB",
IF(ISNUMBER(SEARCH("WR",VLOOKUP($A7,INDIRECT("'"&amp;Summary!CB$1&amp;"'!$A$1:$S$17"),2,FALSE))),"WR",
IF(ISNUMBER(SEARCH("D/ST",VLOOKUP($A7,INDIRECT("'"&amp;Summary!CB$1&amp;"'!$A$1:$S$17"),2,FALSE))),"D/ST",
IF(ISNUMBER(SEARCH("TE",VLOOKUP($A7,INDIRECT("'"&amp;Summary!CB$1&amp;"'!$A$1:$S$17"),2,FALSE))),"TE","")))))</f>
        <v>WR</v>
      </c>
      <c r="CD7" s="2">
        <f ca="1">IF(CC7="","",IF(CC7&lt;&gt;"D/ST",VLOOKUP($A7,INDIRECT("'"&amp;Summary!CB$1&amp;"'!$A$1:$S$17"),19,FALSE),VLOOKUP($A7,INDIRECT("'"&amp;Summary!CB$1&amp;"'!$A$1:$S$17"),12,FALSE)))</f>
        <v>12.3</v>
      </c>
      <c r="CE7" s="2">
        <f t="array" aca="1" ref="CE7" ca="1">IF(CC7="","",IF(CC7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7,INDIRECT("'"&amp;Summary!CB$1&amp;"'!$A$1:$A$17"),0)&amp;":$S"&amp;MATCH($A7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7,INDIRECT("'"&amp;Summary!CB$1&amp;"'!$A$1:$A$17"),0)&amp;":$S"&amp;MATCH($A7,INDIRECT("'"&amp;Summary!CB$1&amp;"'!$A$1:$A$17"),0)))))</f>
        <v>0</v>
      </c>
      <c r="CF7" s="3">
        <f t="shared" ca="1" si="29"/>
        <v>0</v>
      </c>
      <c r="CG7" s="3">
        <f t="shared" ca="1" si="13"/>
        <v>1</v>
      </c>
      <c r="CH7" s="2" t="str">
        <f ca="1">IF(CI7="","",IF(CI7="D/ST",MID(VLOOKUP($A7,INDIRECT("'"&amp;Summary!CH$1&amp;"'!$A$1:$S$17"),2,FALSE),1,FIND(" ",VLOOKUP($A7,INDIRECT("'"&amp;Summary!CH$1&amp;"'!$A$1:$S$17"),2,FALSE))+4),MID(VLOOKUP($A7,INDIRECT("'"&amp;Summary!CH$1&amp;"'!$A$1:$S$17"),2,FALSE),1,FIND(",",VLOOKUP($A7,INDIRECT("'"&amp;Summary!CH$1&amp;"'!$A$1:$S$17"),2,FALSE))-1)))</f>
        <v>Julio Jones</v>
      </c>
      <c r="CI7" s="2" t="str">
        <f ca="1">IF(ISNUMBER(SEARCH("QB",VLOOKUP($A7,INDIRECT("'"&amp;Summary!CH$1&amp;"'!$A$1:$S$17"),2,FALSE))),"QB",
IF(ISNUMBER(SEARCH("RB",VLOOKUP($A7,INDIRECT("'"&amp;Summary!CH$1&amp;"'!$A$1:$S$17"),2,FALSE))),"RB",
IF(ISNUMBER(SEARCH("WR",VLOOKUP($A7,INDIRECT("'"&amp;Summary!CH$1&amp;"'!$A$1:$S$17"),2,FALSE))),"WR",
IF(ISNUMBER(SEARCH("D/ST",VLOOKUP($A7,INDIRECT("'"&amp;Summary!CH$1&amp;"'!$A$1:$S$17"),2,FALSE))),"D/ST",
IF(ISNUMBER(SEARCH("TE",VLOOKUP($A7,INDIRECT("'"&amp;Summary!CH$1&amp;"'!$A$1:$S$17"),2,FALSE))),"TE","")))))</f>
        <v>WR</v>
      </c>
      <c r="CJ7" s="2">
        <f ca="1">IF(CI7="","",IF(CI7&lt;&gt;"D/ST",VLOOKUP($A7,INDIRECT("'"&amp;Summary!CH$1&amp;"'!$A$1:$S$17"),19,FALSE),VLOOKUP($A7,INDIRECT("'"&amp;Summary!CH$1&amp;"'!$A$1:$S$17"),12,FALSE)))</f>
        <v>6.9</v>
      </c>
      <c r="CK7" s="2">
        <f t="array" aca="1" ref="CK7" ca="1">IF(CI7="","",IF(CI7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7,INDIRECT("'"&amp;Summary!CH$1&amp;"'!$A$1:$A$17"),0)&amp;":$S"&amp;MATCH($A7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7,INDIRECT("'"&amp;Summary!CH$1&amp;"'!$A$1:$A$17"),0)&amp;":$S"&amp;MATCH($A7,INDIRECT("'"&amp;Summary!CH$1&amp;"'!$A$1:$A$17"),0)))))</f>
        <v>0</v>
      </c>
      <c r="CL7" s="3">
        <f t="shared" ca="1" si="30"/>
        <v>0</v>
      </c>
      <c r="CM7" s="3">
        <f t="shared" ca="1" si="14"/>
        <v>1</v>
      </c>
      <c r="CN7" s="2" t="str">
        <f ca="1">IF(CO7="","",IF(CO7="D/ST",MID(VLOOKUP($A7,INDIRECT("'"&amp;Summary!CN$1&amp;"'!$A$1:$S$17"),2,FALSE),1,FIND(" ",VLOOKUP($A7,INDIRECT("'"&amp;Summary!CN$1&amp;"'!$A$1:$S$17"),2,FALSE))+4),MID(VLOOKUP($A7,INDIRECT("'"&amp;Summary!CN$1&amp;"'!$A$1:$S$17"),2,FALSE),1,FIND(",",VLOOKUP($A7,INDIRECT("'"&amp;Summary!CN$1&amp;"'!$A$1:$S$17"),2,FALSE))-1)))</f>
        <v>Julio Jones</v>
      </c>
      <c r="CO7" s="2" t="str">
        <f ca="1">IF(ISNUMBER(SEARCH("QB",VLOOKUP($A7,INDIRECT("'"&amp;Summary!CN$1&amp;"'!$A$1:$S$17"),2,FALSE))),"QB",
IF(ISNUMBER(SEARCH("RB",VLOOKUP($A7,INDIRECT("'"&amp;Summary!CN$1&amp;"'!$A$1:$S$17"),2,FALSE))),"RB",
IF(ISNUMBER(SEARCH("WR",VLOOKUP($A7,INDIRECT("'"&amp;Summary!CN$1&amp;"'!$A$1:$S$17"),2,FALSE))),"WR",
IF(ISNUMBER(SEARCH("D/ST",VLOOKUP($A7,INDIRECT("'"&amp;Summary!CN$1&amp;"'!$A$1:$S$17"),2,FALSE))),"D/ST",
IF(ISNUMBER(SEARCH("TE",VLOOKUP($A7,INDIRECT("'"&amp;Summary!CN$1&amp;"'!$A$1:$S$17"),2,FALSE))),"TE","")))))</f>
        <v>WR</v>
      </c>
      <c r="CP7" s="2">
        <f ca="1">IF(CO7="","",IF(CO7&lt;&gt;"D/ST",VLOOKUP($A7,INDIRECT("'"&amp;Summary!CN$1&amp;"'!$A$1:$S$17"),19,FALSE),VLOOKUP($A7,INDIRECT("'"&amp;Summary!CN$1&amp;"'!$A$1:$S$17"),12,FALSE)))</f>
        <v>18.399999999999999</v>
      </c>
      <c r="CQ7" s="2">
        <f t="array" aca="1" ref="CQ7" ca="1">IF(CO7="","",IF(CO7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7,INDIRECT("'"&amp;Summary!CN$1&amp;"'!$A$1:$A$17"),0)&amp;":$S"&amp;MATCH($A7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7,INDIRECT("'"&amp;Summary!CN$1&amp;"'!$A$1:$A$17"),0)&amp;":$S"&amp;MATCH($A7,INDIRECT("'"&amp;Summary!CN$1&amp;"'!$A$1:$A$17"),0)))))</f>
        <v>0</v>
      </c>
      <c r="CR7" s="3">
        <f t="shared" ca="1" si="31"/>
        <v>0</v>
      </c>
      <c r="CS7" s="3">
        <f t="shared" ca="1" si="15"/>
        <v>1</v>
      </c>
    </row>
    <row r="8" spans="1:97" ht="16.25" thickTop="1" thickBot="1" x14ac:dyDescent="0.9">
      <c r="A8" s="2" t="s">
        <v>36</v>
      </c>
      <c r="B8" s="2" t="str">
        <f ca="1">IF(C8="","",IF(C8="D/ST",MID(VLOOKUP($A8,INDIRECT("'"&amp;Summary!B$1&amp;"'!$A$1:$S$17"),2,FALSE),1,FIND(" ",VLOOKUP($A8,INDIRECT("'"&amp;Summary!B$1&amp;"'!$A$1:$S$17"),2,FALSE))+4),MID(VLOOKUP($A8,INDIRECT("'"&amp;Summary!B$1&amp;"'!$A$1:$S$17"),2,FALSE),1,FIND(",",VLOOKUP($A8,INDIRECT("'"&amp;Summary!B$1&amp;"'!$A$1:$S$17"),2,FALSE))-1)))</f>
        <v>Zach Ertz</v>
      </c>
      <c r="C8" s="2" t="str">
        <f ca="1">IF(ISNUMBER(SEARCH("QB",VLOOKUP($A8,INDIRECT("'"&amp;Summary!B$1&amp;"'!$A$1:$S$17"),2,FALSE))),"QB",
IF(ISNUMBER(SEARCH("RB",VLOOKUP($A8,INDIRECT("'"&amp;Summary!B$1&amp;"'!$A$1:$S$17"),2,FALSE))),"RB",
IF(ISNUMBER(SEARCH("WR",VLOOKUP($A8,INDIRECT("'"&amp;Summary!B$1&amp;"'!$A$1:$S$17"),2,FALSE))),"WR",
IF(ISNUMBER(SEARCH("D/ST",VLOOKUP($A8,INDIRECT("'"&amp;Summary!B$1&amp;"'!$A$1:$S$17"),2,FALSE))),"D/ST",
IF(ISNUMBER(SEARCH("TE",VLOOKUP($A8,INDIRECT("'"&amp;Summary!B$1&amp;"'!$A$1:$S$17"),2,FALSE))),"TE","")))))</f>
        <v>TE</v>
      </c>
      <c r="D8" s="2">
        <f ca="1">IF(C8="","",IF(C8&lt;&gt;"D/ST",VLOOKUP($A8,INDIRECT("'"&amp;Summary!B$1&amp;"'!$A$1:$S$17"),19,FALSE),VLOOKUP($A8,INDIRECT("'"&amp;Summary!B$1&amp;"'!$A$1:$S$17"),12,FALSE)))</f>
        <v>13.3</v>
      </c>
      <c r="E8" s="2">
        <f t="array" aca="1" ref="E8" ca="1">IF(C8="","",IF(C8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8,INDIRECT("'"&amp;Summary!B$1&amp;"'!$A$1:$A$17"),0)&amp;":$S"&amp;MATCH($A8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8,INDIRECT("'"&amp;Summary!B$1&amp;"'!$A$1:$A$17"),0)&amp;":$S"&amp;MATCH($A8,INDIRECT("'"&amp;Summary!B$1&amp;"'!$A$1:$A$17"),0)))))</f>
        <v>0</v>
      </c>
      <c r="F8" s="3">
        <f t="shared" ca="1" si="16"/>
        <v>0</v>
      </c>
      <c r="G8" s="3">
        <f t="shared" ca="1" si="0"/>
        <v>1</v>
      </c>
      <c r="H8" s="2" t="str">
        <f ca="1">IF(I8="","",IF(I8="D/ST",MID(VLOOKUP($A8,INDIRECT("'"&amp;Summary!H$1&amp;"'!$A$1:$S$17"),2,FALSE),1,FIND(" ",VLOOKUP($A8,INDIRECT("'"&amp;Summary!H$1&amp;"'!$A$1:$S$17"),2,FALSE))+4),MID(VLOOKUP($A8,INDIRECT("'"&amp;Summary!H$1&amp;"'!$A$1:$S$17"),2,FALSE),1,FIND(",",VLOOKUP($A8,INDIRECT("'"&amp;Summary!H$1&amp;"'!$A$1:$S$17"),2,FALSE))-1)))</f>
        <v>Zach Ertz</v>
      </c>
      <c r="I8" s="2" t="str">
        <f ca="1">IF(ISNUMBER(SEARCH("QB",VLOOKUP($A8,INDIRECT("'"&amp;Summary!H$1&amp;"'!$A$1:$S$17"),2,FALSE))),"QB",
IF(ISNUMBER(SEARCH("RB",VLOOKUP($A8,INDIRECT("'"&amp;Summary!H$1&amp;"'!$A$1:$S$17"),2,FALSE))),"RB",
IF(ISNUMBER(SEARCH("WR",VLOOKUP($A8,INDIRECT("'"&amp;Summary!H$1&amp;"'!$A$1:$S$17"),2,FALSE))),"WR",
IF(ISNUMBER(SEARCH("D/ST",VLOOKUP($A8,INDIRECT("'"&amp;Summary!H$1&amp;"'!$A$1:$S$17"),2,FALSE))),"D/ST",
IF(ISNUMBER(SEARCH("TE",VLOOKUP($A8,INDIRECT("'"&amp;Summary!H$1&amp;"'!$A$1:$S$17"),2,FALSE))),"TE","")))))</f>
        <v>TE</v>
      </c>
      <c r="J8" s="2">
        <f ca="1">IF(I8="","",IF(I8&lt;&gt;"D/ST",VLOOKUP($A8,INDIRECT("'"&amp;Summary!H$1&amp;"'!$A$1:$S$17"),19,FALSE),VLOOKUP($A8,INDIRECT("'"&amp;Summary!H$1&amp;"'!$A$1:$S$17"),12,FALSE)))</f>
        <v>12.2</v>
      </c>
      <c r="K8" s="2">
        <f t="array" aca="1" ref="K8" ca="1">IF(I8="","",IF(I8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8,INDIRECT("'"&amp;Summary!H$1&amp;"'!$A$1:$A$17"),0)&amp;":$S"&amp;MATCH($A8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8,INDIRECT("'"&amp;Summary!H$1&amp;"'!$A$1:$A$17"),0)&amp;":$S"&amp;MATCH($A8,INDIRECT("'"&amp;Summary!H$1&amp;"'!$A$1:$A$17"),0)))))</f>
        <v>0</v>
      </c>
      <c r="L8" s="3">
        <f t="shared" ca="1" si="17"/>
        <v>0</v>
      </c>
      <c r="M8" s="3">
        <f t="shared" ca="1" si="1"/>
        <v>1</v>
      </c>
      <c r="N8" s="2" t="str">
        <f ca="1">IF(O8="","",IF(O8="D/ST",MID(VLOOKUP($A8,INDIRECT("'"&amp;Summary!N$1&amp;"'!$A$1:$S$17"),2,FALSE),1,FIND(" ",VLOOKUP($A8,INDIRECT("'"&amp;Summary!N$1&amp;"'!$A$1:$S$17"),2,FALSE))+4),MID(VLOOKUP($A8,INDIRECT("'"&amp;Summary!N$1&amp;"'!$A$1:$S$17"),2,FALSE),1,FIND(",",VLOOKUP($A8,INDIRECT("'"&amp;Summary!N$1&amp;"'!$A$1:$S$17"),2,FALSE))-1)))</f>
        <v>Zach Ertz</v>
      </c>
      <c r="O8" s="2" t="str">
        <f ca="1">IF(ISNUMBER(SEARCH("QB",VLOOKUP($A8,INDIRECT("'"&amp;Summary!N$1&amp;"'!$A$1:$S$17"),2,FALSE))),"QB",
IF(ISNUMBER(SEARCH("RB",VLOOKUP($A8,INDIRECT("'"&amp;Summary!N$1&amp;"'!$A$1:$S$17"),2,FALSE))),"RB",
IF(ISNUMBER(SEARCH("WR",VLOOKUP($A8,INDIRECT("'"&amp;Summary!N$1&amp;"'!$A$1:$S$17"),2,FALSE))),"WR",
IF(ISNUMBER(SEARCH("D/ST",VLOOKUP($A8,INDIRECT("'"&amp;Summary!N$1&amp;"'!$A$1:$S$17"),2,FALSE))),"D/ST",
IF(ISNUMBER(SEARCH("TE",VLOOKUP($A8,INDIRECT("'"&amp;Summary!N$1&amp;"'!$A$1:$S$17"),2,FALSE))),"TE","")))))</f>
        <v>TE</v>
      </c>
      <c r="P8" s="2">
        <f ca="1">IF(O8="","",IF(O8&lt;&gt;"D/ST",VLOOKUP($A8,INDIRECT("'"&amp;Summary!N$1&amp;"'!$A$1:$S$17"),19,FALSE),VLOOKUP($A8,INDIRECT("'"&amp;Summary!N$1&amp;"'!$A$1:$S$17"),12,FALSE)))</f>
        <v>13.5</v>
      </c>
      <c r="Q8" s="2">
        <f t="array" aca="1" ref="Q8" ca="1">IF(O8="","",IF(O8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8,INDIRECT("'"&amp;Summary!N$1&amp;"'!$A$1:$A$17"),0)&amp;":$S"&amp;MATCH($A8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8,INDIRECT("'"&amp;Summary!N$1&amp;"'!$A$1:$A$17"),0)&amp;":$S"&amp;MATCH($A8,INDIRECT("'"&amp;Summary!N$1&amp;"'!$A$1:$A$17"),0)))))</f>
        <v>1</v>
      </c>
      <c r="R8" s="3">
        <f t="shared" ca="1" si="18"/>
        <v>0.44444444444444442</v>
      </c>
      <c r="S8" s="3">
        <f t="shared" ca="1" si="2"/>
        <v>0.55555555555555558</v>
      </c>
      <c r="T8" s="2" t="str">
        <f ca="1">IF(U8="","",IF(U8="D/ST",MID(VLOOKUP($A8,INDIRECT("'"&amp;Summary!T$1&amp;"'!$A$1:$S$17"),2,FALSE),1,FIND(" ",VLOOKUP($A8,INDIRECT("'"&amp;Summary!T$1&amp;"'!$A$1:$S$17"),2,FALSE))+4),MID(VLOOKUP($A8,INDIRECT("'"&amp;Summary!T$1&amp;"'!$A$1:$S$17"),2,FALSE),1,FIND(",",VLOOKUP($A8,INDIRECT("'"&amp;Summary!T$1&amp;"'!$A$1:$S$17"),2,FALSE))-1)))</f>
        <v>Zach Ertz</v>
      </c>
      <c r="U8" s="2" t="str">
        <f ca="1">IF(ISNUMBER(SEARCH("QB",VLOOKUP($A8,INDIRECT("'"&amp;Summary!T$1&amp;"'!$A$1:$S$17"),2,FALSE))),"QB",
IF(ISNUMBER(SEARCH("RB",VLOOKUP($A8,INDIRECT("'"&amp;Summary!T$1&amp;"'!$A$1:$S$17"),2,FALSE))),"RB",
IF(ISNUMBER(SEARCH("WR",VLOOKUP($A8,INDIRECT("'"&amp;Summary!T$1&amp;"'!$A$1:$S$17"),2,FALSE))),"WR",
IF(ISNUMBER(SEARCH("D/ST",VLOOKUP($A8,INDIRECT("'"&amp;Summary!T$1&amp;"'!$A$1:$S$17"),2,FALSE))),"D/ST",
IF(ISNUMBER(SEARCH("TE",VLOOKUP($A8,INDIRECT("'"&amp;Summary!T$1&amp;"'!$A$1:$S$17"),2,FALSE))),"TE","")))))</f>
        <v>TE</v>
      </c>
      <c r="V8" s="2">
        <f ca="1">IF(U8="","",IF(U8&lt;&gt;"D/ST",VLOOKUP($A8,INDIRECT("'"&amp;Summary!T$1&amp;"'!$A$1:$S$17"),19,FALSE),VLOOKUP($A8,INDIRECT("'"&amp;Summary!T$1&amp;"'!$A$1:$S$17"),12,FALSE)))</f>
        <v>10.6</v>
      </c>
      <c r="W8" s="2">
        <f t="array" aca="1" ref="W8" ca="1">IF(U8="","",IF(U8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8,INDIRECT("'"&amp;Summary!T$1&amp;"'!$A$1:$A$17"),0)&amp;":$S"&amp;MATCH($A8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8,INDIRECT("'"&amp;Summary!T$1&amp;"'!$A$1:$A$17"),0)&amp;":$S"&amp;MATCH($A8,INDIRECT("'"&amp;Summary!T$1&amp;"'!$A$1:$A$17"),0)))))</f>
        <v>0</v>
      </c>
      <c r="X8" s="3">
        <f t="shared" ca="1" si="19"/>
        <v>0</v>
      </c>
      <c r="Y8" s="3">
        <f t="shared" ca="1" si="3"/>
        <v>1</v>
      </c>
      <c r="Z8" s="2" t="str">
        <f ca="1">IF(AA8="","",IF(AA8="D/ST",MID(VLOOKUP($A8,INDIRECT("'"&amp;Summary!Z$1&amp;"'!$A$1:$S$17"),2,FALSE),1,FIND(" ",VLOOKUP($A8,INDIRECT("'"&amp;Summary!Z$1&amp;"'!$A$1:$S$17"),2,FALSE))+4),MID(VLOOKUP($A8,INDIRECT("'"&amp;Summary!Z$1&amp;"'!$A$1:$S$17"),2,FALSE),1,FIND(",",VLOOKUP($A8,INDIRECT("'"&amp;Summary!Z$1&amp;"'!$A$1:$S$17"),2,FALSE))-1)))</f>
        <v>Zach Ertz</v>
      </c>
      <c r="AA8" s="2" t="str">
        <f ca="1">IF(ISNUMBER(SEARCH("QB",VLOOKUP($A8,INDIRECT("'"&amp;Summary!Z$1&amp;"'!$A$1:$S$17"),2,FALSE))),"QB",
IF(ISNUMBER(SEARCH("RB",VLOOKUP($A8,INDIRECT("'"&amp;Summary!Z$1&amp;"'!$A$1:$S$17"),2,FALSE))),"RB",
IF(ISNUMBER(SEARCH("WR",VLOOKUP($A8,INDIRECT("'"&amp;Summary!Z$1&amp;"'!$A$1:$S$17"),2,FALSE))),"WR",
IF(ISNUMBER(SEARCH("D/ST",VLOOKUP($A8,INDIRECT("'"&amp;Summary!Z$1&amp;"'!$A$1:$S$17"),2,FALSE))),"D/ST",
IF(ISNUMBER(SEARCH("TE",VLOOKUP($A8,INDIRECT("'"&amp;Summary!Z$1&amp;"'!$A$1:$S$17"),2,FALSE))),"TE","")))))</f>
        <v>TE</v>
      </c>
      <c r="AB8" s="2">
        <f ca="1">IF(AA8="","",IF(AA8&lt;&gt;"D/ST",VLOOKUP($A8,INDIRECT("'"&amp;Summary!Z$1&amp;"'!$A$1:$S$17"),19,FALSE),VLOOKUP($A8,INDIRECT("'"&amp;Summary!Z$1&amp;"'!$A$1:$S$17"),12,FALSE)))</f>
        <v>15.1</v>
      </c>
      <c r="AC8" s="2">
        <f t="array" aca="1" ref="AC8" ca="1">IF(AA8="","",IF(AA8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8,INDIRECT("'"&amp;Summary!Z$1&amp;"'!$A$1:$A$17"),0)&amp;":$S"&amp;MATCH($A8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8,INDIRECT("'"&amp;Summary!Z$1&amp;"'!$A$1:$A$17"),0)&amp;":$S"&amp;MATCH($A8,INDIRECT("'"&amp;Summary!Z$1&amp;"'!$A$1:$A$17"),0)))))</f>
        <v>1</v>
      </c>
      <c r="AD8" s="3">
        <f t="shared" ca="1" si="20"/>
        <v>0.39735099337748347</v>
      </c>
      <c r="AE8" s="3">
        <f t="shared" ca="1" si="4"/>
        <v>0.60264900662251653</v>
      </c>
      <c r="AF8" s="2" t="str">
        <f ca="1">IF(AG8="","",IF(AG8="D/ST",MID(VLOOKUP($A8,INDIRECT("'"&amp;Summary!AF$1&amp;"'!$A$1:$S$17"),2,FALSE),1,FIND(" ",VLOOKUP($A8,INDIRECT("'"&amp;Summary!AF$1&amp;"'!$A$1:$S$17"),2,FALSE))+4),MID(VLOOKUP($A8,INDIRECT("'"&amp;Summary!AF$1&amp;"'!$A$1:$S$17"),2,FALSE),1,FIND(",",VLOOKUP($A8,INDIRECT("'"&amp;Summary!AF$1&amp;"'!$A$1:$S$17"),2,FALSE))-1)))</f>
        <v>Austin Seferian-Jenkins</v>
      </c>
      <c r="AG8" s="2" t="str">
        <f ca="1">IF(ISNUMBER(SEARCH("QB",VLOOKUP($A8,INDIRECT("'"&amp;Summary!AF$1&amp;"'!$A$1:$S$17"),2,FALSE))),"QB",
IF(ISNUMBER(SEARCH("RB",VLOOKUP($A8,INDIRECT("'"&amp;Summary!AF$1&amp;"'!$A$1:$S$17"),2,FALSE))),"RB",
IF(ISNUMBER(SEARCH("WR",VLOOKUP($A8,INDIRECT("'"&amp;Summary!AF$1&amp;"'!$A$1:$S$17"),2,FALSE))),"WR",
IF(ISNUMBER(SEARCH("D/ST",VLOOKUP($A8,INDIRECT("'"&amp;Summary!AF$1&amp;"'!$A$1:$S$17"),2,FALSE))),"D/ST",
IF(ISNUMBER(SEARCH("TE",VLOOKUP($A8,INDIRECT("'"&amp;Summary!AF$1&amp;"'!$A$1:$S$17"),2,FALSE))),"TE","")))))</f>
        <v>TE</v>
      </c>
      <c r="AH8" s="2">
        <f ca="1">IF(AG8="","",IF(AG8&lt;&gt;"D/ST",VLOOKUP($A8,INDIRECT("'"&amp;Summary!AF$1&amp;"'!$A$1:$S$17"),19,FALSE),VLOOKUP($A8,INDIRECT("'"&amp;Summary!AF$1&amp;"'!$A$1:$S$17"),12,FALSE)))</f>
        <v>12.6</v>
      </c>
      <c r="AI8" s="2">
        <f t="array" aca="1" ref="AI8" ca="1">IF(AG8="","",IF(AG8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8,INDIRECT("'"&amp;Summary!AF$1&amp;"'!$A$1:$A$17"),0)&amp;":$S"&amp;MATCH($A8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8,INDIRECT("'"&amp;Summary!AF$1&amp;"'!$A$1:$A$17"),0)&amp;":$S"&amp;MATCH($A8,INDIRECT("'"&amp;Summary!AF$1&amp;"'!$A$1:$A$17"),0)))))</f>
        <v>1</v>
      </c>
      <c r="AJ8" s="3">
        <f t="shared" ca="1" si="21"/>
        <v>0.47619047619047622</v>
      </c>
      <c r="AK8" s="3">
        <f t="shared" ca="1" si="5"/>
        <v>0.52380952380952372</v>
      </c>
      <c r="AL8" s="2" t="str">
        <f ca="1">IF(AM8="","",IF(AM8="D/ST",MID(VLOOKUP($A8,INDIRECT("'"&amp;Summary!AL$1&amp;"'!$A$1:$S$17"),2,FALSE),1,FIND(" ",VLOOKUP($A8,INDIRECT("'"&amp;Summary!AL$1&amp;"'!$A$1:$S$17"),2,FALSE))+4),MID(VLOOKUP($A8,INDIRECT("'"&amp;Summary!AL$1&amp;"'!$A$1:$S$17"),2,FALSE),1,FIND(",",VLOOKUP($A8,INDIRECT("'"&amp;Summary!AL$1&amp;"'!$A$1:$S$17"),2,FALSE))-1)))</f>
        <v>Austin Seferian-Jenkins</v>
      </c>
      <c r="AM8" s="2" t="str">
        <f ca="1">IF(ISNUMBER(SEARCH("QB",VLOOKUP($A8,INDIRECT("'"&amp;Summary!AL$1&amp;"'!$A$1:$S$17"),2,FALSE))),"QB",
IF(ISNUMBER(SEARCH("RB",VLOOKUP($A8,INDIRECT("'"&amp;Summary!AL$1&amp;"'!$A$1:$S$17"),2,FALSE))),"RB",
IF(ISNUMBER(SEARCH("WR",VLOOKUP($A8,INDIRECT("'"&amp;Summary!AL$1&amp;"'!$A$1:$S$17"),2,FALSE))),"WR",
IF(ISNUMBER(SEARCH("D/ST",VLOOKUP($A8,INDIRECT("'"&amp;Summary!AL$1&amp;"'!$A$1:$S$17"),2,FALSE))),"D/ST",
IF(ISNUMBER(SEARCH("TE",VLOOKUP($A8,INDIRECT("'"&amp;Summary!AL$1&amp;"'!$A$1:$S$17"),2,FALSE))),"TE","")))))</f>
        <v>TE</v>
      </c>
      <c r="AN8" s="2">
        <f ca="1">IF(AM8="","",IF(AM8&lt;&gt;"D/ST",VLOOKUP($A8,INDIRECT("'"&amp;Summary!AL$1&amp;"'!$A$1:$S$17"),19,FALSE),VLOOKUP($A8,INDIRECT("'"&amp;Summary!AL$1&amp;"'!$A$1:$S$17"),12,FALSE)))</f>
        <v>9.6</v>
      </c>
      <c r="AO8" s="2">
        <f t="array" aca="1" ref="AO8" ca="1">IF(AM8="","",IF(AM8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8,INDIRECT("'"&amp;Summary!AL$1&amp;"'!$A$1:$A$17"),0)&amp;":$S"&amp;MATCH($A8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8,INDIRECT("'"&amp;Summary!AL$1&amp;"'!$A$1:$A$17"),0)&amp;":$S"&amp;MATCH($A8,INDIRECT("'"&amp;Summary!AL$1&amp;"'!$A$1:$A$17"),0)))))</f>
        <v>1</v>
      </c>
      <c r="AP8" s="3">
        <f t="shared" ca="1" si="22"/>
        <v>0.625</v>
      </c>
      <c r="AQ8" s="3">
        <f t="shared" ca="1" si="6"/>
        <v>0.375</v>
      </c>
      <c r="AR8" s="2" t="str">
        <f ca="1">IF(AS8="","",IF(AS8="D/ST",MID(VLOOKUP($A8,INDIRECT("'"&amp;Summary!AR$1&amp;"'!$A$1:$S$17"),2,FALSE),1,FIND(" ",VLOOKUP($A8,INDIRECT("'"&amp;Summary!AR$1&amp;"'!$A$1:$S$17"),2,FALSE))+4),MID(VLOOKUP($A8,INDIRECT("'"&amp;Summary!AR$1&amp;"'!$A$1:$S$17"),2,FALSE),1,FIND(",",VLOOKUP($A8,INDIRECT("'"&amp;Summary!AR$1&amp;"'!$A$1:$S$17"),2,FALSE))-1)))</f>
        <v>Austin Seferian-Jenkins</v>
      </c>
      <c r="AS8" s="2" t="str">
        <f ca="1">IF(ISNUMBER(SEARCH("QB",VLOOKUP($A8,INDIRECT("'"&amp;Summary!AR$1&amp;"'!$A$1:$S$17"),2,FALSE))),"QB",
IF(ISNUMBER(SEARCH("RB",VLOOKUP($A8,INDIRECT("'"&amp;Summary!AR$1&amp;"'!$A$1:$S$17"),2,FALSE))),"RB",
IF(ISNUMBER(SEARCH("WR",VLOOKUP($A8,INDIRECT("'"&amp;Summary!AR$1&amp;"'!$A$1:$S$17"),2,FALSE))),"WR",
IF(ISNUMBER(SEARCH("D/ST",VLOOKUP($A8,INDIRECT("'"&amp;Summary!AR$1&amp;"'!$A$1:$S$17"),2,FALSE))),"D/ST",
IF(ISNUMBER(SEARCH("TE",VLOOKUP($A8,INDIRECT("'"&amp;Summary!AR$1&amp;"'!$A$1:$S$17"),2,FALSE))),"TE","")))))</f>
        <v>TE</v>
      </c>
      <c r="AT8" s="2">
        <f ca="1">IF(AS8="","",IF(AS8&lt;&gt;"D/ST",VLOOKUP($A8,INDIRECT("'"&amp;Summary!AR$1&amp;"'!$A$1:$S$17"),19,FALSE),VLOOKUP($A8,INDIRECT("'"&amp;Summary!AR$1&amp;"'!$A$1:$S$17"),12,FALSE)))</f>
        <v>5.3</v>
      </c>
      <c r="AU8" s="2">
        <f t="array" aca="1" ref="AU8" ca="1">IF(AS8="","",IF(AS8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8,INDIRECT("'"&amp;Summary!AR$1&amp;"'!$A$1:$A$17"),0)&amp;":$S"&amp;MATCH($A8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8,INDIRECT("'"&amp;Summary!AR$1&amp;"'!$A$1:$A$17"),0)&amp;":$S"&amp;MATCH($A8,INDIRECT("'"&amp;Summary!AR$1&amp;"'!$A$1:$A$17"),0)))))</f>
        <v>0</v>
      </c>
      <c r="AV8" s="3">
        <f t="shared" ca="1" si="23"/>
        <v>0</v>
      </c>
      <c r="AW8" s="3">
        <f t="shared" ca="1" si="7"/>
        <v>1</v>
      </c>
      <c r="AX8" s="2" t="str">
        <f ca="1">IF(AY8="","",IF(AY8="D/ST",MID(VLOOKUP($A8,INDIRECT("'"&amp;Summary!AX$1&amp;"'!$A$1:$S$17"),2,FALSE),1,FIND(" ",VLOOKUP($A8,INDIRECT("'"&amp;Summary!AX$1&amp;"'!$A$1:$S$17"),2,FALSE))+4),MID(VLOOKUP($A8,INDIRECT("'"&amp;Summary!AX$1&amp;"'!$A$1:$S$17"),2,FALSE),1,FIND(",",VLOOKUP($A8,INDIRECT("'"&amp;Summary!AX$1&amp;"'!$A$1:$S$17"),2,FALSE))-1)))</f>
        <v>Austin Seferian-Jenkins</v>
      </c>
      <c r="AY8" s="2" t="str">
        <f ca="1">IF(ISNUMBER(SEARCH("QB",VLOOKUP($A8,INDIRECT("'"&amp;Summary!AX$1&amp;"'!$A$1:$S$17"),2,FALSE))),"QB",
IF(ISNUMBER(SEARCH("RB",VLOOKUP($A8,INDIRECT("'"&amp;Summary!AX$1&amp;"'!$A$1:$S$17"),2,FALSE))),"RB",
IF(ISNUMBER(SEARCH("WR",VLOOKUP($A8,INDIRECT("'"&amp;Summary!AX$1&amp;"'!$A$1:$S$17"),2,FALSE))),"WR",
IF(ISNUMBER(SEARCH("D/ST",VLOOKUP($A8,INDIRECT("'"&amp;Summary!AX$1&amp;"'!$A$1:$S$17"),2,FALSE))),"D/ST",
IF(ISNUMBER(SEARCH("TE",VLOOKUP($A8,INDIRECT("'"&amp;Summary!AX$1&amp;"'!$A$1:$S$17"),2,FALSE))),"TE","")))))</f>
        <v>TE</v>
      </c>
      <c r="AZ8" s="2">
        <f ca="1">IF(AY8="","",IF(AY8&lt;&gt;"D/ST",VLOOKUP($A8,INDIRECT("'"&amp;Summary!AX$1&amp;"'!$A$1:$S$17"),19,FALSE),VLOOKUP($A8,INDIRECT("'"&amp;Summary!AX$1&amp;"'!$A$1:$S$17"),12,FALSE)))</f>
        <v>3</v>
      </c>
      <c r="BA8" s="2">
        <f t="array" aca="1" ref="BA8" ca="1">IF(AY8="","",IF(AY8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8,INDIRECT("'"&amp;Summary!AX$1&amp;"'!$A$1:$A$17"),0)&amp;":$S"&amp;MATCH($A8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8,INDIRECT("'"&amp;Summary!AX$1&amp;"'!$A$1:$A$17"),0)&amp;":$S"&amp;MATCH($A8,INDIRECT("'"&amp;Summary!AX$1&amp;"'!$A$1:$A$17"),0)))))</f>
        <v>0</v>
      </c>
      <c r="BB8" s="3">
        <f t="shared" ca="1" si="24"/>
        <v>0</v>
      </c>
      <c r="BC8" s="3">
        <f t="shared" ca="1" si="8"/>
        <v>1</v>
      </c>
      <c r="BD8" s="2" t="str">
        <f ca="1">IF(BE8="","",IF(BE8="D/ST",MID(VLOOKUP($A8,INDIRECT("'"&amp;Summary!BD$1&amp;"'!$A$1:$S$17"),2,FALSE),1,FIND(" ",VLOOKUP($A8,INDIRECT("'"&amp;Summary!BD$1&amp;"'!$A$1:$S$17"),2,FALSE))+4),MID(VLOOKUP($A8,INDIRECT("'"&amp;Summary!BD$1&amp;"'!$A$1:$S$17"),2,FALSE),1,FIND(",",VLOOKUP($A8,INDIRECT("'"&amp;Summary!BD$1&amp;"'!$A$1:$S$17"),2,FALSE))-1)))</f>
        <v>Hunter Henry</v>
      </c>
      <c r="BE8" s="2" t="str">
        <f ca="1">IF(ISNUMBER(SEARCH("QB",VLOOKUP($A8,INDIRECT("'"&amp;Summary!BD$1&amp;"'!$A$1:$S$17"),2,FALSE))),"QB",
IF(ISNUMBER(SEARCH("RB",VLOOKUP($A8,INDIRECT("'"&amp;Summary!BD$1&amp;"'!$A$1:$S$17"),2,FALSE))),"RB",
IF(ISNUMBER(SEARCH("WR",VLOOKUP($A8,INDIRECT("'"&amp;Summary!BD$1&amp;"'!$A$1:$S$17"),2,FALSE))),"WR",
IF(ISNUMBER(SEARCH("D/ST",VLOOKUP($A8,INDIRECT("'"&amp;Summary!BD$1&amp;"'!$A$1:$S$17"),2,FALSE))),"D/ST",
IF(ISNUMBER(SEARCH("TE",VLOOKUP($A8,INDIRECT("'"&amp;Summary!BD$1&amp;"'!$A$1:$S$17"),2,FALSE))),"TE","")))))</f>
        <v>TE</v>
      </c>
      <c r="BF8" s="2">
        <f ca="1">IF(BE8="","",IF(BE8&lt;&gt;"D/ST",VLOOKUP($A8,INDIRECT("'"&amp;Summary!BD$1&amp;"'!$A$1:$S$17"),19,FALSE),VLOOKUP($A8,INDIRECT("'"&amp;Summary!BD$1&amp;"'!$A$1:$S$17"),12,FALSE)))</f>
        <v>1.2</v>
      </c>
      <c r="BG8" s="2">
        <f t="array" aca="1" ref="BG8" ca="1">IF(BE8="","",IF(BE8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8,INDIRECT("'"&amp;Summary!BD$1&amp;"'!$A$1:$A$17"),0)&amp;":$S"&amp;MATCH($A8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8,INDIRECT("'"&amp;Summary!BD$1&amp;"'!$A$1:$A$17"),0)&amp;":$S"&amp;MATCH($A8,INDIRECT("'"&amp;Summary!BD$1&amp;"'!$A$1:$A$17"),0)))))</f>
        <v>0</v>
      </c>
      <c r="BH8" s="3">
        <f t="shared" ca="1" si="25"/>
        <v>0</v>
      </c>
      <c r="BI8" s="3">
        <f t="shared" ca="1" si="9"/>
        <v>1</v>
      </c>
      <c r="BJ8" s="2" t="str">
        <f ca="1">IF(BK8="","",IF(BK8="D/ST",MID(VLOOKUP($A8,INDIRECT("'"&amp;Summary!BJ$1&amp;"'!$A$1:$S$17"),2,FALSE),1,FIND(" ",VLOOKUP($A8,INDIRECT("'"&amp;Summary!BJ$1&amp;"'!$A$1:$S$17"),2,FALSE))+4),MID(VLOOKUP($A8,INDIRECT("'"&amp;Summary!BJ$1&amp;"'!$A$1:$S$17"),2,FALSE),1,FIND(",",VLOOKUP($A8,INDIRECT("'"&amp;Summary!BJ$1&amp;"'!$A$1:$S$17"),2,FALSE))-1)))</f>
        <v>Cameron Brate</v>
      </c>
      <c r="BK8" s="2" t="str">
        <f ca="1">IF(ISNUMBER(SEARCH("QB",VLOOKUP($A8,INDIRECT("'"&amp;Summary!BJ$1&amp;"'!$A$1:$S$17"),2,FALSE))),"QB",
IF(ISNUMBER(SEARCH("RB",VLOOKUP($A8,INDIRECT("'"&amp;Summary!BJ$1&amp;"'!$A$1:$S$17"),2,FALSE))),"RB",
IF(ISNUMBER(SEARCH("WR",VLOOKUP($A8,INDIRECT("'"&amp;Summary!BJ$1&amp;"'!$A$1:$S$17"),2,FALSE))),"WR",
IF(ISNUMBER(SEARCH("D/ST",VLOOKUP($A8,INDIRECT("'"&amp;Summary!BJ$1&amp;"'!$A$1:$S$17"),2,FALSE))),"D/ST",
IF(ISNUMBER(SEARCH("TE",VLOOKUP($A8,INDIRECT("'"&amp;Summary!BJ$1&amp;"'!$A$1:$S$17"),2,FALSE))),"TE","")))))</f>
        <v>TE</v>
      </c>
      <c r="BL8" s="2">
        <f ca="1">IF(BK8="","",IF(BK8&lt;&gt;"D/ST",VLOOKUP($A8,INDIRECT("'"&amp;Summary!BJ$1&amp;"'!$A$1:$S$17"),19,FALSE),VLOOKUP($A8,INDIRECT("'"&amp;Summary!BJ$1&amp;"'!$A$1:$S$17"),12,FALSE)))</f>
        <v>1.7</v>
      </c>
      <c r="BM8" s="2">
        <f t="array" aca="1" ref="BM8" ca="1">IF(BK8="","",IF(BK8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8,INDIRECT("'"&amp;Summary!BJ$1&amp;"'!$A$1:$A$17"),0)&amp;":$S"&amp;MATCH($A8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8,INDIRECT("'"&amp;Summary!BJ$1&amp;"'!$A$1:$A$17"),0)&amp;":$S"&amp;MATCH($A8,INDIRECT("'"&amp;Summary!BJ$1&amp;"'!$A$1:$A$17"),0)))))</f>
        <v>0</v>
      </c>
      <c r="BN8" s="3">
        <f t="shared" ca="1" si="26"/>
        <v>0</v>
      </c>
      <c r="BO8" s="3">
        <f t="shared" ca="1" si="10"/>
        <v>1</v>
      </c>
      <c r="BP8" s="2" t="str">
        <f ca="1">IF(BQ8="","",IF(BQ8="D/ST",MID(VLOOKUP($A8,INDIRECT("'"&amp;Summary!BP$1&amp;"'!$A$1:$S$17"),2,FALSE),1,FIND(" ",VLOOKUP($A8,INDIRECT("'"&amp;Summary!BP$1&amp;"'!$A$1:$S$17"),2,FALSE))+4),MID(VLOOKUP($A8,INDIRECT("'"&amp;Summary!BP$1&amp;"'!$A$1:$S$17"),2,FALSE),1,FIND(",",VLOOKUP($A8,INDIRECT("'"&amp;Summary!BP$1&amp;"'!$A$1:$S$17"),2,FALSE))-1)))</f>
        <v>Greg Olsen</v>
      </c>
      <c r="BQ8" s="2" t="str">
        <f ca="1">IF(ISNUMBER(SEARCH("QB",VLOOKUP($A8,INDIRECT("'"&amp;Summary!BP$1&amp;"'!$A$1:$S$17"),2,FALSE))),"QB",
IF(ISNUMBER(SEARCH("RB",VLOOKUP($A8,INDIRECT("'"&amp;Summary!BP$1&amp;"'!$A$1:$S$17"),2,FALSE))),"RB",
IF(ISNUMBER(SEARCH("WR",VLOOKUP($A8,INDIRECT("'"&amp;Summary!BP$1&amp;"'!$A$1:$S$17"),2,FALSE))),"WR",
IF(ISNUMBER(SEARCH("D/ST",VLOOKUP($A8,INDIRECT("'"&amp;Summary!BP$1&amp;"'!$A$1:$S$17"),2,FALSE))),"D/ST",
IF(ISNUMBER(SEARCH("TE",VLOOKUP($A8,INDIRECT("'"&amp;Summary!BP$1&amp;"'!$A$1:$S$17"),2,FALSE))),"TE","")))))</f>
        <v>TE</v>
      </c>
      <c r="BR8" s="2">
        <f ca="1">IF(BQ8="","",IF(BQ8&lt;&gt;"D/ST",VLOOKUP($A8,INDIRECT("'"&amp;Summary!BP$1&amp;"'!$A$1:$S$17"),19,FALSE),VLOOKUP($A8,INDIRECT("'"&amp;Summary!BP$1&amp;"'!$A$1:$S$17"),12,FALSE)))</f>
        <v>1.5</v>
      </c>
      <c r="BS8" s="2">
        <f t="array" aca="1" ref="BS8" ca="1">IF(BQ8="","",IF(BQ8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8,INDIRECT("'"&amp;Summary!BP$1&amp;"'!$A$1:$A$17"),0)&amp;":$S"&amp;MATCH($A8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8,INDIRECT("'"&amp;Summary!BP$1&amp;"'!$A$1:$A$17"),0)&amp;":$S"&amp;MATCH($A8,INDIRECT("'"&amp;Summary!BP$1&amp;"'!$A$1:$A$17"),0)))))</f>
        <v>0</v>
      </c>
      <c r="BT8" s="3">
        <f t="shared" ca="1" si="27"/>
        <v>0</v>
      </c>
      <c r="BU8" s="3">
        <f t="shared" ca="1" si="11"/>
        <v>1</v>
      </c>
      <c r="BV8" s="2" t="str">
        <f ca="1">IF(BW8="","",IF(BW8="D/ST",MID(VLOOKUP($A8,INDIRECT("'"&amp;Summary!BV$1&amp;"'!$A$1:$S$17"),2,FALSE),1,FIND(" ",VLOOKUP($A8,INDIRECT("'"&amp;Summary!BV$1&amp;"'!$A$1:$S$17"),2,FALSE))+4),MID(VLOOKUP($A8,INDIRECT("'"&amp;Summary!BV$1&amp;"'!$A$1:$S$17"),2,FALSE),1,FIND(",",VLOOKUP($A8,INDIRECT("'"&amp;Summary!BV$1&amp;"'!$A$1:$S$17"),2,FALSE))-1)))</f>
        <v>Hunter Henry</v>
      </c>
      <c r="BW8" s="2" t="str">
        <f ca="1">IF(ISNUMBER(SEARCH("QB",VLOOKUP($A8,INDIRECT("'"&amp;Summary!BV$1&amp;"'!$A$1:$S$17"),2,FALSE))),"QB",
IF(ISNUMBER(SEARCH("RB",VLOOKUP($A8,INDIRECT("'"&amp;Summary!BV$1&amp;"'!$A$1:$S$17"),2,FALSE))),"RB",
IF(ISNUMBER(SEARCH("WR",VLOOKUP($A8,INDIRECT("'"&amp;Summary!BV$1&amp;"'!$A$1:$S$17"),2,FALSE))),"WR",
IF(ISNUMBER(SEARCH("D/ST",VLOOKUP($A8,INDIRECT("'"&amp;Summary!BV$1&amp;"'!$A$1:$S$17"),2,FALSE))),"D/ST",
IF(ISNUMBER(SEARCH("TE",VLOOKUP($A8,INDIRECT("'"&amp;Summary!BV$1&amp;"'!$A$1:$S$17"),2,FALSE))),"TE","")))))</f>
        <v>TE</v>
      </c>
      <c r="BX8" s="2">
        <f ca="1">IF(BW8="","",IF(BW8&lt;&gt;"D/ST",VLOOKUP($A8,INDIRECT("'"&amp;Summary!BV$1&amp;"'!$A$1:$S$17"),19,FALSE),VLOOKUP($A8,INDIRECT("'"&amp;Summary!BV$1&amp;"'!$A$1:$S$17"),12,FALSE)))</f>
        <v>11.6</v>
      </c>
      <c r="BY8" s="2">
        <f t="array" aca="1" ref="BY8" ca="1">IF(BW8="","",IF(BW8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8,INDIRECT("'"&amp;Summary!BV$1&amp;"'!$A$1:$A$17"),0)&amp;":$S"&amp;MATCH($A8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8,INDIRECT("'"&amp;Summary!BV$1&amp;"'!$A$1:$A$17"),0)&amp;":$S"&amp;MATCH($A8,INDIRECT("'"&amp;Summary!BV$1&amp;"'!$A$1:$A$17"),0)))))</f>
        <v>0</v>
      </c>
      <c r="BZ8" s="3">
        <f t="shared" ca="1" si="28"/>
        <v>0</v>
      </c>
      <c r="CA8" s="3">
        <f t="shared" ca="1" si="12"/>
        <v>1</v>
      </c>
      <c r="CB8" s="2" t="str">
        <f ca="1">IF(CC8="","",IF(CC8="D/ST",MID(VLOOKUP($A8,INDIRECT("'"&amp;Summary!CB$1&amp;"'!$A$1:$S$17"),2,FALSE),1,FIND(" ",VLOOKUP($A8,INDIRECT("'"&amp;Summary!CB$1&amp;"'!$A$1:$S$17"),2,FALSE))+4),MID(VLOOKUP($A8,INDIRECT("'"&amp;Summary!CB$1&amp;"'!$A$1:$S$17"),2,FALSE),1,FIND(",",VLOOKUP($A8,INDIRECT("'"&amp;Summary!CB$1&amp;"'!$A$1:$S$17"),2,FALSE))-1)))</f>
        <v>Hunter Henry</v>
      </c>
      <c r="CC8" s="2" t="str">
        <f ca="1">IF(ISNUMBER(SEARCH("QB",VLOOKUP($A8,INDIRECT("'"&amp;Summary!CB$1&amp;"'!$A$1:$S$17"),2,FALSE))),"QB",
IF(ISNUMBER(SEARCH("RB",VLOOKUP($A8,INDIRECT("'"&amp;Summary!CB$1&amp;"'!$A$1:$S$17"),2,FALSE))),"RB",
IF(ISNUMBER(SEARCH("WR",VLOOKUP($A8,INDIRECT("'"&amp;Summary!CB$1&amp;"'!$A$1:$S$17"),2,FALSE))),"WR",
IF(ISNUMBER(SEARCH("D/ST",VLOOKUP($A8,INDIRECT("'"&amp;Summary!CB$1&amp;"'!$A$1:$S$17"),2,FALSE))),"D/ST",
IF(ISNUMBER(SEARCH("TE",VLOOKUP($A8,INDIRECT("'"&amp;Summary!CB$1&amp;"'!$A$1:$S$17"),2,FALSE))),"TE","")))))</f>
        <v>TE</v>
      </c>
      <c r="CD8" s="2">
        <f ca="1">IF(CC8="","",IF(CC8&lt;&gt;"D/ST",VLOOKUP($A8,INDIRECT("'"&amp;Summary!CB$1&amp;"'!$A$1:$S$17"),19,FALSE),VLOOKUP($A8,INDIRECT("'"&amp;Summary!CB$1&amp;"'!$A$1:$S$17"),12,FALSE)))</f>
        <v>13</v>
      </c>
      <c r="CE8" s="2">
        <f t="array" aca="1" ref="CE8" ca="1">IF(CC8="","",IF(CC8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8,INDIRECT("'"&amp;Summary!CB$1&amp;"'!$A$1:$A$17"),0)&amp;":$S"&amp;MATCH($A8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8,INDIRECT("'"&amp;Summary!CB$1&amp;"'!$A$1:$A$17"),0)&amp;":$S"&amp;MATCH($A8,INDIRECT("'"&amp;Summary!CB$1&amp;"'!$A$1:$A$17"),0)))))</f>
        <v>1</v>
      </c>
      <c r="CF8" s="3">
        <f t="shared" ca="1" si="29"/>
        <v>0.46153846153846156</v>
      </c>
      <c r="CG8" s="3">
        <f t="shared" ca="1" si="13"/>
        <v>0.53846153846153844</v>
      </c>
      <c r="CH8" s="2" t="str">
        <f ca="1">IF(CI8="","",IF(CI8="D/ST",MID(VLOOKUP($A8,INDIRECT("'"&amp;Summary!CH$1&amp;"'!$A$1:$S$17"),2,FALSE),1,FIND(" ",VLOOKUP($A8,INDIRECT("'"&amp;Summary!CH$1&amp;"'!$A$1:$S$17"),2,FALSE))+4),MID(VLOOKUP($A8,INDIRECT("'"&amp;Summary!CH$1&amp;"'!$A$1:$S$17"),2,FALSE),1,FIND(",",VLOOKUP($A8,INDIRECT("'"&amp;Summary!CH$1&amp;"'!$A$1:$S$17"),2,FALSE))-1)))</f>
        <v>Hunter Henry</v>
      </c>
      <c r="CI8" s="2" t="str">
        <f ca="1">IF(ISNUMBER(SEARCH("QB",VLOOKUP($A8,INDIRECT("'"&amp;Summary!CH$1&amp;"'!$A$1:$S$17"),2,FALSE))),"QB",
IF(ISNUMBER(SEARCH("RB",VLOOKUP($A8,INDIRECT("'"&amp;Summary!CH$1&amp;"'!$A$1:$S$17"),2,FALSE))),"RB",
IF(ISNUMBER(SEARCH("WR",VLOOKUP($A8,INDIRECT("'"&amp;Summary!CH$1&amp;"'!$A$1:$S$17"),2,FALSE))),"WR",
IF(ISNUMBER(SEARCH("D/ST",VLOOKUP($A8,INDIRECT("'"&amp;Summary!CH$1&amp;"'!$A$1:$S$17"),2,FALSE))),"D/ST",
IF(ISNUMBER(SEARCH("TE",VLOOKUP($A8,INDIRECT("'"&amp;Summary!CH$1&amp;"'!$A$1:$S$17"),2,FALSE))),"TE","")))))</f>
        <v>TE</v>
      </c>
      <c r="CJ8" s="2">
        <f ca="1">IF(CI8="","",IF(CI8&lt;&gt;"D/ST",VLOOKUP($A8,INDIRECT("'"&amp;Summary!CH$1&amp;"'!$A$1:$S$17"),19,FALSE),VLOOKUP($A8,INDIRECT("'"&amp;Summary!CH$1&amp;"'!$A$1:$S$17"),12,FALSE)))</f>
        <v>4.3</v>
      </c>
      <c r="CK8" s="2">
        <f t="array" aca="1" ref="CK8" ca="1">IF(CI8="","",IF(CI8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8,INDIRECT("'"&amp;Summary!CH$1&amp;"'!$A$1:$A$17"),0)&amp;":$S"&amp;MATCH($A8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8,INDIRECT("'"&amp;Summary!CH$1&amp;"'!$A$1:$A$17"),0)&amp;":$S"&amp;MATCH($A8,INDIRECT("'"&amp;Summary!CH$1&amp;"'!$A$1:$A$17"),0)))))</f>
        <v>0</v>
      </c>
      <c r="CL8" s="3">
        <f t="shared" ca="1" si="30"/>
        <v>0</v>
      </c>
      <c r="CM8" s="3">
        <f t="shared" ca="1" si="14"/>
        <v>1</v>
      </c>
      <c r="CN8" s="2" t="str">
        <f ca="1">IF(CO8="","",IF(CO8="D/ST",MID(VLOOKUP($A8,INDIRECT("'"&amp;Summary!CN$1&amp;"'!$A$1:$S$17"),2,FALSE),1,FIND(" ",VLOOKUP($A8,INDIRECT("'"&amp;Summary!CN$1&amp;"'!$A$1:$S$17"),2,FALSE))+4),MID(VLOOKUP($A8,INDIRECT("'"&amp;Summary!CN$1&amp;"'!$A$1:$S$17"),2,FALSE),1,FIND(",",VLOOKUP($A8,INDIRECT("'"&amp;Summary!CN$1&amp;"'!$A$1:$S$17"),2,FALSE))-1)))</f>
        <v>Antonio Gates</v>
      </c>
      <c r="CO8" s="2" t="str">
        <f ca="1">IF(ISNUMBER(SEARCH("QB",VLOOKUP($A8,INDIRECT("'"&amp;Summary!CN$1&amp;"'!$A$1:$S$17"),2,FALSE))),"QB",
IF(ISNUMBER(SEARCH("RB",VLOOKUP($A8,INDIRECT("'"&amp;Summary!CN$1&amp;"'!$A$1:$S$17"),2,FALSE))),"RB",
IF(ISNUMBER(SEARCH("WR",VLOOKUP($A8,INDIRECT("'"&amp;Summary!CN$1&amp;"'!$A$1:$S$17"),2,FALSE))),"WR",
IF(ISNUMBER(SEARCH("D/ST",VLOOKUP($A8,INDIRECT("'"&amp;Summary!CN$1&amp;"'!$A$1:$S$17"),2,FALSE))),"D/ST",
IF(ISNUMBER(SEARCH("TE",VLOOKUP($A8,INDIRECT("'"&amp;Summary!CN$1&amp;"'!$A$1:$S$17"),2,FALSE))),"TE","")))))</f>
        <v>TE</v>
      </c>
      <c r="CP8" s="2">
        <f ca="1">IF(CO8="","",IF(CO8&lt;&gt;"D/ST",VLOOKUP($A8,INDIRECT("'"&amp;Summary!CN$1&amp;"'!$A$1:$S$17"),19,FALSE),VLOOKUP($A8,INDIRECT("'"&amp;Summary!CN$1&amp;"'!$A$1:$S$17"),12,FALSE)))</f>
        <v>17.100000000000001</v>
      </c>
      <c r="CQ8" s="2">
        <f t="array" aca="1" ref="CQ8" ca="1">IF(CO8="","",IF(CO8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8,INDIRECT("'"&amp;Summary!CN$1&amp;"'!$A$1:$A$17"),0)&amp;":$S"&amp;MATCH($A8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8,INDIRECT("'"&amp;Summary!CN$1&amp;"'!$A$1:$A$17"),0)&amp;":$S"&amp;MATCH($A8,INDIRECT("'"&amp;Summary!CN$1&amp;"'!$A$1:$A$17"),0)))))</f>
        <v>1</v>
      </c>
      <c r="CR8" s="3">
        <f t="shared" ca="1" si="31"/>
        <v>0.35087719298245612</v>
      </c>
      <c r="CS8" s="3">
        <f t="shared" ca="1" si="15"/>
        <v>0.64912280701754388</v>
      </c>
    </row>
    <row r="9" spans="1:97" ht="16.25" thickTop="1" thickBot="1" x14ac:dyDescent="0.9">
      <c r="A9" s="2" t="s">
        <v>40</v>
      </c>
      <c r="B9" s="2" t="str">
        <f ca="1">IF(C9="","",IF(C9="D/ST",MID(VLOOKUP($A9,INDIRECT("'"&amp;Summary!B$1&amp;"'!$A$1:$S$17"),2,FALSE),1,FIND(" ",VLOOKUP($A9,INDIRECT("'"&amp;Summary!B$1&amp;"'!$A$1:$S$17"),2,FALSE))+4),MID(VLOOKUP($A9,INDIRECT("'"&amp;Summary!B$1&amp;"'!$A$1:$S$17"),2,FALSE),1,FIND(",",VLOOKUP($A9,INDIRECT("'"&amp;Summary!B$1&amp;"'!$A$1:$S$17"),2,FALSE))-1)))</f>
        <v>Dalvin Cook</v>
      </c>
      <c r="C9" s="2" t="str">
        <f ca="1">IF(ISNUMBER(SEARCH("QB",VLOOKUP($A9,INDIRECT("'"&amp;Summary!B$1&amp;"'!$A$1:$S$17"),2,FALSE))),"QB",
IF(ISNUMBER(SEARCH("RB",VLOOKUP($A9,INDIRECT("'"&amp;Summary!B$1&amp;"'!$A$1:$S$17"),2,FALSE))),"RB",
IF(ISNUMBER(SEARCH("WR",VLOOKUP($A9,INDIRECT("'"&amp;Summary!B$1&amp;"'!$A$1:$S$17"),2,FALSE))),"WR",
IF(ISNUMBER(SEARCH("D/ST",VLOOKUP($A9,INDIRECT("'"&amp;Summary!B$1&amp;"'!$A$1:$S$17"),2,FALSE))),"D/ST",
IF(ISNUMBER(SEARCH("TE",VLOOKUP($A9,INDIRECT("'"&amp;Summary!B$1&amp;"'!$A$1:$S$17"),2,FALSE))),"TE","")))))</f>
        <v>RB</v>
      </c>
      <c r="D9" s="2">
        <f ca="1">IF(C9="","",IF(C9&lt;&gt;"D/ST",VLOOKUP($A9,INDIRECT("'"&amp;Summary!B$1&amp;"'!$A$1:$S$17"),19,FALSE),VLOOKUP($A9,INDIRECT("'"&amp;Summary!B$1&amp;"'!$A$1:$S$17"),12,FALSE)))</f>
        <v>15.2</v>
      </c>
      <c r="E9" s="2">
        <f t="array" aca="1" ref="E9" ca="1">IF(C9="","",IF(C9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9,INDIRECT("'"&amp;Summary!B$1&amp;"'!$A$1:$A$17"),0)&amp;":$S"&amp;MATCH($A9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9,INDIRECT("'"&amp;Summary!B$1&amp;"'!$A$1:$A$17"),0)&amp;":$S"&amp;MATCH($A9,INDIRECT("'"&amp;Summary!B$1&amp;"'!$A$1:$A$17"),0)))))</f>
        <v>0</v>
      </c>
      <c r="F9" s="3">
        <f t="shared" ca="1" si="16"/>
        <v>0</v>
      </c>
      <c r="G9" s="3">
        <f t="shared" ca="1" si="0"/>
        <v>1</v>
      </c>
      <c r="H9" s="2" t="str">
        <f ca="1">IF(I9="","",IF(I9="D/ST",MID(VLOOKUP($A9,INDIRECT("'"&amp;Summary!H$1&amp;"'!$A$1:$S$17"),2,FALSE),1,FIND(" ",VLOOKUP($A9,INDIRECT("'"&amp;Summary!H$1&amp;"'!$A$1:$S$17"),2,FALSE))+4),MID(VLOOKUP($A9,INDIRECT("'"&amp;Summary!H$1&amp;"'!$A$1:$S$17"),2,FALSE),1,FIND(",",VLOOKUP($A9,INDIRECT("'"&amp;Summary!H$1&amp;"'!$A$1:$S$17"),2,FALSE))-1)))</f>
        <v>Ted Ginn Jr.</v>
      </c>
      <c r="I9" s="2" t="str">
        <f ca="1">IF(ISNUMBER(SEARCH("QB",VLOOKUP($A9,INDIRECT("'"&amp;Summary!H$1&amp;"'!$A$1:$S$17"),2,FALSE))),"QB",
IF(ISNUMBER(SEARCH("RB",VLOOKUP($A9,INDIRECT("'"&amp;Summary!H$1&amp;"'!$A$1:$S$17"),2,FALSE))),"RB",
IF(ISNUMBER(SEARCH("WR",VLOOKUP($A9,INDIRECT("'"&amp;Summary!H$1&amp;"'!$A$1:$S$17"),2,FALSE))),"WR",
IF(ISNUMBER(SEARCH("D/ST",VLOOKUP($A9,INDIRECT("'"&amp;Summary!H$1&amp;"'!$A$1:$S$17"),2,FALSE))),"D/ST",
IF(ISNUMBER(SEARCH("TE",VLOOKUP($A9,INDIRECT("'"&amp;Summary!H$1&amp;"'!$A$1:$S$17"),2,FALSE))),"TE","")))))</f>
        <v>WR</v>
      </c>
      <c r="J9" s="2">
        <f ca="1">IF(I9="","",IF(I9&lt;&gt;"D/ST",VLOOKUP($A9,INDIRECT("'"&amp;Summary!H$1&amp;"'!$A$1:$S$17"),19,FALSE),VLOOKUP($A9,INDIRECT("'"&amp;Summary!H$1&amp;"'!$A$1:$S$17"),12,FALSE)))</f>
        <v>3.9</v>
      </c>
      <c r="K9" s="2">
        <f t="array" aca="1" ref="K9" ca="1">IF(I9="","",IF(I9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9,INDIRECT("'"&amp;Summary!H$1&amp;"'!$A$1:$A$17"),0)&amp;":$S"&amp;MATCH($A9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9,INDIRECT("'"&amp;Summary!H$1&amp;"'!$A$1:$A$17"),0)&amp;":$S"&amp;MATCH($A9,INDIRECT("'"&amp;Summary!H$1&amp;"'!$A$1:$A$17"),0)))))</f>
        <v>0</v>
      </c>
      <c r="L9" s="3">
        <f t="shared" ca="1" si="17"/>
        <v>0</v>
      </c>
      <c r="M9" s="3">
        <f t="shared" ca="1" si="1"/>
        <v>1</v>
      </c>
      <c r="N9" s="2" t="str">
        <f ca="1">IF(O9="","",IF(O9="D/ST",MID(VLOOKUP($A9,INDIRECT("'"&amp;Summary!N$1&amp;"'!$A$1:$S$17"),2,FALSE),1,FIND(" ",VLOOKUP($A9,INDIRECT("'"&amp;Summary!N$1&amp;"'!$A$1:$S$17"),2,FALSE))+4),MID(VLOOKUP($A9,INDIRECT("'"&amp;Summary!N$1&amp;"'!$A$1:$S$17"),2,FALSE),1,FIND(",",VLOOKUP($A9,INDIRECT("'"&amp;Summary!N$1&amp;"'!$A$1:$S$17"),2,FALSE))-1)))</f>
        <v>Isaiah Crowell</v>
      </c>
      <c r="O9" s="2" t="str">
        <f ca="1">IF(ISNUMBER(SEARCH("QB",VLOOKUP($A9,INDIRECT("'"&amp;Summary!N$1&amp;"'!$A$1:$S$17"),2,FALSE))),"QB",
IF(ISNUMBER(SEARCH("RB",VLOOKUP($A9,INDIRECT("'"&amp;Summary!N$1&amp;"'!$A$1:$S$17"),2,FALSE))),"RB",
IF(ISNUMBER(SEARCH("WR",VLOOKUP($A9,INDIRECT("'"&amp;Summary!N$1&amp;"'!$A$1:$S$17"),2,FALSE))),"WR",
IF(ISNUMBER(SEARCH("D/ST",VLOOKUP($A9,INDIRECT("'"&amp;Summary!N$1&amp;"'!$A$1:$S$17"),2,FALSE))),"D/ST",
IF(ISNUMBER(SEARCH("TE",VLOOKUP($A9,INDIRECT("'"&amp;Summary!N$1&amp;"'!$A$1:$S$17"),2,FALSE))),"TE","")))))</f>
        <v>RB</v>
      </c>
      <c r="P9" s="2">
        <f ca="1">IF(O9="","",IF(O9&lt;&gt;"D/ST",VLOOKUP($A9,INDIRECT("'"&amp;Summary!N$1&amp;"'!$A$1:$S$17"),19,FALSE),VLOOKUP($A9,INDIRECT("'"&amp;Summary!N$1&amp;"'!$A$1:$S$17"),12,FALSE)))</f>
        <v>6.4</v>
      </c>
      <c r="Q9" s="2">
        <f t="array" aca="1" ref="Q9" ca="1">IF(O9="","",IF(O9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9,INDIRECT("'"&amp;Summary!N$1&amp;"'!$A$1:$A$17"),0)&amp;":$S"&amp;MATCH($A9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9,INDIRECT("'"&amp;Summary!N$1&amp;"'!$A$1:$A$17"),0)&amp;":$S"&amp;MATCH($A9,INDIRECT("'"&amp;Summary!N$1&amp;"'!$A$1:$A$17"),0)))))</f>
        <v>0</v>
      </c>
      <c r="R9" s="3">
        <f t="shared" ca="1" si="18"/>
        <v>0</v>
      </c>
      <c r="S9" s="3">
        <f t="shared" ca="1" si="2"/>
        <v>1</v>
      </c>
      <c r="T9" s="2" t="str">
        <f ca="1">IF(U9="","",IF(U9="D/ST",MID(VLOOKUP($A9,INDIRECT("'"&amp;Summary!T$1&amp;"'!$A$1:$S$17"),2,FALSE),1,FIND(" ",VLOOKUP($A9,INDIRECT("'"&amp;Summary!T$1&amp;"'!$A$1:$S$17"),2,FALSE))+4),MID(VLOOKUP($A9,INDIRECT("'"&amp;Summary!T$1&amp;"'!$A$1:$S$17"),2,FALSE),1,FIND(",",VLOOKUP($A9,INDIRECT("'"&amp;Summary!T$1&amp;"'!$A$1:$S$17"),2,FALSE))-1)))</f>
        <v>Chris Carson</v>
      </c>
      <c r="U9" s="2" t="str">
        <f ca="1">IF(ISNUMBER(SEARCH("QB",VLOOKUP($A9,INDIRECT("'"&amp;Summary!T$1&amp;"'!$A$1:$S$17"),2,FALSE))),"QB",
IF(ISNUMBER(SEARCH("RB",VLOOKUP($A9,INDIRECT("'"&amp;Summary!T$1&amp;"'!$A$1:$S$17"),2,FALSE))),"RB",
IF(ISNUMBER(SEARCH("WR",VLOOKUP($A9,INDIRECT("'"&amp;Summary!T$1&amp;"'!$A$1:$S$17"),2,FALSE))),"WR",
IF(ISNUMBER(SEARCH("D/ST",VLOOKUP($A9,INDIRECT("'"&amp;Summary!T$1&amp;"'!$A$1:$S$17"),2,FALSE))),"D/ST",
IF(ISNUMBER(SEARCH("TE",VLOOKUP($A9,INDIRECT("'"&amp;Summary!T$1&amp;"'!$A$1:$S$17"),2,FALSE))),"TE","")))))</f>
        <v>RB</v>
      </c>
      <c r="V9" s="2">
        <f ca="1">IF(U9="","",IF(U9&lt;&gt;"D/ST",VLOOKUP($A9,INDIRECT("'"&amp;Summary!T$1&amp;"'!$A$1:$S$17"),19,FALSE),VLOOKUP($A9,INDIRECT("'"&amp;Summary!T$1&amp;"'!$A$1:$S$17"),12,FALSE)))</f>
        <v>8.1</v>
      </c>
      <c r="W9" s="2">
        <f t="array" aca="1" ref="W9" ca="1">IF(U9="","",IF(U9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9,INDIRECT("'"&amp;Summary!T$1&amp;"'!$A$1:$A$17"),0)&amp;":$S"&amp;MATCH($A9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9,INDIRECT("'"&amp;Summary!T$1&amp;"'!$A$1:$A$17"),0)&amp;":$S"&amp;MATCH($A9,INDIRECT("'"&amp;Summary!T$1&amp;"'!$A$1:$A$17"),0)))))</f>
        <v>0</v>
      </c>
      <c r="X9" s="3">
        <f t="shared" ca="1" si="19"/>
        <v>0</v>
      </c>
      <c r="Y9" s="3">
        <f t="shared" ca="1" si="3"/>
        <v>1</v>
      </c>
      <c r="Z9" s="2" t="str">
        <f ca="1">IF(AA9="","",IF(AA9="D/ST",MID(VLOOKUP($A9,INDIRECT("'"&amp;Summary!Z$1&amp;"'!$A$1:$S$17"),2,FALSE),1,FIND(" ",VLOOKUP($A9,INDIRECT("'"&amp;Summary!Z$1&amp;"'!$A$1:$S$17"),2,FALSE))+4),MID(VLOOKUP($A9,INDIRECT("'"&amp;Summary!Z$1&amp;"'!$A$1:$S$17"),2,FALSE),1,FIND(",",VLOOKUP($A9,INDIRECT("'"&amp;Summary!Z$1&amp;"'!$A$1:$S$17"),2,FALSE))-1)))</f>
        <v>Latavius Murray</v>
      </c>
      <c r="AA9" s="2" t="str">
        <f ca="1">IF(ISNUMBER(SEARCH("QB",VLOOKUP($A9,INDIRECT("'"&amp;Summary!Z$1&amp;"'!$A$1:$S$17"),2,FALSE))),"QB",
IF(ISNUMBER(SEARCH("RB",VLOOKUP($A9,INDIRECT("'"&amp;Summary!Z$1&amp;"'!$A$1:$S$17"),2,FALSE))),"RB",
IF(ISNUMBER(SEARCH("WR",VLOOKUP($A9,INDIRECT("'"&amp;Summary!Z$1&amp;"'!$A$1:$S$17"),2,FALSE))),"WR",
IF(ISNUMBER(SEARCH("D/ST",VLOOKUP($A9,INDIRECT("'"&amp;Summary!Z$1&amp;"'!$A$1:$S$17"),2,FALSE))),"D/ST",
IF(ISNUMBER(SEARCH("TE",VLOOKUP($A9,INDIRECT("'"&amp;Summary!Z$1&amp;"'!$A$1:$S$17"),2,FALSE))),"TE","")))))</f>
        <v>RB</v>
      </c>
      <c r="AB9" s="2">
        <f ca="1">IF(AA9="","",IF(AA9&lt;&gt;"D/ST",VLOOKUP($A9,INDIRECT("'"&amp;Summary!Z$1&amp;"'!$A$1:$S$17"),19,FALSE),VLOOKUP($A9,INDIRECT("'"&amp;Summary!Z$1&amp;"'!$A$1:$S$17"),12,FALSE)))</f>
        <v>5.3</v>
      </c>
      <c r="AC9" s="2">
        <f t="array" aca="1" ref="AC9" ca="1">IF(AA9="","",IF(AA9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9,INDIRECT("'"&amp;Summary!Z$1&amp;"'!$A$1:$A$17"),0)&amp;":$S"&amp;MATCH($A9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9,INDIRECT("'"&amp;Summary!Z$1&amp;"'!$A$1:$A$17"),0)&amp;":$S"&amp;MATCH($A9,INDIRECT("'"&amp;Summary!Z$1&amp;"'!$A$1:$A$17"),0)))))</f>
        <v>0</v>
      </c>
      <c r="AD9" s="3">
        <f t="shared" ca="1" si="20"/>
        <v>0</v>
      </c>
      <c r="AE9" s="3">
        <f t="shared" ca="1" si="4"/>
        <v>1</v>
      </c>
      <c r="AF9" s="2" t="str">
        <f ca="1">IF(AG9="","",IF(AG9="D/ST",MID(VLOOKUP($A9,INDIRECT("'"&amp;Summary!AF$1&amp;"'!$A$1:$S$17"),2,FALSE),1,FIND(" ",VLOOKUP($A9,INDIRECT("'"&amp;Summary!AF$1&amp;"'!$A$1:$S$17"),2,FALSE))+4),MID(VLOOKUP($A9,INDIRECT("'"&amp;Summary!AF$1&amp;"'!$A$1:$S$17"),2,FALSE),1,FIND(",",VLOOKUP($A9,INDIRECT("'"&amp;Summary!AF$1&amp;"'!$A$1:$S$17"),2,FALSE))-1)))</f>
        <v>Taylor Gabriel</v>
      </c>
      <c r="AG9" s="2" t="str">
        <f ca="1">IF(ISNUMBER(SEARCH("QB",VLOOKUP($A9,INDIRECT("'"&amp;Summary!AF$1&amp;"'!$A$1:$S$17"),2,FALSE))),"QB",
IF(ISNUMBER(SEARCH("RB",VLOOKUP($A9,INDIRECT("'"&amp;Summary!AF$1&amp;"'!$A$1:$S$17"),2,FALSE))),"RB",
IF(ISNUMBER(SEARCH("WR",VLOOKUP($A9,INDIRECT("'"&amp;Summary!AF$1&amp;"'!$A$1:$S$17"),2,FALSE))),"WR",
IF(ISNUMBER(SEARCH("D/ST",VLOOKUP($A9,INDIRECT("'"&amp;Summary!AF$1&amp;"'!$A$1:$S$17"),2,FALSE))),"D/ST",
IF(ISNUMBER(SEARCH("TE",VLOOKUP($A9,INDIRECT("'"&amp;Summary!AF$1&amp;"'!$A$1:$S$17"),2,FALSE))),"TE","")))))</f>
        <v>WR</v>
      </c>
      <c r="AH9" s="2">
        <f ca="1">IF(AG9="","",IF(AG9&lt;&gt;"D/ST",VLOOKUP($A9,INDIRECT("'"&amp;Summary!AF$1&amp;"'!$A$1:$S$17"),19,FALSE),VLOOKUP($A9,INDIRECT("'"&amp;Summary!AF$1&amp;"'!$A$1:$S$17"),12,FALSE)))</f>
        <v>5.9</v>
      </c>
      <c r="AI9" s="2">
        <f t="array" aca="1" ref="AI9" ca="1">IF(AG9="","",IF(AG9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9,INDIRECT("'"&amp;Summary!AF$1&amp;"'!$A$1:$A$17"),0)&amp;":$S"&amp;MATCH($A9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9,INDIRECT("'"&amp;Summary!AF$1&amp;"'!$A$1:$A$17"),0)&amp;":$S"&amp;MATCH($A9,INDIRECT("'"&amp;Summary!AF$1&amp;"'!$A$1:$A$17"),0)))))</f>
        <v>0</v>
      </c>
      <c r="AJ9" s="3">
        <f t="shared" ca="1" si="21"/>
        <v>0</v>
      </c>
      <c r="AK9" s="3">
        <f t="shared" ca="1" si="5"/>
        <v>1</v>
      </c>
      <c r="AL9" s="2" t="str">
        <f ca="1">IF(AM9="","",IF(AM9="D/ST",MID(VLOOKUP($A9,INDIRECT("'"&amp;Summary!AL$1&amp;"'!$A$1:$S$17"),2,FALSE),1,FIND(" ",VLOOKUP($A9,INDIRECT("'"&amp;Summary!AL$1&amp;"'!$A$1:$S$17"),2,FALSE))+4),MID(VLOOKUP($A9,INDIRECT("'"&amp;Summary!AL$1&amp;"'!$A$1:$S$17"),2,FALSE),1,FIND(",",VLOOKUP($A9,INDIRECT("'"&amp;Summary!AL$1&amp;"'!$A$1:$S$17"),2,FALSE))-1)))</f>
        <v>Doug Baldwin</v>
      </c>
      <c r="AM9" s="2" t="str">
        <f ca="1">IF(ISNUMBER(SEARCH("QB",VLOOKUP($A9,INDIRECT("'"&amp;Summary!AL$1&amp;"'!$A$1:$S$17"),2,FALSE))),"QB",
IF(ISNUMBER(SEARCH("RB",VLOOKUP($A9,INDIRECT("'"&amp;Summary!AL$1&amp;"'!$A$1:$S$17"),2,FALSE))),"RB",
IF(ISNUMBER(SEARCH("WR",VLOOKUP($A9,INDIRECT("'"&amp;Summary!AL$1&amp;"'!$A$1:$S$17"),2,FALSE))),"WR",
IF(ISNUMBER(SEARCH("D/ST",VLOOKUP($A9,INDIRECT("'"&amp;Summary!AL$1&amp;"'!$A$1:$S$17"),2,FALSE))),"D/ST",
IF(ISNUMBER(SEARCH("TE",VLOOKUP($A9,INDIRECT("'"&amp;Summary!AL$1&amp;"'!$A$1:$S$17"),2,FALSE))),"TE","")))))</f>
        <v>WR</v>
      </c>
      <c r="AN9" s="2">
        <f ca="1">IF(AM9="","",IF(AM9&lt;&gt;"D/ST",VLOOKUP($A9,INDIRECT("'"&amp;Summary!AL$1&amp;"'!$A$1:$S$17"),19,FALSE),VLOOKUP($A9,INDIRECT("'"&amp;Summary!AL$1&amp;"'!$A$1:$S$17"),12,FALSE)))</f>
        <v>19.7</v>
      </c>
      <c r="AO9" s="2">
        <f t="array" aca="1" ref="AO9" ca="1">IF(AM9="","",IF(AM9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9,INDIRECT("'"&amp;Summary!AL$1&amp;"'!$A$1:$A$17"),0)&amp;":$S"&amp;MATCH($A9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9,INDIRECT("'"&amp;Summary!AL$1&amp;"'!$A$1:$A$17"),0)&amp;":$S"&amp;MATCH($A9,INDIRECT("'"&amp;Summary!AL$1&amp;"'!$A$1:$A$17"),0)))))</f>
        <v>1</v>
      </c>
      <c r="AP9" s="3">
        <f t="shared" ca="1" si="22"/>
        <v>0.30456852791878175</v>
      </c>
      <c r="AQ9" s="3">
        <f t="shared" ca="1" si="6"/>
        <v>0.69543147208121825</v>
      </c>
      <c r="AR9" s="2" t="str">
        <f ca="1">IF(AS9="","",IF(AS9="D/ST",MID(VLOOKUP($A9,INDIRECT("'"&amp;Summary!AR$1&amp;"'!$A$1:$S$17"),2,FALSE),1,FIND(" ",VLOOKUP($A9,INDIRECT("'"&amp;Summary!AR$1&amp;"'!$A$1:$S$17"),2,FALSE))+4),MID(VLOOKUP($A9,INDIRECT("'"&amp;Summary!AR$1&amp;"'!$A$1:$S$17"),2,FALSE),1,FIND(",",VLOOKUP($A9,INDIRECT("'"&amp;Summary!AR$1&amp;"'!$A$1:$S$17"),2,FALSE))-1)))</f>
        <v>Doug Baldwin</v>
      </c>
      <c r="AS9" s="2" t="str">
        <f ca="1">IF(ISNUMBER(SEARCH("QB",VLOOKUP($A9,INDIRECT("'"&amp;Summary!AR$1&amp;"'!$A$1:$S$17"),2,FALSE))),"QB",
IF(ISNUMBER(SEARCH("RB",VLOOKUP($A9,INDIRECT("'"&amp;Summary!AR$1&amp;"'!$A$1:$S$17"),2,FALSE))),"RB",
IF(ISNUMBER(SEARCH("WR",VLOOKUP($A9,INDIRECT("'"&amp;Summary!AR$1&amp;"'!$A$1:$S$17"),2,FALSE))),"WR",
IF(ISNUMBER(SEARCH("D/ST",VLOOKUP($A9,INDIRECT("'"&amp;Summary!AR$1&amp;"'!$A$1:$S$17"),2,FALSE))),"D/ST",
IF(ISNUMBER(SEARCH("TE",VLOOKUP($A9,INDIRECT("'"&amp;Summary!AR$1&amp;"'!$A$1:$S$17"),2,FALSE))),"TE","")))))</f>
        <v>WR</v>
      </c>
      <c r="AT9" s="2">
        <f ca="1">IF(AS9="","",IF(AS9&lt;&gt;"D/ST",VLOOKUP($A9,INDIRECT("'"&amp;Summary!AR$1&amp;"'!$A$1:$S$17"),19,FALSE),VLOOKUP($A9,INDIRECT("'"&amp;Summary!AR$1&amp;"'!$A$1:$S$17"),12,FALSE)))</f>
        <v>8.4</v>
      </c>
      <c r="AU9" s="2">
        <f t="array" aca="1" ref="AU9" ca="1">IF(AS9="","",IF(AS9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9,INDIRECT("'"&amp;Summary!AR$1&amp;"'!$A$1:$A$17"),0)&amp;":$S"&amp;MATCH($A9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9,INDIRECT("'"&amp;Summary!AR$1&amp;"'!$A$1:$A$17"),0)&amp;":$S"&amp;MATCH($A9,INDIRECT("'"&amp;Summary!AR$1&amp;"'!$A$1:$A$17"),0)))))</f>
        <v>0</v>
      </c>
      <c r="AV9" s="3">
        <f t="shared" ca="1" si="23"/>
        <v>0</v>
      </c>
      <c r="AW9" s="3">
        <f t="shared" ca="1" si="7"/>
        <v>1</v>
      </c>
      <c r="AX9" s="2" t="str">
        <f ca="1">IF(AY9="","",IF(AY9="D/ST",MID(VLOOKUP($A9,INDIRECT("'"&amp;Summary!AX$1&amp;"'!$A$1:$S$17"),2,FALSE),1,FIND(" ",VLOOKUP($A9,INDIRECT("'"&amp;Summary!AX$1&amp;"'!$A$1:$S$17"),2,FALSE))+4),MID(VLOOKUP($A9,INDIRECT("'"&amp;Summary!AX$1&amp;"'!$A$1:$S$17"),2,FALSE),1,FIND(",",VLOOKUP($A9,INDIRECT("'"&amp;Summary!AX$1&amp;"'!$A$1:$S$17"),2,FALSE))-1)))</f>
        <v>Doug Baldwin</v>
      </c>
      <c r="AY9" s="2" t="str">
        <f ca="1">IF(ISNUMBER(SEARCH("QB",VLOOKUP($A9,INDIRECT("'"&amp;Summary!AX$1&amp;"'!$A$1:$S$17"),2,FALSE))),"QB",
IF(ISNUMBER(SEARCH("RB",VLOOKUP($A9,INDIRECT("'"&amp;Summary!AX$1&amp;"'!$A$1:$S$17"),2,FALSE))),"RB",
IF(ISNUMBER(SEARCH("WR",VLOOKUP($A9,INDIRECT("'"&amp;Summary!AX$1&amp;"'!$A$1:$S$17"),2,FALSE))),"WR",
IF(ISNUMBER(SEARCH("D/ST",VLOOKUP($A9,INDIRECT("'"&amp;Summary!AX$1&amp;"'!$A$1:$S$17"),2,FALSE))),"D/ST",
IF(ISNUMBER(SEARCH("TE",VLOOKUP($A9,INDIRECT("'"&amp;Summary!AX$1&amp;"'!$A$1:$S$17"),2,FALSE))),"TE","")))))</f>
        <v>WR</v>
      </c>
      <c r="AZ9" s="2">
        <f ca="1">IF(AY9="","",IF(AY9&lt;&gt;"D/ST",VLOOKUP($A9,INDIRECT("'"&amp;Summary!AX$1&amp;"'!$A$1:$S$17"),19,FALSE),VLOOKUP($A9,INDIRECT("'"&amp;Summary!AX$1&amp;"'!$A$1:$S$17"),12,FALSE)))</f>
        <v>20.3</v>
      </c>
      <c r="BA9" s="2">
        <f t="array" aca="1" ref="BA9" ca="1">IF(AY9="","",IF(AY9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9,INDIRECT("'"&amp;Summary!AX$1&amp;"'!$A$1:$A$17"),0)&amp;":$S"&amp;MATCH($A9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9,INDIRECT("'"&amp;Summary!AX$1&amp;"'!$A$1:$A$17"),0)&amp;":$S"&amp;MATCH($A9,INDIRECT("'"&amp;Summary!AX$1&amp;"'!$A$1:$A$17"),0)))))</f>
        <v>1</v>
      </c>
      <c r="BB9" s="3">
        <f t="shared" ca="1" si="24"/>
        <v>0.29556650246305416</v>
      </c>
      <c r="BC9" s="3">
        <f t="shared" ca="1" si="8"/>
        <v>0.70443349753694584</v>
      </c>
      <c r="BD9" s="2" t="str">
        <f ca="1">IF(BE9="","",IF(BE9="D/ST",MID(VLOOKUP($A9,INDIRECT("'"&amp;Summary!BD$1&amp;"'!$A$1:$S$17"),2,FALSE),1,FIND(" ",VLOOKUP($A9,INDIRECT("'"&amp;Summary!BD$1&amp;"'!$A$1:$S$17"),2,FALSE))+4),MID(VLOOKUP($A9,INDIRECT("'"&amp;Summary!BD$1&amp;"'!$A$1:$S$17"),2,FALSE),1,FIND(",",VLOOKUP($A9,INDIRECT("'"&amp;Summary!BD$1&amp;"'!$A$1:$S$17"),2,FALSE))-1)))</f>
        <v>Austin Seferian-Jenkins</v>
      </c>
      <c r="BE9" s="2" t="str">
        <f ca="1">IF(ISNUMBER(SEARCH("QB",VLOOKUP($A9,INDIRECT("'"&amp;Summary!BD$1&amp;"'!$A$1:$S$17"),2,FALSE))),"QB",
IF(ISNUMBER(SEARCH("RB",VLOOKUP($A9,INDIRECT("'"&amp;Summary!BD$1&amp;"'!$A$1:$S$17"),2,FALSE))),"RB",
IF(ISNUMBER(SEARCH("WR",VLOOKUP($A9,INDIRECT("'"&amp;Summary!BD$1&amp;"'!$A$1:$S$17"),2,FALSE))),"WR",
IF(ISNUMBER(SEARCH("D/ST",VLOOKUP($A9,INDIRECT("'"&amp;Summary!BD$1&amp;"'!$A$1:$S$17"),2,FALSE))),"D/ST",
IF(ISNUMBER(SEARCH("TE",VLOOKUP($A9,INDIRECT("'"&amp;Summary!BD$1&amp;"'!$A$1:$S$17"),2,FALSE))),"TE","")))))</f>
        <v>TE</v>
      </c>
      <c r="BF9" s="2">
        <f ca="1">IF(BE9="","",IF(BE9&lt;&gt;"D/ST",VLOOKUP($A9,INDIRECT("'"&amp;Summary!BD$1&amp;"'!$A$1:$S$17"),19,FALSE),VLOOKUP($A9,INDIRECT("'"&amp;Summary!BD$1&amp;"'!$A$1:$S$17"),12,FALSE)))</f>
        <v>9.6999999999999993</v>
      </c>
      <c r="BG9" s="2">
        <f t="array" aca="1" ref="BG9" ca="1">IF(BE9="","",IF(BE9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9,INDIRECT("'"&amp;Summary!BD$1&amp;"'!$A$1:$A$17"),0)&amp;":$S"&amp;MATCH($A9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9,INDIRECT("'"&amp;Summary!BD$1&amp;"'!$A$1:$A$17"),0)&amp;":$S"&amp;MATCH($A9,INDIRECT("'"&amp;Summary!BD$1&amp;"'!$A$1:$A$17"),0)))))</f>
        <v>0</v>
      </c>
      <c r="BH9" s="3">
        <f t="shared" ca="1" si="25"/>
        <v>0</v>
      </c>
      <c r="BI9" s="3">
        <f t="shared" ca="1" si="9"/>
        <v>1</v>
      </c>
      <c r="BJ9" s="2" t="str">
        <f ca="1">IF(BK9="","",IF(BK9="D/ST",MID(VLOOKUP($A9,INDIRECT("'"&amp;Summary!BJ$1&amp;"'!$A$1:$S$17"),2,FALSE),1,FIND(" ",VLOOKUP($A9,INDIRECT("'"&amp;Summary!BJ$1&amp;"'!$A$1:$S$17"),2,FALSE))+4),MID(VLOOKUP($A9,INDIRECT("'"&amp;Summary!BJ$1&amp;"'!$A$1:$S$17"),2,FALSE),1,FIND(",",VLOOKUP($A9,INDIRECT("'"&amp;Summary!BJ$1&amp;"'!$A$1:$S$17"),2,FALSE))-1)))</f>
        <v>Mike Evans</v>
      </c>
      <c r="BK9" s="2" t="str">
        <f ca="1">IF(ISNUMBER(SEARCH("QB",VLOOKUP($A9,INDIRECT("'"&amp;Summary!BJ$1&amp;"'!$A$1:$S$17"),2,FALSE))),"QB",
IF(ISNUMBER(SEARCH("RB",VLOOKUP($A9,INDIRECT("'"&amp;Summary!BJ$1&amp;"'!$A$1:$S$17"),2,FALSE))),"RB",
IF(ISNUMBER(SEARCH("WR",VLOOKUP($A9,INDIRECT("'"&amp;Summary!BJ$1&amp;"'!$A$1:$S$17"),2,FALSE))),"WR",
IF(ISNUMBER(SEARCH("D/ST",VLOOKUP($A9,INDIRECT("'"&amp;Summary!BJ$1&amp;"'!$A$1:$S$17"),2,FALSE))),"D/ST",
IF(ISNUMBER(SEARCH("TE",VLOOKUP($A9,INDIRECT("'"&amp;Summary!BJ$1&amp;"'!$A$1:$S$17"),2,FALSE))),"TE","")))))</f>
        <v>WR</v>
      </c>
      <c r="BL9" s="2">
        <f ca="1">IF(BK9="","",IF(BK9&lt;&gt;"D/ST",VLOOKUP($A9,INDIRECT("'"&amp;Summary!BJ$1&amp;"'!$A$1:$S$17"),19,FALSE),VLOOKUP($A9,INDIRECT("'"&amp;Summary!BJ$1&amp;"'!$A$1:$S$17"),12,FALSE)))</f>
        <v>11.7</v>
      </c>
      <c r="BM9" s="2">
        <f t="array" aca="1" ref="BM9" ca="1">IF(BK9="","",IF(BK9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9,INDIRECT("'"&amp;Summary!BJ$1&amp;"'!$A$1:$A$17"),0)&amp;":$S"&amp;MATCH($A9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9,INDIRECT("'"&amp;Summary!BJ$1&amp;"'!$A$1:$A$17"),0)&amp;":$S"&amp;MATCH($A9,INDIRECT("'"&amp;Summary!BJ$1&amp;"'!$A$1:$A$17"),0)))))</f>
        <v>0</v>
      </c>
      <c r="BN9" s="3">
        <f t="shared" ca="1" si="26"/>
        <v>0</v>
      </c>
      <c r="BO9" s="3">
        <f t="shared" ca="1" si="10"/>
        <v>1</v>
      </c>
      <c r="BP9" s="2" t="str">
        <f ca="1">IF(BQ9="","",IF(BQ9="D/ST",MID(VLOOKUP($A9,INDIRECT("'"&amp;Summary!BP$1&amp;"'!$A$1:$S$17"),2,FALSE),1,FIND(" ",VLOOKUP($A9,INDIRECT("'"&amp;Summary!BP$1&amp;"'!$A$1:$S$17"),2,FALSE))+4),MID(VLOOKUP($A9,INDIRECT("'"&amp;Summary!BP$1&amp;"'!$A$1:$S$17"),2,FALSE),1,FIND(",",VLOOKUP($A9,INDIRECT("'"&amp;Summary!BP$1&amp;"'!$A$1:$S$17"),2,FALSE))-1)))</f>
        <v>Mike Evans</v>
      </c>
      <c r="BQ9" s="2" t="str">
        <f ca="1">IF(ISNUMBER(SEARCH("QB",VLOOKUP($A9,INDIRECT("'"&amp;Summary!BP$1&amp;"'!$A$1:$S$17"),2,FALSE))),"QB",
IF(ISNUMBER(SEARCH("RB",VLOOKUP($A9,INDIRECT("'"&amp;Summary!BP$1&amp;"'!$A$1:$S$17"),2,FALSE))),"RB",
IF(ISNUMBER(SEARCH("WR",VLOOKUP($A9,INDIRECT("'"&amp;Summary!BP$1&amp;"'!$A$1:$S$17"),2,FALSE))),"WR",
IF(ISNUMBER(SEARCH("D/ST",VLOOKUP($A9,INDIRECT("'"&amp;Summary!BP$1&amp;"'!$A$1:$S$17"),2,FALSE))),"D/ST",
IF(ISNUMBER(SEARCH("TE",VLOOKUP($A9,INDIRECT("'"&amp;Summary!BP$1&amp;"'!$A$1:$S$17"),2,FALSE))),"TE","")))))</f>
        <v>WR</v>
      </c>
      <c r="BR9" s="2">
        <f ca="1">IF(BQ9="","",IF(BQ9&lt;&gt;"D/ST",VLOOKUP($A9,INDIRECT("'"&amp;Summary!BP$1&amp;"'!$A$1:$S$17"),19,FALSE),VLOOKUP($A9,INDIRECT("'"&amp;Summary!BP$1&amp;"'!$A$1:$S$17"),12,FALSE)))</f>
        <v>10.8</v>
      </c>
      <c r="BS9" s="2">
        <f t="array" aca="1" ref="BS9" ca="1">IF(BQ9="","",IF(BQ9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9,INDIRECT("'"&amp;Summary!BP$1&amp;"'!$A$1:$A$17"),0)&amp;":$S"&amp;MATCH($A9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9,INDIRECT("'"&amp;Summary!BP$1&amp;"'!$A$1:$A$17"),0)&amp;":$S"&amp;MATCH($A9,INDIRECT("'"&amp;Summary!BP$1&amp;"'!$A$1:$A$17"),0)))))</f>
        <v>0</v>
      </c>
      <c r="BT9" s="3">
        <f t="shared" ca="1" si="27"/>
        <v>0</v>
      </c>
      <c r="BU9" s="3">
        <f t="shared" ca="1" si="11"/>
        <v>1</v>
      </c>
      <c r="BV9" s="2" t="str">
        <f ca="1">IF(BW9="","",IF(BW9="D/ST",MID(VLOOKUP($A9,INDIRECT("'"&amp;Summary!BV$1&amp;"'!$A$1:$S$17"),2,FALSE),1,FIND(" ",VLOOKUP($A9,INDIRECT("'"&amp;Summary!BV$1&amp;"'!$A$1:$S$17"),2,FALSE))+4),MID(VLOOKUP($A9,INDIRECT("'"&amp;Summary!BV$1&amp;"'!$A$1:$S$17"),2,FALSE),1,FIND(",",VLOOKUP($A9,INDIRECT("'"&amp;Summary!BV$1&amp;"'!$A$1:$S$17"),2,FALSE))-1)))</f>
        <v>Mike Evans</v>
      </c>
      <c r="BW9" s="2" t="str">
        <f ca="1">IF(ISNUMBER(SEARCH("QB",VLOOKUP($A9,INDIRECT("'"&amp;Summary!BV$1&amp;"'!$A$1:$S$17"),2,FALSE))),"QB",
IF(ISNUMBER(SEARCH("RB",VLOOKUP($A9,INDIRECT("'"&amp;Summary!BV$1&amp;"'!$A$1:$S$17"),2,FALSE))),"RB",
IF(ISNUMBER(SEARCH("WR",VLOOKUP($A9,INDIRECT("'"&amp;Summary!BV$1&amp;"'!$A$1:$S$17"),2,FALSE))),"WR",
IF(ISNUMBER(SEARCH("D/ST",VLOOKUP($A9,INDIRECT("'"&amp;Summary!BV$1&amp;"'!$A$1:$S$17"),2,FALSE))),"D/ST",
IF(ISNUMBER(SEARCH("TE",VLOOKUP($A9,INDIRECT("'"&amp;Summary!BV$1&amp;"'!$A$1:$S$17"),2,FALSE))),"TE","")))))</f>
        <v>WR</v>
      </c>
      <c r="BX9" s="2">
        <f ca="1">IF(BW9="","",IF(BW9&lt;&gt;"D/ST",VLOOKUP($A9,INDIRECT("'"&amp;Summary!BV$1&amp;"'!$A$1:$S$17"),19,FALSE),VLOOKUP($A9,INDIRECT("'"&amp;Summary!BV$1&amp;"'!$A$1:$S$17"),12,FALSE)))</f>
        <v>4.3</v>
      </c>
      <c r="BY9" s="2">
        <f t="array" aca="1" ref="BY9" ca="1">IF(BW9="","",IF(BW9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9,INDIRECT("'"&amp;Summary!BV$1&amp;"'!$A$1:$A$17"),0)&amp;":$S"&amp;MATCH($A9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9,INDIRECT("'"&amp;Summary!BV$1&amp;"'!$A$1:$A$17"),0)&amp;":$S"&amp;MATCH($A9,INDIRECT("'"&amp;Summary!BV$1&amp;"'!$A$1:$A$17"),0)))))</f>
        <v>0</v>
      </c>
      <c r="BZ9" s="3">
        <f t="shared" ca="1" si="28"/>
        <v>0</v>
      </c>
      <c r="CA9" s="3">
        <f t="shared" ca="1" si="12"/>
        <v>1</v>
      </c>
      <c r="CB9" s="2" t="str">
        <f ca="1">IF(CC9="","",IF(CC9="D/ST",MID(VLOOKUP($A9,INDIRECT("'"&amp;Summary!CB$1&amp;"'!$A$1:$S$17"),2,FALSE),1,FIND(" ",VLOOKUP($A9,INDIRECT("'"&amp;Summary!CB$1&amp;"'!$A$1:$S$17"),2,FALSE))+4),MID(VLOOKUP($A9,INDIRECT("'"&amp;Summary!CB$1&amp;"'!$A$1:$S$17"),2,FALSE),1,FIND(",",VLOOKUP($A9,INDIRECT("'"&amp;Summary!CB$1&amp;"'!$A$1:$S$17"),2,FALSE))-1)))</f>
        <v>Kenyan Drake</v>
      </c>
      <c r="CC9" s="2" t="str">
        <f ca="1">IF(ISNUMBER(SEARCH("QB",VLOOKUP($A9,INDIRECT("'"&amp;Summary!CB$1&amp;"'!$A$1:$S$17"),2,FALSE))),"QB",
IF(ISNUMBER(SEARCH("RB",VLOOKUP($A9,INDIRECT("'"&amp;Summary!CB$1&amp;"'!$A$1:$S$17"),2,FALSE))),"RB",
IF(ISNUMBER(SEARCH("WR",VLOOKUP($A9,INDIRECT("'"&amp;Summary!CB$1&amp;"'!$A$1:$S$17"),2,FALSE))),"WR",
IF(ISNUMBER(SEARCH("D/ST",VLOOKUP($A9,INDIRECT("'"&amp;Summary!CB$1&amp;"'!$A$1:$S$17"),2,FALSE))),"D/ST",
IF(ISNUMBER(SEARCH("TE",VLOOKUP($A9,INDIRECT("'"&amp;Summary!CB$1&amp;"'!$A$1:$S$17"),2,FALSE))),"TE","")))))</f>
        <v>RB</v>
      </c>
      <c r="CD9" s="2">
        <f ca="1">IF(CC9="","",IF(CC9&lt;&gt;"D/ST",VLOOKUP($A9,INDIRECT("'"&amp;Summary!CB$1&amp;"'!$A$1:$S$17"),19,FALSE),VLOOKUP($A9,INDIRECT("'"&amp;Summary!CB$1&amp;"'!$A$1:$S$17"),12,FALSE)))</f>
        <v>21.8</v>
      </c>
      <c r="CE9" s="2">
        <f t="array" aca="1" ref="CE9" ca="1">IF(CC9="","",IF(CC9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9,INDIRECT("'"&amp;Summary!CB$1&amp;"'!$A$1:$A$17"),0)&amp;":$S"&amp;MATCH($A9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9,INDIRECT("'"&amp;Summary!CB$1&amp;"'!$A$1:$A$17"),0)&amp;":$S"&amp;MATCH($A9,INDIRECT("'"&amp;Summary!CB$1&amp;"'!$A$1:$A$17"),0)))))</f>
        <v>0</v>
      </c>
      <c r="CF9" s="3">
        <f t="shared" ca="1" si="29"/>
        <v>0</v>
      </c>
      <c r="CG9" s="3">
        <f t="shared" ca="1" si="13"/>
        <v>1</v>
      </c>
      <c r="CH9" s="2" t="str">
        <f ca="1">IF(CI9="","",IF(CI9="D/ST",MID(VLOOKUP($A9,INDIRECT("'"&amp;Summary!CH$1&amp;"'!$A$1:$S$17"),2,FALSE),1,FIND(" ",VLOOKUP($A9,INDIRECT("'"&amp;Summary!CH$1&amp;"'!$A$1:$S$17"),2,FALSE))+4),MID(VLOOKUP($A9,INDIRECT("'"&amp;Summary!CH$1&amp;"'!$A$1:$S$17"),2,FALSE),1,FIND(",",VLOOKUP($A9,INDIRECT("'"&amp;Summary!CH$1&amp;"'!$A$1:$S$17"),2,FALSE))-1)))</f>
        <v>Alfred Morris</v>
      </c>
      <c r="CI9" s="2" t="str">
        <f ca="1">IF(ISNUMBER(SEARCH("QB",VLOOKUP($A9,INDIRECT("'"&amp;Summary!CH$1&amp;"'!$A$1:$S$17"),2,FALSE))),"QB",
IF(ISNUMBER(SEARCH("RB",VLOOKUP($A9,INDIRECT("'"&amp;Summary!CH$1&amp;"'!$A$1:$S$17"),2,FALSE))),"RB",
IF(ISNUMBER(SEARCH("WR",VLOOKUP($A9,INDIRECT("'"&amp;Summary!CH$1&amp;"'!$A$1:$S$17"),2,FALSE))),"WR",
IF(ISNUMBER(SEARCH("D/ST",VLOOKUP($A9,INDIRECT("'"&amp;Summary!CH$1&amp;"'!$A$1:$S$17"),2,FALSE))),"D/ST",
IF(ISNUMBER(SEARCH("TE",VLOOKUP($A9,INDIRECT("'"&amp;Summary!CH$1&amp;"'!$A$1:$S$17"),2,FALSE))),"TE","")))))</f>
        <v>RB</v>
      </c>
      <c r="CJ9" s="2">
        <f ca="1">IF(CI9="","",IF(CI9&lt;&gt;"D/ST",VLOOKUP($A9,INDIRECT("'"&amp;Summary!CH$1&amp;"'!$A$1:$S$17"),19,FALSE),VLOOKUP($A9,INDIRECT("'"&amp;Summary!CH$1&amp;"'!$A$1:$S$17"),12,FALSE)))</f>
        <v>7.1</v>
      </c>
      <c r="CK9" s="2">
        <f t="array" aca="1" ref="CK9" ca="1">IF(CI9="","",IF(CI9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9,INDIRECT("'"&amp;Summary!CH$1&amp;"'!$A$1:$A$17"),0)&amp;":$S"&amp;MATCH($A9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9,INDIRECT("'"&amp;Summary!CH$1&amp;"'!$A$1:$A$17"),0)&amp;":$S"&amp;MATCH($A9,INDIRECT("'"&amp;Summary!CH$1&amp;"'!$A$1:$A$17"),0)))))</f>
        <v>0</v>
      </c>
      <c r="CL9" s="3">
        <f t="shared" ca="1" si="30"/>
        <v>0</v>
      </c>
      <c r="CM9" s="3">
        <f t="shared" ca="1" si="14"/>
        <v>1</v>
      </c>
      <c r="CN9" s="2" t="str">
        <f ca="1">IF(CO9="","",IF(CO9="D/ST",MID(VLOOKUP($A9,INDIRECT("'"&amp;Summary!CN$1&amp;"'!$A$1:$S$17"),2,FALSE),1,FIND(" ",VLOOKUP($A9,INDIRECT("'"&amp;Summary!CN$1&amp;"'!$A$1:$S$17"),2,FALSE))+4),MID(VLOOKUP($A9,INDIRECT("'"&amp;Summary!CN$1&amp;"'!$A$1:$S$17"),2,FALSE),1,FIND(",",VLOOKUP($A9,INDIRECT("'"&amp;Summary!CN$1&amp;"'!$A$1:$S$17"),2,FALSE))-1)))</f>
        <v>Mike Evans</v>
      </c>
      <c r="CO9" s="2" t="str">
        <f ca="1">IF(ISNUMBER(SEARCH("QB",VLOOKUP($A9,INDIRECT("'"&amp;Summary!CN$1&amp;"'!$A$1:$S$17"),2,FALSE))),"QB",
IF(ISNUMBER(SEARCH("RB",VLOOKUP($A9,INDIRECT("'"&amp;Summary!CN$1&amp;"'!$A$1:$S$17"),2,FALSE))),"RB",
IF(ISNUMBER(SEARCH("WR",VLOOKUP($A9,INDIRECT("'"&amp;Summary!CN$1&amp;"'!$A$1:$S$17"),2,FALSE))),"WR",
IF(ISNUMBER(SEARCH("D/ST",VLOOKUP($A9,INDIRECT("'"&amp;Summary!CN$1&amp;"'!$A$1:$S$17"),2,FALSE))),"D/ST",
IF(ISNUMBER(SEARCH("TE",VLOOKUP($A9,INDIRECT("'"&amp;Summary!CN$1&amp;"'!$A$1:$S$17"),2,FALSE))),"TE","")))))</f>
        <v>WR</v>
      </c>
      <c r="CP9" s="2">
        <f ca="1">IF(CO9="","",IF(CO9&lt;&gt;"D/ST",VLOOKUP($A9,INDIRECT("'"&amp;Summary!CN$1&amp;"'!$A$1:$S$17"),19,FALSE),VLOOKUP($A9,INDIRECT("'"&amp;Summary!CN$1&amp;"'!$A$1:$S$17"),12,FALSE)))</f>
        <v>13.7</v>
      </c>
      <c r="CQ9" s="2">
        <f t="array" aca="1" ref="CQ9" ca="1">IF(CO9="","",IF(CO9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9,INDIRECT("'"&amp;Summary!CN$1&amp;"'!$A$1:$A$17"),0)&amp;":$S"&amp;MATCH($A9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9,INDIRECT("'"&amp;Summary!CN$1&amp;"'!$A$1:$A$17"),0)&amp;":$S"&amp;MATCH($A9,INDIRECT("'"&amp;Summary!CN$1&amp;"'!$A$1:$A$17"),0)))))</f>
        <v>0</v>
      </c>
      <c r="CR9" s="3">
        <f t="shared" ca="1" si="31"/>
        <v>0</v>
      </c>
      <c r="CS9" s="3">
        <f t="shared" ca="1" si="15"/>
        <v>1</v>
      </c>
    </row>
    <row r="10" spans="1:97" ht="16.25" thickTop="1" thickBot="1" x14ac:dyDescent="0.9">
      <c r="A10" s="2" t="s">
        <v>72</v>
      </c>
      <c r="B10" s="2" t="str">
        <f ca="1">IF(C10="","",IF(C10="D/ST",MID(VLOOKUP($A10,INDIRECT("'"&amp;Summary!B$1&amp;"'!$A$1:$S$17"),2,FALSE),1,FIND(" ",VLOOKUP($A10,INDIRECT("'"&amp;Summary!B$1&amp;"'!$A$1:$S$17"),2,FALSE))+4),MID(VLOOKUP($A10,INDIRECT("'"&amp;Summary!B$1&amp;"'!$A$1:$S$17"),2,FALSE),1,FIND(",",VLOOKUP($A10,INDIRECT("'"&amp;Summary!B$1&amp;"'!$A$1:$S$17"),2,FALSE))-1)))</f>
        <v>Texans D/ST</v>
      </c>
      <c r="C10" s="2" t="str">
        <f ca="1">IF(ISNUMBER(SEARCH("QB",VLOOKUP($A10,INDIRECT("'"&amp;Summary!B$1&amp;"'!$A$1:$S$17"),2,FALSE))),"QB",
IF(ISNUMBER(SEARCH("RB",VLOOKUP($A10,INDIRECT("'"&amp;Summary!B$1&amp;"'!$A$1:$S$17"),2,FALSE))),"RB",
IF(ISNUMBER(SEARCH("WR",VLOOKUP($A10,INDIRECT("'"&amp;Summary!B$1&amp;"'!$A$1:$S$17"),2,FALSE))),"WR",
IF(ISNUMBER(SEARCH("D/ST",VLOOKUP($A10,INDIRECT("'"&amp;Summary!B$1&amp;"'!$A$1:$S$17"),2,FALSE))),"D/ST",
IF(ISNUMBER(SEARCH("TE",VLOOKUP($A10,INDIRECT("'"&amp;Summary!B$1&amp;"'!$A$1:$S$17"),2,FALSE))),"TE","")))))</f>
        <v>D/ST</v>
      </c>
      <c r="D10" s="2">
        <f ca="1">IF(C10="","",IF(C10&lt;&gt;"D/ST",VLOOKUP($A10,INDIRECT("'"&amp;Summary!B$1&amp;"'!$A$1:$S$17"),19,FALSE),VLOOKUP($A10,INDIRECT("'"&amp;Summary!B$1&amp;"'!$A$1:$S$17"),12,FALSE)))</f>
        <v>2</v>
      </c>
      <c r="E10" s="2">
        <f t="array" aca="1" ref="E10" ca="1">IF(C10="","",IF(C10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10,INDIRECT("'"&amp;Summary!B$1&amp;"'!$A$1:$A$17"),0)&amp;":$S"&amp;MATCH($A10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10,INDIRECT("'"&amp;Summary!B$1&amp;"'!$A$1:$A$17"),0)&amp;":$S"&amp;MATCH($A10,INDIRECT("'"&amp;Summary!B$1&amp;"'!$A$1:$A$17"),0)))))</f>
        <v>0</v>
      </c>
      <c r="F10" s="3">
        <f t="shared" ca="1" si="16"/>
        <v>0</v>
      </c>
      <c r="G10" s="3">
        <f t="shared" ca="1" si="0"/>
        <v>1</v>
      </c>
      <c r="H10" s="2" t="str">
        <f ca="1">IF(I10="","",IF(I10="D/ST",MID(VLOOKUP($A10,INDIRECT("'"&amp;Summary!H$1&amp;"'!$A$1:$S$17"),2,FALSE),1,FIND(" ",VLOOKUP($A10,INDIRECT("'"&amp;Summary!H$1&amp;"'!$A$1:$S$17"),2,FALSE))+4),MID(VLOOKUP($A10,INDIRECT("'"&amp;Summary!H$1&amp;"'!$A$1:$S$17"),2,FALSE),1,FIND(",",VLOOKUP($A10,INDIRECT("'"&amp;Summary!H$1&amp;"'!$A$1:$S$17"),2,FALSE))-1)))</f>
        <v>Raiders D/ST</v>
      </c>
      <c r="I10" s="2" t="str">
        <f ca="1">IF(ISNUMBER(SEARCH("QB",VLOOKUP($A10,INDIRECT("'"&amp;Summary!H$1&amp;"'!$A$1:$S$17"),2,FALSE))),"QB",
IF(ISNUMBER(SEARCH("RB",VLOOKUP($A10,INDIRECT("'"&amp;Summary!H$1&amp;"'!$A$1:$S$17"),2,FALSE))),"RB",
IF(ISNUMBER(SEARCH("WR",VLOOKUP($A10,INDIRECT("'"&amp;Summary!H$1&amp;"'!$A$1:$S$17"),2,FALSE))),"WR",
IF(ISNUMBER(SEARCH("D/ST",VLOOKUP($A10,INDIRECT("'"&amp;Summary!H$1&amp;"'!$A$1:$S$17"),2,FALSE))),"D/ST",
IF(ISNUMBER(SEARCH("TE",VLOOKUP($A10,INDIRECT("'"&amp;Summary!H$1&amp;"'!$A$1:$S$17"),2,FALSE))),"TE","")))))</f>
        <v>D/ST</v>
      </c>
      <c r="J10" s="2">
        <f ca="1">IF(I10="","",IF(I10&lt;&gt;"D/ST",VLOOKUP($A10,INDIRECT("'"&amp;Summary!H$1&amp;"'!$A$1:$S$17"),19,FALSE),VLOOKUP($A10,INDIRECT("'"&amp;Summary!H$1&amp;"'!$A$1:$S$17"),12,FALSE)))</f>
        <v>10</v>
      </c>
      <c r="K10" s="2">
        <f t="array" aca="1" ref="K10" ca="1">IF(I10="","",IF(I10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10,INDIRECT("'"&amp;Summary!H$1&amp;"'!$A$1:$A$17"),0)&amp;":$S"&amp;MATCH($A10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10,INDIRECT("'"&amp;Summary!H$1&amp;"'!$A$1:$A$17"),0)&amp;":$S"&amp;MATCH($A10,INDIRECT("'"&amp;Summary!H$1&amp;"'!$A$1:$A$17"),0)))))</f>
        <v>0</v>
      </c>
      <c r="L10" s="3">
        <f t="shared" ca="1" si="17"/>
        <v>0</v>
      </c>
      <c r="M10" s="3">
        <f t="shared" ca="1" si="1"/>
        <v>1</v>
      </c>
      <c r="N10" s="2" t="str">
        <f ca="1">IF(O10="","",IF(O10="D/ST",MID(VLOOKUP($A10,INDIRECT("'"&amp;Summary!N$1&amp;"'!$A$1:$S$17"),2,FALSE),1,FIND(" ",VLOOKUP($A10,INDIRECT("'"&amp;Summary!N$1&amp;"'!$A$1:$S$17"),2,FALSE))+4),MID(VLOOKUP($A10,INDIRECT("'"&amp;Summary!N$1&amp;"'!$A$1:$S$17"),2,FALSE),1,FIND(",",VLOOKUP($A10,INDIRECT("'"&amp;Summary!N$1&amp;"'!$A$1:$S$17"),2,FALSE))-1)))</f>
        <v>Broncos D/ST</v>
      </c>
      <c r="O10" s="2" t="str">
        <f ca="1">IF(ISNUMBER(SEARCH("QB",VLOOKUP($A10,INDIRECT("'"&amp;Summary!N$1&amp;"'!$A$1:$S$17"),2,FALSE))),"QB",
IF(ISNUMBER(SEARCH("RB",VLOOKUP($A10,INDIRECT("'"&amp;Summary!N$1&amp;"'!$A$1:$S$17"),2,FALSE))),"RB",
IF(ISNUMBER(SEARCH("WR",VLOOKUP($A10,INDIRECT("'"&amp;Summary!N$1&amp;"'!$A$1:$S$17"),2,FALSE))),"WR",
IF(ISNUMBER(SEARCH("D/ST",VLOOKUP($A10,INDIRECT("'"&amp;Summary!N$1&amp;"'!$A$1:$S$17"),2,FALSE))),"D/ST",
IF(ISNUMBER(SEARCH("TE",VLOOKUP($A10,INDIRECT("'"&amp;Summary!N$1&amp;"'!$A$1:$S$17"),2,FALSE))),"TE","")))))</f>
        <v>D/ST</v>
      </c>
      <c r="P10" s="2">
        <f ca="1">IF(O10="","",IF(O10&lt;&gt;"D/ST",VLOOKUP($A10,INDIRECT("'"&amp;Summary!N$1&amp;"'!$A$1:$S$17"),19,FALSE),VLOOKUP($A10,INDIRECT("'"&amp;Summary!N$1&amp;"'!$A$1:$S$17"),12,FALSE)))</f>
        <v>6</v>
      </c>
      <c r="Q10" s="2">
        <f t="array" aca="1" ref="Q10" ca="1">IF(O10="","",IF(O10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10,INDIRECT("'"&amp;Summary!N$1&amp;"'!$A$1:$A$17"),0)&amp;":$S"&amp;MATCH($A10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10,INDIRECT("'"&amp;Summary!N$1&amp;"'!$A$1:$A$17"),0)&amp;":$S"&amp;MATCH($A10,INDIRECT("'"&amp;Summary!N$1&amp;"'!$A$1:$A$17"),0)))))</f>
        <v>0</v>
      </c>
      <c r="R10" s="3">
        <f t="shared" ca="1" si="18"/>
        <v>0</v>
      </c>
      <c r="S10" s="3">
        <f t="shared" ca="1" si="2"/>
        <v>1</v>
      </c>
      <c r="T10" s="2" t="str">
        <f ca="1">IF(U10="","",IF(U10="D/ST",MID(VLOOKUP($A10,INDIRECT("'"&amp;Summary!T$1&amp;"'!$A$1:$S$17"),2,FALSE),1,FIND(" ",VLOOKUP($A10,INDIRECT("'"&amp;Summary!T$1&amp;"'!$A$1:$S$17"),2,FALSE))+4),MID(VLOOKUP($A10,INDIRECT("'"&amp;Summary!T$1&amp;"'!$A$1:$S$17"),2,FALSE),1,FIND(",",VLOOKUP($A10,INDIRECT("'"&amp;Summary!T$1&amp;"'!$A$1:$S$17"),2,FALSE))-1)))</f>
        <v>Broncos D/ST</v>
      </c>
      <c r="U10" s="2" t="str">
        <f ca="1">IF(ISNUMBER(SEARCH("QB",VLOOKUP($A10,INDIRECT("'"&amp;Summary!T$1&amp;"'!$A$1:$S$17"),2,FALSE))),"QB",
IF(ISNUMBER(SEARCH("RB",VLOOKUP($A10,INDIRECT("'"&amp;Summary!T$1&amp;"'!$A$1:$S$17"),2,FALSE))),"RB",
IF(ISNUMBER(SEARCH("WR",VLOOKUP($A10,INDIRECT("'"&amp;Summary!T$1&amp;"'!$A$1:$S$17"),2,FALSE))),"WR",
IF(ISNUMBER(SEARCH("D/ST",VLOOKUP($A10,INDIRECT("'"&amp;Summary!T$1&amp;"'!$A$1:$S$17"),2,FALSE))),"D/ST",
IF(ISNUMBER(SEARCH("TE",VLOOKUP($A10,INDIRECT("'"&amp;Summary!T$1&amp;"'!$A$1:$S$17"),2,FALSE))),"TE","")))))</f>
        <v>D/ST</v>
      </c>
      <c r="V10" s="2">
        <f ca="1">IF(U10="","",IF(U10&lt;&gt;"D/ST",VLOOKUP($A10,INDIRECT("'"&amp;Summary!T$1&amp;"'!$A$1:$S$17"),19,FALSE),VLOOKUP($A10,INDIRECT("'"&amp;Summary!T$1&amp;"'!$A$1:$S$17"),12,FALSE)))</f>
        <v>10</v>
      </c>
      <c r="W10" s="2">
        <f t="array" aca="1" ref="W10" ca="1">IF(U10="","",IF(U10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10,INDIRECT("'"&amp;Summary!T$1&amp;"'!$A$1:$A$17"),0)&amp;":$S"&amp;MATCH($A10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10,INDIRECT("'"&amp;Summary!T$1&amp;"'!$A$1:$A$17"),0)&amp;":$S"&amp;MATCH($A10,INDIRECT("'"&amp;Summary!T$1&amp;"'!$A$1:$A$17"),0)))))</f>
        <v>0</v>
      </c>
      <c r="X10" s="3">
        <f t="shared" ca="1" si="19"/>
        <v>0</v>
      </c>
      <c r="Y10" s="3">
        <f t="shared" ca="1" si="3"/>
        <v>1</v>
      </c>
      <c r="Z10" s="2" t="str">
        <f ca="1">IF(AA10="","",IF(AA10="D/ST",MID(VLOOKUP($A10,INDIRECT("'"&amp;Summary!Z$1&amp;"'!$A$1:$S$17"),2,FALSE),1,FIND(" ",VLOOKUP($A10,INDIRECT("'"&amp;Summary!Z$1&amp;"'!$A$1:$S$17"),2,FALSE))+4),MID(VLOOKUP($A10,INDIRECT("'"&amp;Summary!Z$1&amp;"'!$A$1:$S$17"),2,FALSE),1,FIND(",",VLOOKUP($A10,INDIRECT("'"&amp;Summary!Z$1&amp;"'!$A$1:$S$17"),2,FALSE))-1)))</f>
        <v>Bills D/ST</v>
      </c>
      <c r="AA10" s="2" t="str">
        <f ca="1">IF(ISNUMBER(SEARCH("QB",VLOOKUP($A10,INDIRECT("'"&amp;Summary!Z$1&amp;"'!$A$1:$S$17"),2,FALSE))),"QB",
IF(ISNUMBER(SEARCH("RB",VLOOKUP($A10,INDIRECT("'"&amp;Summary!Z$1&amp;"'!$A$1:$S$17"),2,FALSE))),"RB",
IF(ISNUMBER(SEARCH("WR",VLOOKUP($A10,INDIRECT("'"&amp;Summary!Z$1&amp;"'!$A$1:$S$17"),2,FALSE))),"WR",
IF(ISNUMBER(SEARCH("D/ST",VLOOKUP($A10,INDIRECT("'"&amp;Summary!Z$1&amp;"'!$A$1:$S$17"),2,FALSE))),"D/ST",
IF(ISNUMBER(SEARCH("TE",VLOOKUP($A10,INDIRECT("'"&amp;Summary!Z$1&amp;"'!$A$1:$S$17"),2,FALSE))),"TE","")))))</f>
        <v>D/ST</v>
      </c>
      <c r="AB10" s="2">
        <f ca="1">IF(AA10="","",IF(AA10&lt;&gt;"D/ST",VLOOKUP($A10,INDIRECT("'"&amp;Summary!Z$1&amp;"'!$A$1:$S$17"),19,FALSE),VLOOKUP($A10,INDIRECT("'"&amp;Summary!Z$1&amp;"'!$A$1:$S$17"),12,FALSE)))</f>
        <v>6</v>
      </c>
      <c r="AC10" s="2">
        <f t="array" aca="1" ref="AC10" ca="1">IF(AA10="","",IF(AA10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10,INDIRECT("'"&amp;Summary!Z$1&amp;"'!$A$1:$A$17"),0)&amp;":$S"&amp;MATCH($A10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10,INDIRECT("'"&amp;Summary!Z$1&amp;"'!$A$1:$A$17"),0)&amp;":$S"&amp;MATCH($A10,INDIRECT("'"&amp;Summary!Z$1&amp;"'!$A$1:$A$17"),0)))))</f>
        <v>0</v>
      </c>
      <c r="AD10" s="3">
        <f t="shared" ca="1" si="20"/>
        <v>0</v>
      </c>
      <c r="AE10" s="3">
        <f t="shared" ca="1" si="4"/>
        <v>1</v>
      </c>
      <c r="AF10" s="2" t="str">
        <f ca="1">IF(AG10="","",IF(AG10="D/ST",MID(VLOOKUP($A10,INDIRECT("'"&amp;Summary!AF$1&amp;"'!$A$1:$S$17"),2,FALSE),1,FIND(" ",VLOOKUP($A10,INDIRECT("'"&amp;Summary!AF$1&amp;"'!$A$1:$S$17"),2,FALSE))+4),MID(VLOOKUP($A10,INDIRECT("'"&amp;Summary!AF$1&amp;"'!$A$1:$S$17"),2,FALSE),1,FIND(",",VLOOKUP($A10,INDIRECT("'"&amp;Summary!AF$1&amp;"'!$A$1:$S$17"),2,FALSE))-1)))</f>
        <v>Broncos D/ST</v>
      </c>
      <c r="AG10" s="2" t="str">
        <f ca="1">IF(ISNUMBER(SEARCH("QB",VLOOKUP($A10,INDIRECT("'"&amp;Summary!AF$1&amp;"'!$A$1:$S$17"),2,FALSE))),"QB",
IF(ISNUMBER(SEARCH("RB",VLOOKUP($A10,INDIRECT("'"&amp;Summary!AF$1&amp;"'!$A$1:$S$17"),2,FALSE))),"RB",
IF(ISNUMBER(SEARCH("WR",VLOOKUP($A10,INDIRECT("'"&amp;Summary!AF$1&amp;"'!$A$1:$S$17"),2,FALSE))),"WR",
IF(ISNUMBER(SEARCH("D/ST",VLOOKUP($A10,INDIRECT("'"&amp;Summary!AF$1&amp;"'!$A$1:$S$17"),2,FALSE))),"D/ST",
IF(ISNUMBER(SEARCH("TE",VLOOKUP($A10,INDIRECT("'"&amp;Summary!AF$1&amp;"'!$A$1:$S$17"),2,FALSE))),"TE","")))))</f>
        <v>D/ST</v>
      </c>
      <c r="AH10" s="2">
        <f ca="1">IF(AG10="","",IF(AG10&lt;&gt;"D/ST",VLOOKUP($A10,INDIRECT("'"&amp;Summary!AF$1&amp;"'!$A$1:$S$17"),19,FALSE),VLOOKUP($A10,INDIRECT("'"&amp;Summary!AF$1&amp;"'!$A$1:$S$17"),12,FALSE)))</f>
        <v>8</v>
      </c>
      <c r="AI10" s="2">
        <f t="array" aca="1" ref="AI10" ca="1">IF(AG10="","",IF(AG10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10,INDIRECT("'"&amp;Summary!AF$1&amp;"'!$A$1:$A$17"),0)&amp;":$S"&amp;MATCH($A10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10,INDIRECT("'"&amp;Summary!AF$1&amp;"'!$A$1:$A$17"),0)&amp;":$S"&amp;MATCH($A10,INDIRECT("'"&amp;Summary!AF$1&amp;"'!$A$1:$A$17"),0)))))</f>
        <v>0</v>
      </c>
      <c r="AJ10" s="3">
        <f t="shared" ca="1" si="21"/>
        <v>0</v>
      </c>
      <c r="AK10" s="3">
        <f t="shared" ca="1" si="5"/>
        <v>1</v>
      </c>
      <c r="AL10" s="2" t="str">
        <f ca="1">IF(AM10="","",IF(AM10="D/ST",MID(VLOOKUP($A10,INDIRECT("'"&amp;Summary!AL$1&amp;"'!$A$1:$S$17"),2,FALSE),1,FIND(" ",VLOOKUP($A10,INDIRECT("'"&amp;Summary!AL$1&amp;"'!$A$1:$S$17"),2,FALSE))+4),MID(VLOOKUP($A10,INDIRECT("'"&amp;Summary!AL$1&amp;"'!$A$1:$S$17"),2,FALSE),1,FIND(",",VLOOKUP($A10,INDIRECT("'"&amp;Summary!AL$1&amp;"'!$A$1:$S$17"),2,FALSE))-1)))</f>
        <v>Broncos D/ST</v>
      </c>
      <c r="AM10" s="2" t="str">
        <f ca="1">IF(ISNUMBER(SEARCH("QB",VLOOKUP($A10,INDIRECT("'"&amp;Summary!AL$1&amp;"'!$A$1:$S$17"),2,FALSE))),"QB",
IF(ISNUMBER(SEARCH("RB",VLOOKUP($A10,INDIRECT("'"&amp;Summary!AL$1&amp;"'!$A$1:$S$17"),2,FALSE))),"RB",
IF(ISNUMBER(SEARCH("WR",VLOOKUP($A10,INDIRECT("'"&amp;Summary!AL$1&amp;"'!$A$1:$S$17"),2,FALSE))),"WR",
IF(ISNUMBER(SEARCH("D/ST",VLOOKUP($A10,INDIRECT("'"&amp;Summary!AL$1&amp;"'!$A$1:$S$17"),2,FALSE))),"D/ST",
IF(ISNUMBER(SEARCH("TE",VLOOKUP($A10,INDIRECT("'"&amp;Summary!AL$1&amp;"'!$A$1:$S$17"),2,FALSE))),"TE","")))))</f>
        <v>D/ST</v>
      </c>
      <c r="AN10" s="2">
        <f ca="1">IF(AM10="","",IF(AM10&lt;&gt;"D/ST",VLOOKUP($A10,INDIRECT("'"&amp;Summary!AL$1&amp;"'!$A$1:$S$17"),19,FALSE),VLOOKUP($A10,INDIRECT("'"&amp;Summary!AL$1&amp;"'!$A$1:$S$17"),12,FALSE)))</f>
        <v>5</v>
      </c>
      <c r="AO10" s="2">
        <f t="array" aca="1" ref="AO10" ca="1">IF(AM10="","",IF(AM10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10,INDIRECT("'"&amp;Summary!AL$1&amp;"'!$A$1:$A$17"),0)&amp;":$S"&amp;MATCH($A10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10,INDIRECT("'"&amp;Summary!AL$1&amp;"'!$A$1:$A$17"),0)&amp;":$S"&amp;MATCH($A10,INDIRECT("'"&amp;Summary!AL$1&amp;"'!$A$1:$A$17"),0)))))</f>
        <v>0</v>
      </c>
      <c r="AP10" s="3">
        <f t="shared" ca="1" si="22"/>
        <v>0</v>
      </c>
      <c r="AQ10" s="3">
        <f t="shared" ca="1" si="6"/>
        <v>1</v>
      </c>
      <c r="AR10" s="2" t="str">
        <f ca="1">IF(AS10="","",IF(AS10="D/ST",MID(VLOOKUP($A10,INDIRECT("'"&amp;Summary!AR$1&amp;"'!$A$1:$S$17"),2,FALSE),1,FIND(" ",VLOOKUP($A10,INDIRECT("'"&amp;Summary!AR$1&amp;"'!$A$1:$S$17"),2,FALSE))+4),MID(VLOOKUP($A10,INDIRECT("'"&amp;Summary!AR$1&amp;"'!$A$1:$S$17"),2,FALSE),1,FIND(",",VLOOKUP($A10,INDIRECT("'"&amp;Summary!AR$1&amp;"'!$A$1:$S$17"),2,FALSE))-1)))</f>
        <v>Broncos D/ST</v>
      </c>
      <c r="AS10" s="2" t="str">
        <f ca="1">IF(ISNUMBER(SEARCH("QB",VLOOKUP($A10,INDIRECT("'"&amp;Summary!AR$1&amp;"'!$A$1:$S$17"),2,FALSE))),"QB",
IF(ISNUMBER(SEARCH("RB",VLOOKUP($A10,INDIRECT("'"&amp;Summary!AR$1&amp;"'!$A$1:$S$17"),2,FALSE))),"RB",
IF(ISNUMBER(SEARCH("WR",VLOOKUP($A10,INDIRECT("'"&amp;Summary!AR$1&amp;"'!$A$1:$S$17"),2,FALSE))),"WR",
IF(ISNUMBER(SEARCH("D/ST",VLOOKUP($A10,INDIRECT("'"&amp;Summary!AR$1&amp;"'!$A$1:$S$17"),2,FALSE))),"D/ST",
IF(ISNUMBER(SEARCH("TE",VLOOKUP($A10,INDIRECT("'"&amp;Summary!AR$1&amp;"'!$A$1:$S$17"),2,FALSE))),"TE","")))))</f>
        <v>D/ST</v>
      </c>
      <c r="AT10" s="2">
        <f ca="1">IF(AS10="","",IF(AS10&lt;&gt;"D/ST",VLOOKUP($A10,INDIRECT("'"&amp;Summary!AR$1&amp;"'!$A$1:$S$17"),19,FALSE),VLOOKUP($A10,INDIRECT("'"&amp;Summary!AR$1&amp;"'!$A$1:$S$17"),12,FALSE)))</f>
        <v>7</v>
      </c>
      <c r="AU10" s="2">
        <f t="array" aca="1" ref="AU10" ca="1">IF(AS10="","",IF(AS10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10,INDIRECT("'"&amp;Summary!AR$1&amp;"'!$A$1:$A$17"),0)&amp;":$S"&amp;MATCH($A10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10,INDIRECT("'"&amp;Summary!AR$1&amp;"'!$A$1:$A$17"),0)&amp;":$S"&amp;MATCH($A10,INDIRECT("'"&amp;Summary!AR$1&amp;"'!$A$1:$A$17"),0)))))</f>
        <v>0</v>
      </c>
      <c r="AV10" s="3">
        <f t="shared" ca="1" si="23"/>
        <v>0</v>
      </c>
      <c r="AW10" s="3">
        <f t="shared" ca="1" si="7"/>
        <v>1</v>
      </c>
      <c r="AX10" s="2" t="str">
        <f ca="1">IF(AY10="","",IF(AY10="D/ST",MID(VLOOKUP($A10,INDIRECT("'"&amp;Summary!AX$1&amp;"'!$A$1:$S$17"),2,FALSE),1,FIND(" ",VLOOKUP($A10,INDIRECT("'"&amp;Summary!AX$1&amp;"'!$A$1:$S$17"),2,FALSE))+4),MID(VLOOKUP($A10,INDIRECT("'"&amp;Summary!AX$1&amp;"'!$A$1:$S$17"),2,FALSE),1,FIND(",",VLOOKUP($A10,INDIRECT("'"&amp;Summary!AX$1&amp;"'!$A$1:$S$17"),2,FALSE))-1)))</f>
        <v>Broncos D/ST</v>
      </c>
      <c r="AY10" s="2" t="str">
        <f ca="1">IF(ISNUMBER(SEARCH("QB",VLOOKUP($A10,INDIRECT("'"&amp;Summary!AX$1&amp;"'!$A$1:$S$17"),2,FALSE))),"QB",
IF(ISNUMBER(SEARCH("RB",VLOOKUP($A10,INDIRECT("'"&amp;Summary!AX$1&amp;"'!$A$1:$S$17"),2,FALSE))),"RB",
IF(ISNUMBER(SEARCH("WR",VLOOKUP($A10,INDIRECT("'"&amp;Summary!AX$1&amp;"'!$A$1:$S$17"),2,FALSE))),"WR",
IF(ISNUMBER(SEARCH("D/ST",VLOOKUP($A10,INDIRECT("'"&amp;Summary!AX$1&amp;"'!$A$1:$S$17"),2,FALSE))),"D/ST",
IF(ISNUMBER(SEARCH("TE",VLOOKUP($A10,INDIRECT("'"&amp;Summary!AX$1&amp;"'!$A$1:$S$17"),2,FALSE))),"TE","")))))</f>
        <v>D/ST</v>
      </c>
      <c r="AZ10" s="2">
        <f ca="1">IF(AY10="","",IF(AY10&lt;&gt;"D/ST",VLOOKUP($A10,INDIRECT("'"&amp;Summary!AX$1&amp;"'!$A$1:$S$17"),19,FALSE),VLOOKUP($A10,INDIRECT("'"&amp;Summary!AX$1&amp;"'!$A$1:$S$17"),12,FALSE)))</f>
        <v>2</v>
      </c>
      <c r="BA10" s="2">
        <f t="array" aca="1" ref="BA10" ca="1">IF(AY10="","",IF(AY10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10,INDIRECT("'"&amp;Summary!AX$1&amp;"'!$A$1:$A$17"),0)&amp;":$S"&amp;MATCH($A10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10,INDIRECT("'"&amp;Summary!AX$1&amp;"'!$A$1:$A$17"),0)&amp;":$S"&amp;MATCH($A10,INDIRECT("'"&amp;Summary!AX$1&amp;"'!$A$1:$A$17"),0)))))</f>
        <v>1</v>
      </c>
      <c r="BB10" s="3">
        <f t="shared" ca="1" si="24"/>
        <v>3</v>
      </c>
      <c r="BC10" s="3">
        <f t="shared" ca="1" si="8"/>
        <v>-2</v>
      </c>
      <c r="BD10" s="2" t="str">
        <f ca="1">IF(BE10="","",IF(BE10="D/ST",MID(VLOOKUP($A10,INDIRECT("'"&amp;Summary!BD$1&amp;"'!$A$1:$S$17"),2,FALSE),1,FIND(" ",VLOOKUP($A10,INDIRECT("'"&amp;Summary!BD$1&amp;"'!$A$1:$S$17"),2,FALSE))+4),MID(VLOOKUP($A10,INDIRECT("'"&amp;Summary!BD$1&amp;"'!$A$1:$S$17"),2,FALSE),1,FIND(",",VLOOKUP($A10,INDIRECT("'"&amp;Summary!BD$1&amp;"'!$A$1:$S$17"),2,FALSE))-1)))</f>
        <v>Broncos D/ST</v>
      </c>
      <c r="BE10" s="2" t="str">
        <f ca="1">IF(ISNUMBER(SEARCH("QB",VLOOKUP($A10,INDIRECT("'"&amp;Summary!BD$1&amp;"'!$A$1:$S$17"),2,FALSE))),"QB",
IF(ISNUMBER(SEARCH("RB",VLOOKUP($A10,INDIRECT("'"&amp;Summary!BD$1&amp;"'!$A$1:$S$17"),2,FALSE))),"RB",
IF(ISNUMBER(SEARCH("WR",VLOOKUP($A10,INDIRECT("'"&amp;Summary!BD$1&amp;"'!$A$1:$S$17"),2,FALSE))),"WR",
IF(ISNUMBER(SEARCH("D/ST",VLOOKUP($A10,INDIRECT("'"&amp;Summary!BD$1&amp;"'!$A$1:$S$17"),2,FALSE))),"D/ST",
IF(ISNUMBER(SEARCH("TE",VLOOKUP($A10,INDIRECT("'"&amp;Summary!BD$1&amp;"'!$A$1:$S$17"),2,FALSE))),"TE","")))))</f>
        <v>D/ST</v>
      </c>
      <c r="BF10" s="2">
        <f ca="1">IF(BE10="","",IF(BE10&lt;&gt;"D/ST",VLOOKUP($A10,INDIRECT("'"&amp;Summary!BD$1&amp;"'!$A$1:$S$17"),19,FALSE),VLOOKUP($A10,INDIRECT("'"&amp;Summary!BD$1&amp;"'!$A$1:$S$17"),12,FALSE)))</f>
        <v>-3</v>
      </c>
      <c r="BG10" s="2">
        <f t="array" aca="1" ref="BG10" ca="1">IF(BE10="","",IF(BE10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10,INDIRECT("'"&amp;Summary!BD$1&amp;"'!$A$1:$A$17"),0)&amp;":$S"&amp;MATCH($A10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10,INDIRECT("'"&amp;Summary!BD$1&amp;"'!$A$1:$A$17"),0)&amp;":$S"&amp;MATCH($A10,INDIRECT("'"&amp;Summary!BD$1&amp;"'!$A$1:$A$17"),0)))))</f>
        <v>0</v>
      </c>
      <c r="BH10" s="3">
        <f t="shared" ca="1" si="25"/>
        <v>0</v>
      </c>
      <c r="BI10" s="3">
        <f t="shared" ca="1" si="9"/>
        <v>1</v>
      </c>
      <c r="BJ10" s="2" t="str">
        <f ca="1">IF(BK10="","",IF(BK10="D/ST",MID(VLOOKUP($A10,INDIRECT("'"&amp;Summary!BJ$1&amp;"'!$A$1:$S$17"),2,FALSE),1,FIND(" ",VLOOKUP($A10,INDIRECT("'"&amp;Summary!BJ$1&amp;"'!$A$1:$S$17"),2,FALSE))+4),MID(VLOOKUP($A10,INDIRECT("'"&amp;Summary!BJ$1&amp;"'!$A$1:$S$17"),2,FALSE),1,FIND(",",VLOOKUP($A10,INDIRECT("'"&amp;Summary!BJ$1&amp;"'!$A$1:$S$17"),2,FALSE))-1)))</f>
        <v>Broncos D/ST</v>
      </c>
      <c r="BK10" s="2" t="str">
        <f ca="1">IF(ISNUMBER(SEARCH("QB",VLOOKUP($A10,INDIRECT("'"&amp;Summary!BJ$1&amp;"'!$A$1:$S$17"),2,FALSE))),"QB",
IF(ISNUMBER(SEARCH("RB",VLOOKUP($A10,INDIRECT("'"&amp;Summary!BJ$1&amp;"'!$A$1:$S$17"),2,FALSE))),"RB",
IF(ISNUMBER(SEARCH("WR",VLOOKUP($A10,INDIRECT("'"&amp;Summary!BJ$1&amp;"'!$A$1:$S$17"),2,FALSE))),"WR",
IF(ISNUMBER(SEARCH("D/ST",VLOOKUP($A10,INDIRECT("'"&amp;Summary!BJ$1&amp;"'!$A$1:$S$17"),2,FALSE))),"D/ST",
IF(ISNUMBER(SEARCH("TE",VLOOKUP($A10,INDIRECT("'"&amp;Summary!BJ$1&amp;"'!$A$1:$S$17"),2,FALSE))),"TE","")))))</f>
        <v>D/ST</v>
      </c>
      <c r="BL10" s="2">
        <f ca="1">IF(BK10="","",IF(BK10&lt;&gt;"D/ST",VLOOKUP($A10,INDIRECT("'"&amp;Summary!BJ$1&amp;"'!$A$1:$S$17"),19,FALSE),VLOOKUP($A10,INDIRECT("'"&amp;Summary!BJ$1&amp;"'!$A$1:$S$17"),12,FALSE)))</f>
        <v>7</v>
      </c>
      <c r="BM10" s="2">
        <f t="array" aca="1" ref="BM10" ca="1">IF(BK10="","",IF(BK10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10,INDIRECT("'"&amp;Summary!BJ$1&amp;"'!$A$1:$A$17"),0)&amp;":$S"&amp;MATCH($A10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10,INDIRECT("'"&amp;Summary!BJ$1&amp;"'!$A$1:$A$17"),0)&amp;":$S"&amp;MATCH($A10,INDIRECT("'"&amp;Summary!BJ$1&amp;"'!$A$1:$A$17"),0)))))</f>
        <v>0</v>
      </c>
      <c r="BN10" s="3">
        <f t="shared" ca="1" si="26"/>
        <v>0</v>
      </c>
      <c r="BO10" s="3">
        <f t="shared" ca="1" si="10"/>
        <v>1</v>
      </c>
      <c r="BP10" s="2" t="str">
        <f ca="1">IF(BQ10="","",IF(BQ10="D/ST",MID(VLOOKUP($A10,INDIRECT("'"&amp;Summary!BP$1&amp;"'!$A$1:$S$17"),2,FALSE),1,FIND(" ",VLOOKUP($A10,INDIRECT("'"&amp;Summary!BP$1&amp;"'!$A$1:$S$17"),2,FALSE))+4),MID(VLOOKUP($A10,INDIRECT("'"&amp;Summary!BP$1&amp;"'!$A$1:$S$17"),2,FALSE),1,FIND(",",VLOOKUP($A10,INDIRECT("'"&amp;Summary!BP$1&amp;"'!$A$1:$S$17"),2,FALSE))-1)))</f>
        <v>Falcons D/ST</v>
      </c>
      <c r="BQ10" s="2" t="str">
        <f ca="1">IF(ISNUMBER(SEARCH("QB",VLOOKUP($A10,INDIRECT("'"&amp;Summary!BP$1&amp;"'!$A$1:$S$17"),2,FALSE))),"QB",
IF(ISNUMBER(SEARCH("RB",VLOOKUP($A10,INDIRECT("'"&amp;Summary!BP$1&amp;"'!$A$1:$S$17"),2,FALSE))),"RB",
IF(ISNUMBER(SEARCH("WR",VLOOKUP($A10,INDIRECT("'"&amp;Summary!BP$1&amp;"'!$A$1:$S$17"),2,FALSE))),"WR",
IF(ISNUMBER(SEARCH("D/ST",VLOOKUP($A10,INDIRECT("'"&amp;Summary!BP$1&amp;"'!$A$1:$S$17"),2,FALSE))),"D/ST",
IF(ISNUMBER(SEARCH("TE",VLOOKUP($A10,INDIRECT("'"&amp;Summary!BP$1&amp;"'!$A$1:$S$17"),2,FALSE))),"TE","")))))</f>
        <v>D/ST</v>
      </c>
      <c r="BR10" s="2">
        <f ca="1">IF(BQ10="","",IF(BQ10&lt;&gt;"D/ST",VLOOKUP($A10,INDIRECT("'"&amp;Summary!BP$1&amp;"'!$A$1:$S$17"),19,FALSE),VLOOKUP($A10,INDIRECT("'"&amp;Summary!BP$1&amp;"'!$A$1:$S$17"),12,FALSE)))</f>
        <v>0</v>
      </c>
      <c r="BS10" s="2">
        <f t="array" aca="1" ref="BS10" ca="1">IF(BQ10="","",IF(BQ10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10,INDIRECT("'"&amp;Summary!BP$1&amp;"'!$A$1:$A$17"),0)&amp;":$S"&amp;MATCH($A10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10,INDIRECT("'"&amp;Summary!BP$1&amp;"'!$A$1:$A$17"),0)&amp;":$S"&amp;MATCH($A10,INDIRECT("'"&amp;Summary!BP$1&amp;"'!$A$1:$A$17"),0)))))</f>
        <v>0</v>
      </c>
      <c r="BT10" s="3">
        <f t="shared" ca="1" si="27"/>
        <v>0</v>
      </c>
      <c r="BU10" s="3">
        <f t="shared" ca="1" si="11"/>
        <v>1</v>
      </c>
      <c r="BV10" s="2" t="str">
        <f ca="1">IF(BW10="","",IF(BW10="D/ST",MID(VLOOKUP($A10,INDIRECT("'"&amp;Summary!BV$1&amp;"'!$A$1:$S$17"),2,FALSE),1,FIND(" ",VLOOKUP($A10,INDIRECT("'"&amp;Summary!BV$1&amp;"'!$A$1:$S$17"),2,FALSE))+4),MID(VLOOKUP($A10,INDIRECT("'"&amp;Summary!BV$1&amp;"'!$A$1:$S$17"),2,FALSE),1,FIND(",",VLOOKUP($A10,INDIRECT("'"&amp;Summary!BV$1&amp;"'!$A$1:$S$17"),2,FALSE))-1)))</f>
        <v>Bears D/ST</v>
      </c>
      <c r="BW10" s="2" t="str">
        <f ca="1">IF(ISNUMBER(SEARCH("QB",VLOOKUP($A10,INDIRECT("'"&amp;Summary!BV$1&amp;"'!$A$1:$S$17"),2,FALSE))),"QB",
IF(ISNUMBER(SEARCH("RB",VLOOKUP($A10,INDIRECT("'"&amp;Summary!BV$1&amp;"'!$A$1:$S$17"),2,FALSE))),"RB",
IF(ISNUMBER(SEARCH("WR",VLOOKUP($A10,INDIRECT("'"&amp;Summary!BV$1&amp;"'!$A$1:$S$17"),2,FALSE))),"WR",
IF(ISNUMBER(SEARCH("D/ST",VLOOKUP($A10,INDIRECT("'"&amp;Summary!BV$1&amp;"'!$A$1:$S$17"),2,FALSE))),"D/ST",
IF(ISNUMBER(SEARCH("TE",VLOOKUP($A10,INDIRECT("'"&amp;Summary!BV$1&amp;"'!$A$1:$S$17"),2,FALSE))),"TE","")))))</f>
        <v>D/ST</v>
      </c>
      <c r="BX10" s="2">
        <f ca="1">IF(BW10="","",IF(BW10&lt;&gt;"D/ST",VLOOKUP($A10,INDIRECT("'"&amp;Summary!BV$1&amp;"'!$A$1:$S$17"),19,FALSE),VLOOKUP($A10,INDIRECT("'"&amp;Summary!BV$1&amp;"'!$A$1:$S$17"),12,FALSE)))</f>
        <v>10</v>
      </c>
      <c r="BY10" s="2">
        <f t="array" aca="1" ref="BY10" ca="1">IF(BW10="","",IF(BW10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10,INDIRECT("'"&amp;Summary!BV$1&amp;"'!$A$1:$A$17"),0)&amp;":$S"&amp;MATCH($A10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10,INDIRECT("'"&amp;Summary!BV$1&amp;"'!$A$1:$A$17"),0)&amp;":$S"&amp;MATCH($A10,INDIRECT("'"&amp;Summary!BV$1&amp;"'!$A$1:$A$17"),0)))))</f>
        <v>1</v>
      </c>
      <c r="BZ10" s="3">
        <f t="shared" ca="1" si="28"/>
        <v>0.6</v>
      </c>
      <c r="CA10" s="3">
        <f t="shared" ca="1" si="12"/>
        <v>0.4</v>
      </c>
      <c r="CB10" s="2" t="str">
        <f ca="1">IF(CC10="","",IF(CC10="D/ST",MID(VLOOKUP($A10,INDIRECT("'"&amp;Summary!CB$1&amp;"'!$A$1:$S$17"),2,FALSE),1,FIND(" ",VLOOKUP($A10,INDIRECT("'"&amp;Summary!CB$1&amp;"'!$A$1:$S$17"),2,FALSE))+4),MID(VLOOKUP($A10,INDIRECT("'"&amp;Summary!CB$1&amp;"'!$A$1:$S$17"),2,FALSE),1,FIND(",",VLOOKUP($A10,INDIRECT("'"&amp;Summary!CB$1&amp;"'!$A$1:$S$17"),2,FALSE))-1)))</f>
        <v>Bills D/ST</v>
      </c>
      <c r="CC10" s="2" t="str">
        <f ca="1">IF(ISNUMBER(SEARCH("QB",VLOOKUP($A10,INDIRECT("'"&amp;Summary!CB$1&amp;"'!$A$1:$S$17"),2,FALSE))),"QB",
IF(ISNUMBER(SEARCH("RB",VLOOKUP($A10,INDIRECT("'"&amp;Summary!CB$1&amp;"'!$A$1:$S$17"),2,FALSE))),"RB",
IF(ISNUMBER(SEARCH("WR",VLOOKUP($A10,INDIRECT("'"&amp;Summary!CB$1&amp;"'!$A$1:$S$17"),2,FALSE))),"WR",
IF(ISNUMBER(SEARCH("D/ST",VLOOKUP($A10,INDIRECT("'"&amp;Summary!CB$1&amp;"'!$A$1:$S$17"),2,FALSE))),"D/ST",
IF(ISNUMBER(SEARCH("TE",VLOOKUP($A10,INDIRECT("'"&amp;Summary!CB$1&amp;"'!$A$1:$S$17"),2,FALSE))),"TE","")))))</f>
        <v>D/ST</v>
      </c>
      <c r="CD10" s="2">
        <f ca="1">IF(CC10="","",IF(CC10&lt;&gt;"D/ST",VLOOKUP($A10,INDIRECT("'"&amp;Summary!CB$1&amp;"'!$A$1:$S$17"),19,FALSE),VLOOKUP($A10,INDIRECT("'"&amp;Summary!CB$1&amp;"'!$A$1:$S$17"),12,FALSE)))</f>
        <v>6</v>
      </c>
      <c r="CE10" s="2">
        <f t="array" aca="1" ref="CE10" ca="1">IF(CC10="","",IF(CC10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10,INDIRECT("'"&amp;Summary!CB$1&amp;"'!$A$1:$A$17"),0)&amp;":$S"&amp;MATCH($A10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10,INDIRECT("'"&amp;Summary!CB$1&amp;"'!$A$1:$A$17"),0)&amp;":$S"&amp;MATCH($A10,INDIRECT("'"&amp;Summary!CB$1&amp;"'!$A$1:$A$17"),0)))))</f>
        <v>0</v>
      </c>
      <c r="CF10" s="3">
        <f t="shared" ca="1" si="29"/>
        <v>0</v>
      </c>
      <c r="CG10" s="3">
        <f t="shared" ca="1" si="13"/>
        <v>1</v>
      </c>
      <c r="CH10" s="2" t="str">
        <f ca="1">IF(CI10="","",IF(CI10="D/ST",MID(VLOOKUP($A10,INDIRECT("'"&amp;Summary!CH$1&amp;"'!$A$1:$S$17"),2,FALSE),1,FIND(" ",VLOOKUP($A10,INDIRECT("'"&amp;Summary!CH$1&amp;"'!$A$1:$S$17"),2,FALSE))+4),MID(VLOOKUP($A10,INDIRECT("'"&amp;Summary!CH$1&amp;"'!$A$1:$S$17"),2,FALSE),1,FIND(",",VLOOKUP($A10,INDIRECT("'"&amp;Summary!CH$1&amp;"'!$A$1:$S$17"),2,FALSE))-1)))</f>
        <v>Bills D/ST</v>
      </c>
      <c r="CI10" s="2" t="str">
        <f ca="1">IF(ISNUMBER(SEARCH("QB",VLOOKUP($A10,INDIRECT("'"&amp;Summary!CH$1&amp;"'!$A$1:$S$17"),2,FALSE))),"QB",
IF(ISNUMBER(SEARCH("RB",VLOOKUP($A10,INDIRECT("'"&amp;Summary!CH$1&amp;"'!$A$1:$S$17"),2,FALSE))),"RB",
IF(ISNUMBER(SEARCH("WR",VLOOKUP($A10,INDIRECT("'"&amp;Summary!CH$1&amp;"'!$A$1:$S$17"),2,FALSE))),"WR",
IF(ISNUMBER(SEARCH("D/ST",VLOOKUP($A10,INDIRECT("'"&amp;Summary!CH$1&amp;"'!$A$1:$S$17"),2,FALSE))),"D/ST",
IF(ISNUMBER(SEARCH("TE",VLOOKUP($A10,INDIRECT("'"&amp;Summary!CH$1&amp;"'!$A$1:$S$17"),2,FALSE))),"TE","")))))</f>
        <v>D/ST</v>
      </c>
      <c r="CJ10" s="2">
        <f ca="1">IF(CI10="","",IF(CI10&lt;&gt;"D/ST",VLOOKUP($A10,INDIRECT("'"&amp;Summary!CH$1&amp;"'!$A$1:$S$17"),19,FALSE),VLOOKUP($A10,INDIRECT("'"&amp;Summary!CH$1&amp;"'!$A$1:$S$17"),12,FALSE)))</f>
        <v>10</v>
      </c>
      <c r="CK10" s="2">
        <f t="array" aca="1" ref="CK10" ca="1">IF(CI10="","",IF(CI10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10,INDIRECT("'"&amp;Summary!CH$1&amp;"'!$A$1:$A$17"),0)&amp;":$S"&amp;MATCH($A10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10,INDIRECT("'"&amp;Summary!CH$1&amp;"'!$A$1:$A$17"),0)&amp;":$S"&amp;MATCH($A10,INDIRECT("'"&amp;Summary!CH$1&amp;"'!$A$1:$A$17"),0)))))</f>
        <v>0</v>
      </c>
      <c r="CL10" s="3">
        <f t="shared" ca="1" si="30"/>
        <v>0</v>
      </c>
      <c r="CM10" s="3">
        <f t="shared" ca="1" si="14"/>
        <v>1</v>
      </c>
      <c r="CN10" s="2" t="str">
        <f ca="1">IF(CO10="","",IF(CO10="D/ST",MID(VLOOKUP($A10,INDIRECT("'"&amp;Summary!CN$1&amp;"'!$A$1:$S$17"),2,FALSE),1,FIND(" ",VLOOKUP($A10,INDIRECT("'"&amp;Summary!CN$1&amp;"'!$A$1:$S$17"),2,FALSE))+4),MID(VLOOKUP($A10,INDIRECT("'"&amp;Summary!CN$1&amp;"'!$A$1:$S$17"),2,FALSE),1,FIND(",",VLOOKUP($A10,INDIRECT("'"&amp;Summary!CN$1&amp;"'!$A$1:$S$17"),2,FALSE))-1)))</f>
        <v>Bears D/ST</v>
      </c>
      <c r="CO10" s="2" t="str">
        <f ca="1">IF(ISNUMBER(SEARCH("QB",VLOOKUP($A10,INDIRECT("'"&amp;Summary!CN$1&amp;"'!$A$1:$S$17"),2,FALSE))),"QB",
IF(ISNUMBER(SEARCH("RB",VLOOKUP($A10,INDIRECT("'"&amp;Summary!CN$1&amp;"'!$A$1:$S$17"),2,FALSE))),"RB",
IF(ISNUMBER(SEARCH("WR",VLOOKUP($A10,INDIRECT("'"&amp;Summary!CN$1&amp;"'!$A$1:$S$17"),2,FALSE))),"WR",
IF(ISNUMBER(SEARCH("D/ST",VLOOKUP($A10,INDIRECT("'"&amp;Summary!CN$1&amp;"'!$A$1:$S$17"),2,FALSE))),"D/ST",
IF(ISNUMBER(SEARCH("TE",VLOOKUP($A10,INDIRECT("'"&amp;Summary!CN$1&amp;"'!$A$1:$S$17"),2,FALSE))),"TE","")))))</f>
        <v>D/ST</v>
      </c>
      <c r="CP10" s="2">
        <f ca="1">IF(CO10="","",IF(CO10&lt;&gt;"D/ST",VLOOKUP($A10,INDIRECT("'"&amp;Summary!CN$1&amp;"'!$A$1:$S$17"),19,FALSE),VLOOKUP($A10,INDIRECT("'"&amp;Summary!CN$1&amp;"'!$A$1:$S$17"),12,FALSE)))</f>
        <v>13</v>
      </c>
      <c r="CQ10" s="2">
        <f t="array" aca="1" ref="CQ10" ca="1">IF(CO10="","",IF(CO10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10,INDIRECT("'"&amp;Summary!CN$1&amp;"'!$A$1:$A$17"),0)&amp;":$S"&amp;MATCH($A10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10,INDIRECT("'"&amp;Summary!CN$1&amp;"'!$A$1:$A$17"),0)&amp;":$S"&amp;MATCH($A10,INDIRECT("'"&amp;Summary!CN$1&amp;"'!$A$1:$A$17"),0)))))</f>
        <v>0</v>
      </c>
      <c r="CR10" s="3">
        <f t="shared" ca="1" si="31"/>
        <v>0</v>
      </c>
      <c r="CS10" s="3">
        <f t="shared" ca="1" si="15"/>
        <v>1</v>
      </c>
    </row>
    <row r="11" spans="1:97" ht="16.25" thickTop="1" thickBot="1" x14ac:dyDescent="0.9">
      <c r="A11" s="2" t="s">
        <v>44</v>
      </c>
      <c r="B11" s="2" t="str">
        <f ca="1">IF(C11="","",IF(C11="D/ST",MID(VLOOKUP($A11,INDIRECT("'"&amp;Summary!B$1&amp;"'!$A$1:$S$17"),2,FALSE),1,FIND(" ",VLOOKUP($A11,INDIRECT("'"&amp;Summary!B$1&amp;"'!$A$1:$S$17"),2,FALSE))+4),MID(VLOOKUP($A11,INDIRECT("'"&amp;Summary!B$1&amp;"'!$A$1:$S$17"),2,FALSE),1,FIND(",",VLOOKUP($A11,INDIRECT("'"&amp;Summary!B$1&amp;"'!$A$1:$S$17"),2,FALSE))-1)))</f>
        <v>Mike Evans</v>
      </c>
      <c r="C11" s="2" t="str">
        <f ca="1">IF(ISNUMBER(SEARCH("QB",VLOOKUP($A11,INDIRECT("'"&amp;Summary!B$1&amp;"'!$A$1:$S$17"),2,FALSE))),"QB",
IF(ISNUMBER(SEARCH("RB",VLOOKUP($A11,INDIRECT("'"&amp;Summary!B$1&amp;"'!$A$1:$S$17"),2,FALSE))),"RB",
IF(ISNUMBER(SEARCH("WR",VLOOKUP($A11,INDIRECT("'"&amp;Summary!B$1&amp;"'!$A$1:$S$17"),2,FALSE))),"WR",
IF(ISNUMBER(SEARCH("D/ST",VLOOKUP($A11,INDIRECT("'"&amp;Summary!B$1&amp;"'!$A$1:$S$17"),2,FALSE))),"D/ST",
IF(ISNUMBER(SEARCH("TE",VLOOKUP($A11,INDIRECT("'"&amp;Summary!B$1&amp;"'!$A$1:$S$17"),2,FALSE))),"TE","")))))</f>
        <v>WR</v>
      </c>
      <c r="D11" s="2">
        <f ca="1">IF(C11="","",IF(C11&lt;&gt;"D/ST",VLOOKUP($A11,INDIRECT("'"&amp;Summary!B$1&amp;"'!$A$1:$S$17"),19,FALSE),VLOOKUP($A11,INDIRECT("'"&amp;Summary!B$1&amp;"'!$A$1:$S$17"),12,FALSE)))</f>
        <v>0</v>
      </c>
      <c r="E11" s="2">
        <f t="array" aca="1" ref="E11" ca="1">IF(C11="","",IF(C11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11,INDIRECT("'"&amp;Summary!B$1&amp;"'!$A$1:$A$17"),0)&amp;":$S"&amp;MATCH($A11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11,INDIRECT("'"&amp;Summary!B$1&amp;"'!$A$1:$A$17"),0)&amp;":$S"&amp;MATCH($A11,INDIRECT("'"&amp;Summary!B$1&amp;"'!$A$1:$A$17"),0)))))</f>
        <v>0</v>
      </c>
      <c r="F11" s="3">
        <f t="shared" ca="1" si="16"/>
        <v>0</v>
      </c>
      <c r="G11" s="3">
        <f t="shared" ca="1" si="0"/>
        <v>1</v>
      </c>
      <c r="H11" s="2" t="str">
        <f ca="1">IF(I11="","",IF(I11="D/ST",MID(VLOOKUP($A11,INDIRECT("'"&amp;Summary!H$1&amp;"'!$A$1:$S$17"),2,FALSE),1,FIND(" ",VLOOKUP($A11,INDIRECT("'"&amp;Summary!H$1&amp;"'!$A$1:$S$17"),2,FALSE))+4),MID(VLOOKUP($A11,INDIRECT("'"&amp;Summary!H$1&amp;"'!$A$1:$S$17"),2,FALSE),1,FIND(",",VLOOKUP($A11,INDIRECT("'"&amp;Summary!H$1&amp;"'!$A$1:$S$17"),2,FALSE))-1)))</f>
        <v>Isaiah Crowell</v>
      </c>
      <c r="I11" s="2" t="str">
        <f ca="1">IF(ISNUMBER(SEARCH("QB",VLOOKUP($A11,INDIRECT("'"&amp;Summary!H$1&amp;"'!$A$1:$S$17"),2,FALSE))),"QB",
IF(ISNUMBER(SEARCH("RB",VLOOKUP($A11,INDIRECT("'"&amp;Summary!H$1&amp;"'!$A$1:$S$17"),2,FALSE))),"RB",
IF(ISNUMBER(SEARCH("WR",VLOOKUP($A11,INDIRECT("'"&amp;Summary!H$1&amp;"'!$A$1:$S$17"),2,FALSE))),"WR",
IF(ISNUMBER(SEARCH("D/ST",VLOOKUP($A11,INDIRECT("'"&amp;Summary!H$1&amp;"'!$A$1:$S$17"),2,FALSE))),"D/ST",
IF(ISNUMBER(SEARCH("TE",VLOOKUP($A11,INDIRECT("'"&amp;Summary!H$1&amp;"'!$A$1:$S$17"),2,FALSE))),"TE","")))))</f>
        <v>RB</v>
      </c>
      <c r="J11" s="2">
        <f ca="1">IF(I11="","",IF(I11&lt;&gt;"D/ST",VLOOKUP($A11,INDIRECT("'"&amp;Summary!H$1&amp;"'!$A$1:$S$17"),19,FALSE),VLOOKUP($A11,INDIRECT("'"&amp;Summary!H$1&amp;"'!$A$1:$S$17"),12,FALSE)))</f>
        <v>3.7</v>
      </c>
      <c r="K11" s="2">
        <f t="array" aca="1" ref="K11" ca="1">IF(I11="","",IF(I11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11,INDIRECT("'"&amp;Summary!H$1&amp;"'!$A$1:$A$17"),0)&amp;":$S"&amp;MATCH($A11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11,INDIRECT("'"&amp;Summary!H$1&amp;"'!$A$1:$A$17"),0)&amp;":$S"&amp;MATCH($A11,INDIRECT("'"&amp;Summary!H$1&amp;"'!$A$1:$A$17"),0)))))</f>
        <v>0</v>
      </c>
      <c r="L11" s="3">
        <f t="shared" ca="1" si="17"/>
        <v>0</v>
      </c>
      <c r="M11" s="3">
        <f t="shared" ca="1" si="1"/>
        <v>1</v>
      </c>
      <c r="N11" s="2" t="str">
        <f ca="1">IF(O11="","",IF(O11="D/ST",MID(VLOOKUP($A11,INDIRECT("'"&amp;Summary!N$1&amp;"'!$A$1:$S$17"),2,FALSE),1,FIND(" ",VLOOKUP($A11,INDIRECT("'"&amp;Summary!N$1&amp;"'!$A$1:$S$17"),2,FALSE))+4),MID(VLOOKUP($A11,INDIRECT("'"&amp;Summary!N$1&amp;"'!$A$1:$S$17"),2,FALSE),1,FIND(",",VLOOKUP($A11,INDIRECT("'"&amp;Summary!N$1&amp;"'!$A$1:$S$17"),2,FALSE))-1)))</f>
        <v>Cooper Kupp</v>
      </c>
      <c r="O11" s="2" t="str">
        <f ca="1">IF(ISNUMBER(SEARCH("QB",VLOOKUP($A11,INDIRECT("'"&amp;Summary!N$1&amp;"'!$A$1:$S$17"),2,FALSE))),"QB",
IF(ISNUMBER(SEARCH("RB",VLOOKUP($A11,INDIRECT("'"&amp;Summary!N$1&amp;"'!$A$1:$S$17"),2,FALSE))),"RB",
IF(ISNUMBER(SEARCH("WR",VLOOKUP($A11,INDIRECT("'"&amp;Summary!N$1&amp;"'!$A$1:$S$17"),2,FALSE))),"WR",
IF(ISNUMBER(SEARCH("D/ST",VLOOKUP($A11,INDIRECT("'"&amp;Summary!N$1&amp;"'!$A$1:$S$17"),2,FALSE))),"D/ST",
IF(ISNUMBER(SEARCH("TE",VLOOKUP($A11,INDIRECT("'"&amp;Summary!N$1&amp;"'!$A$1:$S$17"),2,FALSE))),"TE","")))))</f>
        <v>WR</v>
      </c>
      <c r="P11" s="2">
        <f ca="1">IF(O11="","",IF(O11&lt;&gt;"D/ST",VLOOKUP($A11,INDIRECT("'"&amp;Summary!N$1&amp;"'!$A$1:$S$17"),19,FALSE),VLOOKUP($A11,INDIRECT("'"&amp;Summary!N$1&amp;"'!$A$1:$S$17"),12,FALSE)))</f>
        <v>2.7</v>
      </c>
      <c r="Q11" s="2">
        <f t="array" aca="1" ref="Q11" ca="1">IF(O11="","",IF(O11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11,INDIRECT("'"&amp;Summary!N$1&amp;"'!$A$1:$A$17"),0)&amp;":$S"&amp;MATCH($A11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11,INDIRECT("'"&amp;Summary!N$1&amp;"'!$A$1:$A$17"),0)&amp;":$S"&amp;MATCH($A11,INDIRECT("'"&amp;Summary!N$1&amp;"'!$A$1:$A$17"),0)))))</f>
        <v>0</v>
      </c>
      <c r="R11" s="3">
        <f t="shared" ca="1" si="18"/>
        <v>0</v>
      </c>
      <c r="S11" s="3">
        <f t="shared" ca="1" si="2"/>
        <v>1</v>
      </c>
      <c r="T11" s="2" t="str">
        <f ca="1">IF(U11="","",IF(U11="D/ST",MID(VLOOKUP($A11,INDIRECT("'"&amp;Summary!T$1&amp;"'!$A$1:$S$17"),2,FALSE),1,FIND(" ",VLOOKUP($A11,INDIRECT("'"&amp;Summary!T$1&amp;"'!$A$1:$S$17"),2,FALSE))+4),MID(VLOOKUP($A11,INDIRECT("'"&amp;Summary!T$1&amp;"'!$A$1:$S$17"),2,FALSE),1,FIND(",",VLOOKUP($A11,INDIRECT("'"&amp;Summary!T$1&amp;"'!$A$1:$S$17"),2,FALSE))-1)))</f>
        <v>Isaiah Crowell</v>
      </c>
      <c r="U11" s="2" t="str">
        <f ca="1">IF(ISNUMBER(SEARCH("QB",VLOOKUP($A11,INDIRECT("'"&amp;Summary!T$1&amp;"'!$A$1:$S$17"),2,FALSE))),"QB",
IF(ISNUMBER(SEARCH("RB",VLOOKUP($A11,INDIRECT("'"&amp;Summary!T$1&amp;"'!$A$1:$S$17"),2,FALSE))),"RB",
IF(ISNUMBER(SEARCH("WR",VLOOKUP($A11,INDIRECT("'"&amp;Summary!T$1&amp;"'!$A$1:$S$17"),2,FALSE))),"WR",
IF(ISNUMBER(SEARCH("D/ST",VLOOKUP($A11,INDIRECT("'"&amp;Summary!T$1&amp;"'!$A$1:$S$17"),2,FALSE))),"D/ST",
IF(ISNUMBER(SEARCH("TE",VLOOKUP($A11,INDIRECT("'"&amp;Summary!T$1&amp;"'!$A$1:$S$17"),2,FALSE))),"TE","")))))</f>
        <v>RB</v>
      </c>
      <c r="V11" s="2">
        <f ca="1">IF(U11="","",IF(U11&lt;&gt;"D/ST",VLOOKUP($A11,INDIRECT("'"&amp;Summary!T$1&amp;"'!$A$1:$S$17"),19,FALSE),VLOOKUP($A11,INDIRECT("'"&amp;Summary!T$1&amp;"'!$A$1:$S$17"),12,FALSE)))</f>
        <v>3.2</v>
      </c>
      <c r="W11" s="2">
        <f t="array" aca="1" ref="W11" ca="1">IF(U11="","",IF(U11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11,INDIRECT("'"&amp;Summary!T$1&amp;"'!$A$1:$A$17"),0)&amp;":$S"&amp;MATCH($A11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11,INDIRECT("'"&amp;Summary!T$1&amp;"'!$A$1:$A$17"),0)&amp;":$S"&amp;MATCH($A11,INDIRECT("'"&amp;Summary!T$1&amp;"'!$A$1:$A$17"),0)))))</f>
        <v>0</v>
      </c>
      <c r="X11" s="3">
        <f t="shared" ca="1" si="19"/>
        <v>0</v>
      </c>
      <c r="Y11" s="3">
        <f t="shared" ca="1" si="3"/>
        <v>1</v>
      </c>
      <c r="Z11" s="2" t="str">
        <f ca="1">IF(AA11="","",IF(AA11="D/ST",MID(VLOOKUP($A11,INDIRECT("'"&amp;Summary!Z$1&amp;"'!$A$1:$S$17"),2,FALSE),1,FIND(" ",VLOOKUP($A11,INDIRECT("'"&amp;Summary!Z$1&amp;"'!$A$1:$S$17"),2,FALSE))+4),MID(VLOOKUP($A11,INDIRECT("'"&amp;Summary!Z$1&amp;"'!$A$1:$S$17"),2,FALSE),1,FIND(",",VLOOKUP($A11,INDIRECT("'"&amp;Summary!Z$1&amp;"'!$A$1:$S$17"),2,FALSE))-1)))</f>
        <v>Rob Kelley</v>
      </c>
      <c r="AA11" s="2" t="str">
        <f ca="1">IF(ISNUMBER(SEARCH("QB",VLOOKUP($A11,INDIRECT("'"&amp;Summary!Z$1&amp;"'!$A$1:$S$17"),2,FALSE))),"QB",
IF(ISNUMBER(SEARCH("RB",VLOOKUP($A11,INDIRECT("'"&amp;Summary!Z$1&amp;"'!$A$1:$S$17"),2,FALSE))),"RB",
IF(ISNUMBER(SEARCH("WR",VLOOKUP($A11,INDIRECT("'"&amp;Summary!Z$1&amp;"'!$A$1:$S$17"),2,FALSE))),"WR",
IF(ISNUMBER(SEARCH("D/ST",VLOOKUP($A11,INDIRECT("'"&amp;Summary!Z$1&amp;"'!$A$1:$S$17"),2,FALSE))),"D/ST",
IF(ISNUMBER(SEARCH("TE",VLOOKUP($A11,INDIRECT("'"&amp;Summary!Z$1&amp;"'!$A$1:$S$17"),2,FALSE))),"TE","")))))</f>
        <v>RB</v>
      </c>
      <c r="AB11" s="2">
        <f ca="1">IF(AA11="","",IF(AA11&lt;&gt;"D/ST",VLOOKUP($A11,INDIRECT("'"&amp;Summary!Z$1&amp;"'!$A$1:$S$17"),19,FALSE),VLOOKUP($A11,INDIRECT("'"&amp;Summary!Z$1&amp;"'!$A$1:$S$17"),12,FALSE)))</f>
        <v>0</v>
      </c>
      <c r="AC11" s="2">
        <f t="array" aca="1" ref="AC11" ca="1">IF(AA11="","",IF(AA11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11,INDIRECT("'"&amp;Summary!Z$1&amp;"'!$A$1:$A$17"),0)&amp;":$S"&amp;MATCH($A11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11,INDIRECT("'"&amp;Summary!Z$1&amp;"'!$A$1:$A$17"),0)&amp;":$S"&amp;MATCH($A11,INDIRECT("'"&amp;Summary!Z$1&amp;"'!$A$1:$A$17"),0)))))</f>
        <v>0</v>
      </c>
      <c r="AD11" s="3">
        <f t="shared" ca="1" si="20"/>
        <v>0</v>
      </c>
      <c r="AE11" s="3">
        <f t="shared" ca="1" si="4"/>
        <v>1</v>
      </c>
      <c r="AF11" s="2" t="str">
        <f ca="1">IF(AG11="","",IF(AG11="D/ST",MID(VLOOKUP($A11,INDIRECT("'"&amp;Summary!AF$1&amp;"'!$A$1:$S$17"),2,FALSE),1,FIND(" ",VLOOKUP($A11,INDIRECT("'"&amp;Summary!AF$1&amp;"'!$A$1:$S$17"),2,FALSE))+4),MID(VLOOKUP($A11,INDIRECT("'"&amp;Summary!AF$1&amp;"'!$A$1:$S$17"),2,FALSE),1,FIND(",",VLOOKUP($A11,INDIRECT("'"&amp;Summary!AF$1&amp;"'!$A$1:$S$17"),2,FALSE))-1)))</f>
        <v>Ezekiel Elliott</v>
      </c>
      <c r="AG11" s="2" t="str">
        <f ca="1">IF(ISNUMBER(SEARCH("QB",VLOOKUP($A11,INDIRECT("'"&amp;Summary!AF$1&amp;"'!$A$1:$S$17"),2,FALSE))),"QB",
IF(ISNUMBER(SEARCH("RB",VLOOKUP($A11,INDIRECT("'"&amp;Summary!AF$1&amp;"'!$A$1:$S$17"),2,FALSE))),"RB",
IF(ISNUMBER(SEARCH("WR",VLOOKUP($A11,INDIRECT("'"&amp;Summary!AF$1&amp;"'!$A$1:$S$17"),2,FALSE))),"WR",
IF(ISNUMBER(SEARCH("D/ST",VLOOKUP($A11,INDIRECT("'"&amp;Summary!AF$1&amp;"'!$A$1:$S$17"),2,FALSE))),"D/ST",
IF(ISNUMBER(SEARCH("TE",VLOOKUP($A11,INDIRECT("'"&amp;Summary!AF$1&amp;"'!$A$1:$S$17"),2,FALSE))),"TE","")))))</f>
        <v>RB</v>
      </c>
      <c r="AH11" s="2">
        <f ca="1">IF(AG11="","",IF(AG11&lt;&gt;"D/ST",VLOOKUP($A11,INDIRECT("'"&amp;Summary!AF$1&amp;"'!$A$1:$S$17"),19,FALSE),VLOOKUP($A11,INDIRECT("'"&amp;Summary!AF$1&amp;"'!$A$1:$S$17"),12,FALSE)))</f>
        <v>0</v>
      </c>
      <c r="AI11" s="2">
        <f t="array" aca="1" ref="AI11" ca="1">IF(AG11="","",IF(AG11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11,INDIRECT("'"&amp;Summary!AF$1&amp;"'!$A$1:$A$17"),0)&amp;":$S"&amp;MATCH($A11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11,INDIRECT("'"&amp;Summary!AF$1&amp;"'!$A$1:$A$17"),0)&amp;":$S"&amp;MATCH($A11,INDIRECT("'"&amp;Summary!AF$1&amp;"'!$A$1:$A$17"),0)))))</f>
        <v>0</v>
      </c>
      <c r="AJ11" s="3">
        <f t="shared" ca="1" si="21"/>
        <v>0</v>
      </c>
      <c r="AK11" s="3">
        <f t="shared" ca="1" si="5"/>
        <v>1</v>
      </c>
      <c r="AL11" s="2" t="str">
        <f ca="1">IF(AM11="","",IF(AM11="D/ST",MID(VLOOKUP($A11,INDIRECT("'"&amp;Summary!AL$1&amp;"'!$A$1:$S$17"),2,FALSE),1,FIND(" ",VLOOKUP($A11,INDIRECT("'"&amp;Summary!AL$1&amp;"'!$A$1:$S$17"),2,FALSE))+4),MID(VLOOKUP($A11,INDIRECT("'"&amp;Summary!AL$1&amp;"'!$A$1:$S$17"),2,FALSE),1,FIND(",",VLOOKUP($A11,INDIRECT("'"&amp;Summary!AL$1&amp;"'!$A$1:$S$17"),2,FALSE))-1)))</f>
        <v>Isaiah Crowell</v>
      </c>
      <c r="AM11" s="2" t="str">
        <f ca="1">IF(ISNUMBER(SEARCH("QB",VLOOKUP($A11,INDIRECT("'"&amp;Summary!AL$1&amp;"'!$A$1:$S$17"),2,FALSE))),"QB",
IF(ISNUMBER(SEARCH("RB",VLOOKUP($A11,INDIRECT("'"&amp;Summary!AL$1&amp;"'!$A$1:$S$17"),2,FALSE))),"RB",
IF(ISNUMBER(SEARCH("WR",VLOOKUP($A11,INDIRECT("'"&amp;Summary!AL$1&amp;"'!$A$1:$S$17"),2,FALSE))),"WR",
IF(ISNUMBER(SEARCH("D/ST",VLOOKUP($A11,INDIRECT("'"&amp;Summary!AL$1&amp;"'!$A$1:$S$17"),2,FALSE))),"D/ST",
IF(ISNUMBER(SEARCH("TE",VLOOKUP($A11,INDIRECT("'"&amp;Summary!AL$1&amp;"'!$A$1:$S$17"),2,FALSE))),"TE","")))))</f>
        <v>RB</v>
      </c>
      <c r="AN11" s="2">
        <f ca="1">IF(AM11="","",IF(AM11&lt;&gt;"D/ST",VLOOKUP($A11,INDIRECT("'"&amp;Summary!AL$1&amp;"'!$A$1:$S$17"),19,FALSE),VLOOKUP($A11,INDIRECT("'"&amp;Summary!AL$1&amp;"'!$A$1:$S$17"),12,FALSE)))</f>
        <v>9.1</v>
      </c>
      <c r="AO11" s="2">
        <f t="array" aca="1" ref="AO11" ca="1">IF(AM11="","",IF(AM11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11,INDIRECT("'"&amp;Summary!AL$1&amp;"'!$A$1:$A$17"),0)&amp;":$S"&amp;MATCH($A11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11,INDIRECT("'"&amp;Summary!AL$1&amp;"'!$A$1:$A$17"),0)&amp;":$S"&amp;MATCH($A11,INDIRECT("'"&amp;Summary!AL$1&amp;"'!$A$1:$A$17"),0)))))</f>
        <v>0</v>
      </c>
      <c r="AP11" s="3">
        <f t="shared" ca="1" si="22"/>
        <v>0</v>
      </c>
      <c r="AQ11" s="3">
        <f t="shared" ca="1" si="6"/>
        <v>1</v>
      </c>
      <c r="AR11" s="2" t="str">
        <f ca="1">IF(AS11="","",IF(AS11="D/ST",MID(VLOOKUP($A11,INDIRECT("'"&amp;Summary!AR$1&amp;"'!$A$1:$S$17"),2,FALSE),1,FIND(" ",VLOOKUP($A11,INDIRECT("'"&amp;Summary!AR$1&amp;"'!$A$1:$S$17"),2,FALSE))+4),MID(VLOOKUP($A11,INDIRECT("'"&amp;Summary!AR$1&amp;"'!$A$1:$S$17"),2,FALSE),1,FIND(",",VLOOKUP($A11,INDIRECT("'"&amp;Summary!AR$1&amp;"'!$A$1:$S$17"),2,FALSE))-1)))</f>
        <v>Isaiah Crowell</v>
      </c>
      <c r="AS11" s="2" t="str">
        <f ca="1">IF(ISNUMBER(SEARCH("QB",VLOOKUP($A11,INDIRECT("'"&amp;Summary!AR$1&amp;"'!$A$1:$S$17"),2,FALSE))),"QB",
IF(ISNUMBER(SEARCH("RB",VLOOKUP($A11,INDIRECT("'"&amp;Summary!AR$1&amp;"'!$A$1:$S$17"),2,FALSE))),"RB",
IF(ISNUMBER(SEARCH("WR",VLOOKUP($A11,INDIRECT("'"&amp;Summary!AR$1&amp;"'!$A$1:$S$17"),2,FALSE))),"WR",
IF(ISNUMBER(SEARCH("D/ST",VLOOKUP($A11,INDIRECT("'"&amp;Summary!AR$1&amp;"'!$A$1:$S$17"),2,FALSE))),"D/ST",
IF(ISNUMBER(SEARCH("TE",VLOOKUP($A11,INDIRECT("'"&amp;Summary!AR$1&amp;"'!$A$1:$S$17"),2,FALSE))),"TE","")))))</f>
        <v>RB</v>
      </c>
      <c r="AT11" s="2">
        <f ca="1">IF(AS11="","",IF(AS11&lt;&gt;"D/ST",VLOOKUP($A11,INDIRECT("'"&amp;Summary!AR$1&amp;"'!$A$1:$S$17"),19,FALSE),VLOOKUP($A11,INDIRECT("'"&amp;Summary!AR$1&amp;"'!$A$1:$S$17"),12,FALSE)))</f>
        <v>17.8</v>
      </c>
      <c r="AU11" s="2">
        <f t="array" aca="1" ref="AU11" ca="1">IF(AS11="","",IF(AS11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11,INDIRECT("'"&amp;Summary!AR$1&amp;"'!$A$1:$A$17"),0)&amp;":$S"&amp;MATCH($A11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11,INDIRECT("'"&amp;Summary!AR$1&amp;"'!$A$1:$A$17"),0)&amp;":$S"&amp;MATCH($A11,INDIRECT("'"&amp;Summary!AR$1&amp;"'!$A$1:$A$17"),0)))))</f>
        <v>1</v>
      </c>
      <c r="AV11" s="3">
        <f t="shared" ca="1" si="23"/>
        <v>0.33707865168539325</v>
      </c>
      <c r="AW11" s="3">
        <f t="shared" ca="1" si="7"/>
        <v>0.66292134831460681</v>
      </c>
      <c r="AX11" s="2" t="str">
        <f ca="1">IF(AY11="","",IF(AY11="D/ST",MID(VLOOKUP($A11,INDIRECT("'"&amp;Summary!AX$1&amp;"'!$A$1:$S$17"),2,FALSE),1,FIND(" ",VLOOKUP($A11,INDIRECT("'"&amp;Summary!AX$1&amp;"'!$A$1:$S$17"),2,FALSE))+4),MID(VLOOKUP($A11,INDIRECT("'"&amp;Summary!AX$1&amp;"'!$A$1:$S$17"),2,FALSE),1,FIND(",",VLOOKUP($A11,INDIRECT("'"&amp;Summary!AX$1&amp;"'!$A$1:$S$17"),2,FALSE))-1)))</f>
        <v>Isaiah Crowell</v>
      </c>
      <c r="AY11" s="2" t="str">
        <f ca="1">IF(ISNUMBER(SEARCH("QB",VLOOKUP($A11,INDIRECT("'"&amp;Summary!AX$1&amp;"'!$A$1:$S$17"),2,FALSE))),"QB",
IF(ISNUMBER(SEARCH("RB",VLOOKUP($A11,INDIRECT("'"&amp;Summary!AX$1&amp;"'!$A$1:$S$17"),2,FALSE))),"RB",
IF(ISNUMBER(SEARCH("WR",VLOOKUP($A11,INDIRECT("'"&amp;Summary!AX$1&amp;"'!$A$1:$S$17"),2,FALSE))),"WR",
IF(ISNUMBER(SEARCH("D/ST",VLOOKUP($A11,INDIRECT("'"&amp;Summary!AX$1&amp;"'!$A$1:$S$17"),2,FALSE))),"D/ST",
IF(ISNUMBER(SEARCH("TE",VLOOKUP($A11,INDIRECT("'"&amp;Summary!AX$1&amp;"'!$A$1:$S$17"),2,FALSE))),"TE","")))))</f>
        <v>RB</v>
      </c>
      <c r="AZ11" s="2">
        <f ca="1">IF(AY11="","",IF(AY11&lt;&gt;"D/ST",VLOOKUP($A11,INDIRECT("'"&amp;Summary!AX$1&amp;"'!$A$1:$S$17"),19,FALSE),VLOOKUP($A11,INDIRECT("'"&amp;Summary!AX$1&amp;"'!$A$1:$S$17"),12,FALSE)))</f>
        <v>0</v>
      </c>
      <c r="BA11" s="2">
        <f t="array" aca="1" ref="BA11" ca="1">IF(AY11="","",IF(AY11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11,INDIRECT("'"&amp;Summary!AX$1&amp;"'!$A$1:$A$17"),0)&amp;":$S"&amp;MATCH($A11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11,INDIRECT("'"&amp;Summary!AX$1&amp;"'!$A$1:$A$17"),0)&amp;":$S"&amp;MATCH($A11,INDIRECT("'"&amp;Summary!AX$1&amp;"'!$A$1:$A$17"),0)))))</f>
        <v>0</v>
      </c>
      <c r="BB11" s="3">
        <f t="shared" ca="1" si="24"/>
        <v>0</v>
      </c>
      <c r="BC11" s="3">
        <f t="shared" ca="1" si="8"/>
        <v>1</v>
      </c>
      <c r="BD11" s="2" t="str">
        <f ca="1">IF(BE11="","",IF(BE11="D/ST",MID(VLOOKUP($A11,INDIRECT("'"&amp;Summary!BD$1&amp;"'!$A$1:$S$17"),2,FALSE),1,FIND(" ",VLOOKUP($A11,INDIRECT("'"&amp;Summary!BD$1&amp;"'!$A$1:$S$17"),2,FALSE))+4),MID(VLOOKUP($A11,INDIRECT("'"&amp;Summary!BD$1&amp;"'!$A$1:$S$17"),2,FALSE),1,FIND(",",VLOOKUP($A11,INDIRECT("'"&amp;Summary!BD$1&amp;"'!$A$1:$S$17"),2,FALSE))-1)))</f>
        <v>Ezekiel Elliott</v>
      </c>
      <c r="BE11" s="2" t="str">
        <f ca="1">IF(ISNUMBER(SEARCH("QB",VLOOKUP($A11,INDIRECT("'"&amp;Summary!BD$1&amp;"'!$A$1:$S$17"),2,FALSE))),"QB",
IF(ISNUMBER(SEARCH("RB",VLOOKUP($A11,INDIRECT("'"&amp;Summary!BD$1&amp;"'!$A$1:$S$17"),2,FALSE))),"RB",
IF(ISNUMBER(SEARCH("WR",VLOOKUP($A11,INDIRECT("'"&amp;Summary!BD$1&amp;"'!$A$1:$S$17"),2,FALSE))),"WR",
IF(ISNUMBER(SEARCH("D/ST",VLOOKUP($A11,INDIRECT("'"&amp;Summary!BD$1&amp;"'!$A$1:$S$17"),2,FALSE))),"D/ST",
IF(ISNUMBER(SEARCH("TE",VLOOKUP($A11,INDIRECT("'"&amp;Summary!BD$1&amp;"'!$A$1:$S$17"),2,FALSE))),"TE","")))))</f>
        <v>RB</v>
      </c>
      <c r="BF11" s="2">
        <f ca="1">IF(BE11="","",IF(BE11&lt;&gt;"D/ST",VLOOKUP($A11,INDIRECT("'"&amp;Summary!BD$1&amp;"'!$A$1:$S$17"),19,FALSE),VLOOKUP($A11,INDIRECT("'"&amp;Summary!BD$1&amp;"'!$A$1:$S$17"),12,FALSE)))</f>
        <v>0</v>
      </c>
      <c r="BG11" s="2">
        <f t="array" aca="1" ref="BG11" ca="1">IF(BE11="","",IF(BE11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11,INDIRECT("'"&amp;Summary!BD$1&amp;"'!$A$1:$A$17"),0)&amp;":$S"&amp;MATCH($A11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11,INDIRECT("'"&amp;Summary!BD$1&amp;"'!$A$1:$A$17"),0)&amp;":$S"&amp;MATCH($A11,INDIRECT("'"&amp;Summary!BD$1&amp;"'!$A$1:$A$17"),0)))))</f>
        <v>0</v>
      </c>
      <c r="BH11" s="3">
        <f t="shared" ca="1" si="25"/>
        <v>0</v>
      </c>
      <c r="BI11" s="3">
        <f t="shared" ca="1" si="9"/>
        <v>1</v>
      </c>
      <c r="BJ11" s="2" t="str">
        <f ca="1">IF(BK11="","",IF(BK11="D/ST",MID(VLOOKUP($A11,INDIRECT("'"&amp;Summary!BJ$1&amp;"'!$A$1:$S$17"),2,FALSE),1,FIND(" ",VLOOKUP($A11,INDIRECT("'"&amp;Summary!BJ$1&amp;"'!$A$1:$S$17"),2,FALSE))+4),MID(VLOOKUP($A11,INDIRECT("'"&amp;Summary!BJ$1&amp;"'!$A$1:$S$17"),2,FALSE),1,FIND(",",VLOOKUP($A11,INDIRECT("'"&amp;Summary!BJ$1&amp;"'!$A$1:$S$17"),2,FALSE))-1)))</f>
        <v>Ezekiel Elliott</v>
      </c>
      <c r="BK11" s="2" t="str">
        <f ca="1">IF(ISNUMBER(SEARCH("QB",VLOOKUP($A11,INDIRECT("'"&amp;Summary!BJ$1&amp;"'!$A$1:$S$17"),2,FALSE))),"QB",
IF(ISNUMBER(SEARCH("RB",VLOOKUP($A11,INDIRECT("'"&amp;Summary!BJ$1&amp;"'!$A$1:$S$17"),2,FALSE))),"RB",
IF(ISNUMBER(SEARCH("WR",VLOOKUP($A11,INDIRECT("'"&amp;Summary!BJ$1&amp;"'!$A$1:$S$17"),2,FALSE))),"WR",
IF(ISNUMBER(SEARCH("D/ST",VLOOKUP($A11,INDIRECT("'"&amp;Summary!BJ$1&amp;"'!$A$1:$S$17"),2,FALSE))),"D/ST",
IF(ISNUMBER(SEARCH("TE",VLOOKUP($A11,INDIRECT("'"&amp;Summary!BJ$1&amp;"'!$A$1:$S$17"),2,FALSE))),"TE","")))))</f>
        <v>RB</v>
      </c>
      <c r="BL11" s="2">
        <f ca="1">IF(BK11="","",IF(BK11&lt;&gt;"D/ST",VLOOKUP($A11,INDIRECT("'"&amp;Summary!BJ$1&amp;"'!$A$1:$S$17"),19,FALSE),VLOOKUP($A11,INDIRECT("'"&amp;Summary!BJ$1&amp;"'!$A$1:$S$17"),12,FALSE)))</f>
        <v>0</v>
      </c>
      <c r="BM11" s="2">
        <f t="array" aca="1" ref="BM11" ca="1">IF(BK11="","",IF(BK11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11,INDIRECT("'"&amp;Summary!BJ$1&amp;"'!$A$1:$A$17"),0)&amp;":$S"&amp;MATCH($A11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11,INDIRECT("'"&amp;Summary!BJ$1&amp;"'!$A$1:$A$17"),0)&amp;":$S"&amp;MATCH($A11,INDIRECT("'"&amp;Summary!BJ$1&amp;"'!$A$1:$A$17"),0)))))</f>
        <v>0</v>
      </c>
      <c r="BN11" s="3">
        <f t="shared" ca="1" si="26"/>
        <v>0</v>
      </c>
      <c r="BO11" s="3">
        <f t="shared" ca="1" si="10"/>
        <v>1</v>
      </c>
      <c r="BP11" s="2" t="str">
        <f ca="1">IF(BQ11="","",IF(BQ11="D/ST",MID(VLOOKUP($A11,INDIRECT("'"&amp;Summary!BP$1&amp;"'!$A$1:$S$17"),2,FALSE),1,FIND(" ",VLOOKUP($A11,INDIRECT("'"&amp;Summary!BP$1&amp;"'!$A$1:$S$17"),2,FALSE))+4),MID(VLOOKUP($A11,INDIRECT("'"&amp;Summary!BP$1&amp;"'!$A$1:$S$17"),2,FALSE),1,FIND(",",VLOOKUP($A11,INDIRECT("'"&amp;Summary!BP$1&amp;"'!$A$1:$S$17"),2,FALSE))-1)))</f>
        <v>Ezekiel Elliott</v>
      </c>
      <c r="BQ11" s="2" t="str">
        <f ca="1">IF(ISNUMBER(SEARCH("QB",VLOOKUP($A11,INDIRECT("'"&amp;Summary!BP$1&amp;"'!$A$1:$S$17"),2,FALSE))),"QB",
IF(ISNUMBER(SEARCH("RB",VLOOKUP($A11,INDIRECT("'"&amp;Summary!BP$1&amp;"'!$A$1:$S$17"),2,FALSE))),"RB",
IF(ISNUMBER(SEARCH("WR",VLOOKUP($A11,INDIRECT("'"&amp;Summary!BP$1&amp;"'!$A$1:$S$17"),2,FALSE))),"WR",
IF(ISNUMBER(SEARCH("D/ST",VLOOKUP($A11,INDIRECT("'"&amp;Summary!BP$1&amp;"'!$A$1:$S$17"),2,FALSE))),"D/ST",
IF(ISNUMBER(SEARCH("TE",VLOOKUP($A11,INDIRECT("'"&amp;Summary!BP$1&amp;"'!$A$1:$S$17"),2,FALSE))),"TE","")))))</f>
        <v>RB</v>
      </c>
      <c r="BR11" s="2">
        <f ca="1">IF(BQ11="","",IF(BQ11&lt;&gt;"D/ST",VLOOKUP($A11,INDIRECT("'"&amp;Summary!BP$1&amp;"'!$A$1:$S$17"),19,FALSE),VLOOKUP($A11,INDIRECT("'"&amp;Summary!BP$1&amp;"'!$A$1:$S$17"),12,FALSE)))</f>
        <v>0</v>
      </c>
      <c r="BS11" s="2">
        <f t="array" aca="1" ref="BS11" ca="1">IF(BQ11="","",IF(BQ11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11,INDIRECT("'"&amp;Summary!BP$1&amp;"'!$A$1:$A$17"),0)&amp;":$S"&amp;MATCH($A11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11,INDIRECT("'"&amp;Summary!BP$1&amp;"'!$A$1:$A$17"),0)&amp;":$S"&amp;MATCH($A11,INDIRECT("'"&amp;Summary!BP$1&amp;"'!$A$1:$A$17"),0)))))</f>
        <v>0</v>
      </c>
      <c r="BT11" s="3">
        <f t="shared" ca="1" si="27"/>
        <v>0</v>
      </c>
      <c r="BU11" s="3">
        <f t="shared" ca="1" si="11"/>
        <v>1</v>
      </c>
      <c r="BV11" s="2" t="str">
        <f ca="1">IF(BW11="","",IF(BW11="D/ST",MID(VLOOKUP($A11,INDIRECT("'"&amp;Summary!BV$1&amp;"'!$A$1:$S$17"),2,FALSE),1,FIND(" ",VLOOKUP($A11,INDIRECT("'"&amp;Summary!BV$1&amp;"'!$A$1:$S$17"),2,FALSE))+4),MID(VLOOKUP($A11,INDIRECT("'"&amp;Summary!BV$1&amp;"'!$A$1:$S$17"),2,FALSE),1,FIND(",",VLOOKUP($A11,INDIRECT("'"&amp;Summary!BV$1&amp;"'!$A$1:$S$17"),2,FALSE))-1)))</f>
        <v>Ezekiel Elliott</v>
      </c>
      <c r="BW11" s="2" t="str">
        <f ca="1">IF(ISNUMBER(SEARCH("QB",VLOOKUP($A11,INDIRECT("'"&amp;Summary!BV$1&amp;"'!$A$1:$S$17"),2,FALSE))),"QB",
IF(ISNUMBER(SEARCH("RB",VLOOKUP($A11,INDIRECT("'"&amp;Summary!BV$1&amp;"'!$A$1:$S$17"),2,FALSE))),"RB",
IF(ISNUMBER(SEARCH("WR",VLOOKUP($A11,INDIRECT("'"&amp;Summary!BV$1&amp;"'!$A$1:$S$17"),2,FALSE))),"WR",
IF(ISNUMBER(SEARCH("D/ST",VLOOKUP($A11,INDIRECT("'"&amp;Summary!BV$1&amp;"'!$A$1:$S$17"),2,FALSE))),"D/ST",
IF(ISNUMBER(SEARCH("TE",VLOOKUP($A11,INDIRECT("'"&amp;Summary!BV$1&amp;"'!$A$1:$S$17"),2,FALSE))),"TE","")))))</f>
        <v>RB</v>
      </c>
      <c r="BX11" s="2">
        <f ca="1">IF(BW11="","",IF(BW11&lt;&gt;"D/ST",VLOOKUP($A11,INDIRECT("'"&amp;Summary!BV$1&amp;"'!$A$1:$S$17"),19,FALSE),VLOOKUP($A11,INDIRECT("'"&amp;Summary!BV$1&amp;"'!$A$1:$S$17"),12,FALSE)))</f>
        <v>0</v>
      </c>
      <c r="BY11" s="2">
        <f t="array" aca="1" ref="BY11" ca="1">IF(BW11="","",IF(BW11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11,INDIRECT("'"&amp;Summary!BV$1&amp;"'!$A$1:$A$17"),0)&amp;":$S"&amp;MATCH($A11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11,INDIRECT("'"&amp;Summary!BV$1&amp;"'!$A$1:$A$17"),0)&amp;":$S"&amp;MATCH($A11,INDIRECT("'"&amp;Summary!BV$1&amp;"'!$A$1:$A$17"),0)))))</f>
        <v>0</v>
      </c>
      <c r="BZ11" s="3">
        <f t="shared" ca="1" si="28"/>
        <v>0</v>
      </c>
      <c r="CA11" s="3">
        <f t="shared" ca="1" si="12"/>
        <v>1</v>
      </c>
      <c r="CB11" s="2" t="str">
        <f ca="1">IF(CC11="","",IF(CC11="D/ST",MID(VLOOKUP($A11,INDIRECT("'"&amp;Summary!CB$1&amp;"'!$A$1:$S$17"),2,FALSE),1,FIND(" ",VLOOKUP($A11,INDIRECT("'"&amp;Summary!CB$1&amp;"'!$A$1:$S$17"),2,FALSE))+4),MID(VLOOKUP($A11,INDIRECT("'"&amp;Summary!CB$1&amp;"'!$A$1:$S$17"),2,FALSE),1,FIND(",",VLOOKUP($A11,INDIRECT("'"&amp;Summary!CB$1&amp;"'!$A$1:$S$17"),2,FALSE))-1)))</f>
        <v>Ezekiel Elliott</v>
      </c>
      <c r="CC11" s="2" t="str">
        <f ca="1">IF(ISNUMBER(SEARCH("QB",VLOOKUP($A11,INDIRECT("'"&amp;Summary!CB$1&amp;"'!$A$1:$S$17"),2,FALSE))),"QB",
IF(ISNUMBER(SEARCH("RB",VLOOKUP($A11,INDIRECT("'"&amp;Summary!CB$1&amp;"'!$A$1:$S$17"),2,FALSE))),"RB",
IF(ISNUMBER(SEARCH("WR",VLOOKUP($A11,INDIRECT("'"&amp;Summary!CB$1&amp;"'!$A$1:$S$17"),2,FALSE))),"WR",
IF(ISNUMBER(SEARCH("D/ST",VLOOKUP($A11,INDIRECT("'"&amp;Summary!CB$1&amp;"'!$A$1:$S$17"),2,FALSE))),"D/ST",
IF(ISNUMBER(SEARCH("TE",VLOOKUP($A11,INDIRECT("'"&amp;Summary!CB$1&amp;"'!$A$1:$S$17"),2,FALSE))),"TE","")))))</f>
        <v>RB</v>
      </c>
      <c r="CD11" s="2">
        <f ca="1">IF(CC11="","",IF(CC11&lt;&gt;"D/ST",VLOOKUP($A11,INDIRECT("'"&amp;Summary!CB$1&amp;"'!$A$1:$S$17"),19,FALSE),VLOOKUP($A11,INDIRECT("'"&amp;Summary!CB$1&amp;"'!$A$1:$S$17"),12,FALSE)))</f>
        <v>0</v>
      </c>
      <c r="CE11" s="2">
        <f t="array" aca="1" ref="CE11" ca="1">IF(CC11="","",IF(CC11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11,INDIRECT("'"&amp;Summary!CB$1&amp;"'!$A$1:$A$17"),0)&amp;":$S"&amp;MATCH($A11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11,INDIRECT("'"&amp;Summary!CB$1&amp;"'!$A$1:$A$17"),0)&amp;":$S"&amp;MATCH($A11,INDIRECT("'"&amp;Summary!CB$1&amp;"'!$A$1:$A$17"),0)))))</f>
        <v>0</v>
      </c>
      <c r="CF11" s="3">
        <f t="shared" ca="1" si="29"/>
        <v>0</v>
      </c>
      <c r="CG11" s="3">
        <f t="shared" ca="1" si="13"/>
        <v>1</v>
      </c>
      <c r="CH11" s="2" t="str">
        <f ca="1">IF(CI11="","",IF(CI11="D/ST",MID(VLOOKUP($A11,INDIRECT("'"&amp;Summary!CH$1&amp;"'!$A$1:$S$17"),2,FALSE),1,FIND(" ",VLOOKUP($A11,INDIRECT("'"&amp;Summary!CH$1&amp;"'!$A$1:$S$17"),2,FALSE))+4),MID(VLOOKUP($A11,INDIRECT("'"&amp;Summary!CH$1&amp;"'!$A$1:$S$17"),2,FALSE),1,FIND(",",VLOOKUP($A11,INDIRECT("'"&amp;Summary!CH$1&amp;"'!$A$1:$S$17"),2,FALSE))-1)))</f>
        <v>Ezekiel Elliott</v>
      </c>
      <c r="CI11" s="2" t="str">
        <f ca="1">IF(ISNUMBER(SEARCH("QB",VLOOKUP($A11,INDIRECT("'"&amp;Summary!CH$1&amp;"'!$A$1:$S$17"),2,FALSE))),"QB",
IF(ISNUMBER(SEARCH("RB",VLOOKUP($A11,INDIRECT("'"&amp;Summary!CH$1&amp;"'!$A$1:$S$17"),2,FALSE))),"RB",
IF(ISNUMBER(SEARCH("WR",VLOOKUP($A11,INDIRECT("'"&amp;Summary!CH$1&amp;"'!$A$1:$S$17"),2,FALSE))),"WR",
IF(ISNUMBER(SEARCH("D/ST",VLOOKUP($A11,INDIRECT("'"&amp;Summary!CH$1&amp;"'!$A$1:$S$17"),2,FALSE))),"D/ST",
IF(ISNUMBER(SEARCH("TE",VLOOKUP($A11,INDIRECT("'"&amp;Summary!CH$1&amp;"'!$A$1:$S$17"),2,FALSE))),"TE","")))))</f>
        <v>RB</v>
      </c>
      <c r="CJ11" s="2">
        <f ca="1">IF(CI11="","",IF(CI11&lt;&gt;"D/ST",VLOOKUP($A11,INDIRECT("'"&amp;Summary!CH$1&amp;"'!$A$1:$S$17"),19,FALSE),VLOOKUP($A11,INDIRECT("'"&amp;Summary!CH$1&amp;"'!$A$1:$S$17"),12,FALSE)))</f>
        <v>0</v>
      </c>
      <c r="CK11" s="2">
        <f t="array" aca="1" ref="CK11" ca="1">IF(CI11="","",IF(CI11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11,INDIRECT("'"&amp;Summary!CH$1&amp;"'!$A$1:$A$17"),0)&amp;":$S"&amp;MATCH($A11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11,INDIRECT("'"&amp;Summary!CH$1&amp;"'!$A$1:$A$17"),0)&amp;":$S"&amp;MATCH($A11,INDIRECT("'"&amp;Summary!CH$1&amp;"'!$A$1:$A$17"),0)))))</f>
        <v>0</v>
      </c>
      <c r="CL11" s="3">
        <f t="shared" ca="1" si="30"/>
        <v>0</v>
      </c>
      <c r="CM11" s="3">
        <f t="shared" ca="1" si="14"/>
        <v>1</v>
      </c>
      <c r="CN11" s="2" t="str">
        <f ca="1">IF(CO11="","",IF(CO11="D/ST",MID(VLOOKUP($A11,INDIRECT("'"&amp;Summary!CN$1&amp;"'!$A$1:$S$17"),2,FALSE),1,FIND(" ",VLOOKUP($A11,INDIRECT("'"&amp;Summary!CN$1&amp;"'!$A$1:$S$17"),2,FALSE))+4),MID(VLOOKUP($A11,INDIRECT("'"&amp;Summary!CN$1&amp;"'!$A$1:$S$17"),2,FALSE),1,FIND(",",VLOOKUP($A11,INDIRECT("'"&amp;Summary!CN$1&amp;"'!$A$1:$S$17"),2,FALSE))-1)))</f>
        <v>Isaiah Crowell</v>
      </c>
      <c r="CO11" s="2" t="str">
        <f ca="1">IF(ISNUMBER(SEARCH("QB",VLOOKUP($A11,INDIRECT("'"&amp;Summary!CN$1&amp;"'!$A$1:$S$17"),2,FALSE))),"QB",
IF(ISNUMBER(SEARCH("RB",VLOOKUP($A11,INDIRECT("'"&amp;Summary!CN$1&amp;"'!$A$1:$S$17"),2,FALSE))),"RB",
IF(ISNUMBER(SEARCH("WR",VLOOKUP($A11,INDIRECT("'"&amp;Summary!CN$1&amp;"'!$A$1:$S$17"),2,FALSE))),"WR",
IF(ISNUMBER(SEARCH("D/ST",VLOOKUP($A11,INDIRECT("'"&amp;Summary!CN$1&amp;"'!$A$1:$S$17"),2,FALSE))),"D/ST",
IF(ISNUMBER(SEARCH("TE",VLOOKUP($A11,INDIRECT("'"&amp;Summary!CN$1&amp;"'!$A$1:$S$17"),2,FALSE))),"TE","")))))</f>
        <v>RB</v>
      </c>
      <c r="CP11" s="2">
        <f ca="1">IF(CO11="","",IF(CO11&lt;&gt;"D/ST",VLOOKUP($A11,INDIRECT("'"&amp;Summary!CN$1&amp;"'!$A$1:$S$17"),19,FALSE),VLOOKUP($A11,INDIRECT("'"&amp;Summary!CN$1&amp;"'!$A$1:$S$17"),12,FALSE)))</f>
        <v>4.8</v>
      </c>
      <c r="CQ11" s="2">
        <f t="array" aca="1" ref="CQ11" ca="1">IF(CO11="","",IF(CO11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11,INDIRECT("'"&amp;Summary!CN$1&amp;"'!$A$1:$A$17"),0)&amp;":$S"&amp;MATCH($A11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11,INDIRECT("'"&amp;Summary!CN$1&amp;"'!$A$1:$A$17"),0)&amp;":$S"&amp;MATCH($A11,INDIRECT("'"&amp;Summary!CN$1&amp;"'!$A$1:$A$17"),0)))))</f>
        <v>0</v>
      </c>
      <c r="CR11" s="3">
        <f t="shared" ca="1" si="31"/>
        <v>0</v>
      </c>
      <c r="CS11" s="3">
        <f t="shared" ca="1" si="15"/>
        <v>1</v>
      </c>
    </row>
    <row r="12" spans="1:97" ht="16.25" thickTop="1" thickBot="1" x14ac:dyDescent="0.9">
      <c r="A12" s="2" t="s">
        <v>49</v>
      </c>
      <c r="B12" s="2" t="str">
        <f ca="1">IF(C12="","",IF(C12="D/ST",MID(VLOOKUP($A12,INDIRECT("'"&amp;Summary!B$1&amp;"'!$A$1:$S$17"),2,FALSE),1,FIND(" ",VLOOKUP($A12,INDIRECT("'"&amp;Summary!B$1&amp;"'!$A$1:$S$17"),2,FALSE))+4),MID(VLOOKUP($A12,INDIRECT("'"&amp;Summary!B$1&amp;"'!$A$1:$S$17"),2,FALSE),1,FIND(",",VLOOKUP($A12,INDIRECT("'"&amp;Summary!B$1&amp;"'!$A$1:$S$17"),2,FALSE))-1)))</f>
        <v>Bilal Powell</v>
      </c>
      <c r="C12" s="2" t="str">
        <f ca="1">IF(ISNUMBER(SEARCH("QB",VLOOKUP($A12,INDIRECT("'"&amp;Summary!B$1&amp;"'!$A$1:$S$17"),2,FALSE))),"QB",
IF(ISNUMBER(SEARCH("RB",VLOOKUP($A12,INDIRECT("'"&amp;Summary!B$1&amp;"'!$A$1:$S$17"),2,FALSE))),"RB",
IF(ISNUMBER(SEARCH("WR",VLOOKUP($A12,INDIRECT("'"&amp;Summary!B$1&amp;"'!$A$1:$S$17"),2,FALSE))),"WR",
IF(ISNUMBER(SEARCH("D/ST",VLOOKUP($A12,INDIRECT("'"&amp;Summary!B$1&amp;"'!$A$1:$S$17"),2,FALSE))),"D/ST",
IF(ISNUMBER(SEARCH("TE",VLOOKUP($A12,INDIRECT("'"&amp;Summary!B$1&amp;"'!$A$1:$S$17"),2,FALSE))),"TE","")))))</f>
        <v>RB</v>
      </c>
      <c r="D12" s="2">
        <f ca="1">IF(C12="","",IF(C12&lt;&gt;"D/ST",VLOOKUP($A12,INDIRECT("'"&amp;Summary!B$1&amp;"'!$A$1:$S$17"),19,FALSE),VLOOKUP($A12,INDIRECT("'"&amp;Summary!B$1&amp;"'!$A$1:$S$17"),12,FALSE)))</f>
        <v>6.4</v>
      </c>
      <c r="E12" s="2">
        <f t="array" aca="1" ref="E12" ca="1">IF(C12="","",IF(C12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12,INDIRECT("'"&amp;Summary!B$1&amp;"'!$A$1:$A$17"),0)&amp;":$S"&amp;MATCH($A12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12,INDIRECT("'"&amp;Summary!B$1&amp;"'!$A$1:$A$17"),0)&amp;":$S"&amp;MATCH($A12,INDIRECT("'"&amp;Summary!B$1&amp;"'!$A$1:$A$17"),0)))))</f>
        <v>0</v>
      </c>
      <c r="F12" s="3">
        <f t="shared" ca="1" si="16"/>
        <v>0</v>
      </c>
      <c r="G12" s="3">
        <f t="shared" ca="1" si="0"/>
        <v>1</v>
      </c>
      <c r="H12" s="2" t="str">
        <f ca="1">IF(I12="","",IF(I12="D/ST",MID(VLOOKUP($A12,INDIRECT("'"&amp;Summary!H$1&amp;"'!$A$1:$S$17"),2,FALSE),1,FIND(" ",VLOOKUP($A12,INDIRECT("'"&amp;Summary!H$1&amp;"'!$A$1:$S$17"),2,FALSE))+4),MID(VLOOKUP($A12,INDIRECT("'"&amp;Summary!H$1&amp;"'!$A$1:$S$17"),2,FALSE),1,FIND(",",VLOOKUP($A12,INDIRECT("'"&amp;Summary!H$1&amp;"'!$A$1:$S$17"),2,FALSE))-1)))</f>
        <v>Bilal Powell</v>
      </c>
      <c r="I12" s="2" t="str">
        <f ca="1">IF(ISNUMBER(SEARCH("QB",VLOOKUP($A12,INDIRECT("'"&amp;Summary!H$1&amp;"'!$A$1:$S$17"),2,FALSE))),"QB",
IF(ISNUMBER(SEARCH("RB",VLOOKUP($A12,INDIRECT("'"&amp;Summary!H$1&amp;"'!$A$1:$S$17"),2,FALSE))),"RB",
IF(ISNUMBER(SEARCH("WR",VLOOKUP($A12,INDIRECT("'"&amp;Summary!H$1&amp;"'!$A$1:$S$17"),2,FALSE))),"WR",
IF(ISNUMBER(SEARCH("D/ST",VLOOKUP($A12,INDIRECT("'"&amp;Summary!H$1&amp;"'!$A$1:$S$17"),2,FALSE))),"D/ST",
IF(ISNUMBER(SEARCH("TE",VLOOKUP($A12,INDIRECT("'"&amp;Summary!H$1&amp;"'!$A$1:$S$17"),2,FALSE))),"TE","")))))</f>
        <v>RB</v>
      </c>
      <c r="J12" s="2">
        <f ca="1">IF(I12="","",IF(I12&lt;&gt;"D/ST",VLOOKUP($A12,INDIRECT("'"&amp;Summary!H$1&amp;"'!$A$1:$S$17"),19,FALSE),VLOOKUP($A12,INDIRECT("'"&amp;Summary!H$1&amp;"'!$A$1:$S$17"),12,FALSE)))</f>
        <v>1.3</v>
      </c>
      <c r="K12" s="2">
        <f t="array" aca="1" ref="K12" ca="1">IF(I12="","",IF(I12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12,INDIRECT("'"&amp;Summary!H$1&amp;"'!$A$1:$A$17"),0)&amp;":$S"&amp;MATCH($A12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12,INDIRECT("'"&amp;Summary!H$1&amp;"'!$A$1:$A$17"),0)&amp;":$S"&amp;MATCH($A12,INDIRECT("'"&amp;Summary!H$1&amp;"'!$A$1:$A$17"),0)))))</f>
        <v>0</v>
      </c>
      <c r="L12" s="3">
        <f t="shared" ca="1" si="17"/>
        <v>0</v>
      </c>
      <c r="M12" s="3">
        <f t="shared" ca="1" si="1"/>
        <v>1</v>
      </c>
      <c r="N12" s="2" t="str">
        <f ca="1">IF(O12="","",IF(O12="D/ST",MID(VLOOKUP($A12,INDIRECT("'"&amp;Summary!N$1&amp;"'!$A$1:$S$17"),2,FALSE),1,FIND(" ",VLOOKUP($A12,INDIRECT("'"&amp;Summary!N$1&amp;"'!$A$1:$S$17"),2,FALSE))+4),MID(VLOOKUP($A12,INDIRECT("'"&amp;Summary!N$1&amp;"'!$A$1:$S$17"),2,FALSE),1,FIND(",",VLOOKUP($A12,INDIRECT("'"&amp;Summary!N$1&amp;"'!$A$1:$S$17"),2,FALSE))-1)))</f>
        <v>Chris Carson</v>
      </c>
      <c r="O12" s="2" t="str">
        <f ca="1">IF(ISNUMBER(SEARCH("QB",VLOOKUP($A12,INDIRECT("'"&amp;Summary!N$1&amp;"'!$A$1:$S$17"),2,FALSE))),"QB",
IF(ISNUMBER(SEARCH("RB",VLOOKUP($A12,INDIRECT("'"&amp;Summary!N$1&amp;"'!$A$1:$S$17"),2,FALSE))),"RB",
IF(ISNUMBER(SEARCH("WR",VLOOKUP($A12,INDIRECT("'"&amp;Summary!N$1&amp;"'!$A$1:$S$17"),2,FALSE))),"WR",
IF(ISNUMBER(SEARCH("D/ST",VLOOKUP($A12,INDIRECT("'"&amp;Summary!N$1&amp;"'!$A$1:$S$17"),2,FALSE))),"D/ST",
IF(ISNUMBER(SEARCH("TE",VLOOKUP($A12,INDIRECT("'"&amp;Summary!N$1&amp;"'!$A$1:$S$17"),2,FALSE))),"TE","")))))</f>
        <v>RB</v>
      </c>
      <c r="P12" s="2">
        <f ca="1">IF(O12="","",IF(O12&lt;&gt;"D/ST",VLOOKUP($A12,INDIRECT("'"&amp;Summary!N$1&amp;"'!$A$1:$S$17"),19,FALSE),VLOOKUP($A12,INDIRECT("'"&amp;Summary!N$1&amp;"'!$A$1:$S$17"),12,FALSE)))</f>
        <v>12.2</v>
      </c>
      <c r="Q12" s="2">
        <f t="array" aca="1" ref="Q12" ca="1">IF(O12="","",IF(O12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12,INDIRECT("'"&amp;Summary!N$1&amp;"'!$A$1:$A$17"),0)&amp;":$S"&amp;MATCH($A12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12,INDIRECT("'"&amp;Summary!N$1&amp;"'!$A$1:$A$17"),0)&amp;":$S"&amp;MATCH($A12,INDIRECT("'"&amp;Summary!N$1&amp;"'!$A$1:$A$17"),0)))))</f>
        <v>1</v>
      </c>
      <c r="R12" s="3">
        <f t="shared" ca="1" si="18"/>
        <v>0.49180327868852464</v>
      </c>
      <c r="S12" s="3">
        <f t="shared" ca="1" si="2"/>
        <v>0.50819672131147531</v>
      </c>
      <c r="T12" s="2" t="str">
        <f ca="1">IF(U12="","",IF(U12="D/ST",MID(VLOOKUP($A12,INDIRECT("'"&amp;Summary!T$1&amp;"'!$A$1:$S$17"),2,FALSE),1,FIND(" ",VLOOKUP($A12,INDIRECT("'"&amp;Summary!T$1&amp;"'!$A$1:$S$17"),2,FALSE))+4),MID(VLOOKUP($A12,INDIRECT("'"&amp;Summary!T$1&amp;"'!$A$1:$S$17"),2,FALSE),1,FIND(",",VLOOKUP($A12,INDIRECT("'"&amp;Summary!T$1&amp;"'!$A$1:$S$17"),2,FALSE))-1)))</f>
        <v>Rob Kelley</v>
      </c>
      <c r="U12" s="2" t="str">
        <f ca="1">IF(ISNUMBER(SEARCH("QB",VLOOKUP($A12,INDIRECT("'"&amp;Summary!T$1&amp;"'!$A$1:$S$17"),2,FALSE))),"QB",
IF(ISNUMBER(SEARCH("RB",VLOOKUP($A12,INDIRECT("'"&amp;Summary!T$1&amp;"'!$A$1:$S$17"),2,FALSE))),"RB",
IF(ISNUMBER(SEARCH("WR",VLOOKUP($A12,INDIRECT("'"&amp;Summary!T$1&amp;"'!$A$1:$S$17"),2,FALSE))),"WR",
IF(ISNUMBER(SEARCH("D/ST",VLOOKUP($A12,INDIRECT("'"&amp;Summary!T$1&amp;"'!$A$1:$S$17"),2,FALSE))),"D/ST",
IF(ISNUMBER(SEARCH("TE",VLOOKUP($A12,INDIRECT("'"&amp;Summary!T$1&amp;"'!$A$1:$S$17"),2,FALSE))),"TE","")))))</f>
        <v>RB</v>
      </c>
      <c r="V12" s="2">
        <f ca="1">IF(U12="","",IF(U12&lt;&gt;"D/ST",VLOOKUP($A12,INDIRECT("'"&amp;Summary!T$1&amp;"'!$A$1:$S$17"),19,FALSE),VLOOKUP($A12,INDIRECT("'"&amp;Summary!T$1&amp;"'!$A$1:$S$17"),12,FALSE)))</f>
        <v>2.2999999999999998</v>
      </c>
      <c r="W12" s="2">
        <f t="array" aca="1" ref="W12" ca="1">IF(U12="","",IF(U12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12,INDIRECT("'"&amp;Summary!T$1&amp;"'!$A$1:$A$17"),0)&amp;":$S"&amp;MATCH($A12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12,INDIRECT("'"&amp;Summary!T$1&amp;"'!$A$1:$A$17"),0)&amp;":$S"&amp;MATCH($A12,INDIRECT("'"&amp;Summary!T$1&amp;"'!$A$1:$A$17"),0)))))</f>
        <v>0</v>
      </c>
      <c r="X12" s="3">
        <f t="shared" ca="1" si="19"/>
        <v>0</v>
      </c>
      <c r="Y12" s="3">
        <f t="shared" ca="1" si="3"/>
        <v>1</v>
      </c>
      <c r="Z12" s="2" t="str">
        <f ca="1">IF(AA12="","",IF(AA12="D/ST",MID(VLOOKUP($A12,INDIRECT("'"&amp;Summary!Z$1&amp;"'!$A$1:$S$17"),2,FALSE),1,FIND(" ",VLOOKUP($A12,INDIRECT("'"&amp;Summary!Z$1&amp;"'!$A$1:$S$17"),2,FALSE))+4),MID(VLOOKUP($A12,INDIRECT("'"&amp;Summary!Z$1&amp;"'!$A$1:$S$17"),2,FALSE),1,FIND(",",VLOOKUP($A12,INDIRECT("'"&amp;Summary!Z$1&amp;"'!$A$1:$S$17"),2,FALSE))-1)))</f>
        <v>Wendell Smallwood</v>
      </c>
      <c r="AA12" s="2" t="str">
        <f ca="1">IF(ISNUMBER(SEARCH("QB",VLOOKUP($A12,INDIRECT("'"&amp;Summary!Z$1&amp;"'!$A$1:$S$17"),2,FALSE))),"QB",
IF(ISNUMBER(SEARCH("RB",VLOOKUP($A12,INDIRECT("'"&amp;Summary!Z$1&amp;"'!$A$1:$S$17"),2,FALSE))),"RB",
IF(ISNUMBER(SEARCH("WR",VLOOKUP($A12,INDIRECT("'"&amp;Summary!Z$1&amp;"'!$A$1:$S$17"),2,FALSE))),"WR",
IF(ISNUMBER(SEARCH("D/ST",VLOOKUP($A12,INDIRECT("'"&amp;Summary!Z$1&amp;"'!$A$1:$S$17"),2,FALSE))),"D/ST",
IF(ISNUMBER(SEARCH("TE",VLOOKUP($A12,INDIRECT("'"&amp;Summary!Z$1&amp;"'!$A$1:$S$17"),2,FALSE))),"TE","")))))</f>
        <v>RB</v>
      </c>
      <c r="AB12" s="2">
        <f ca="1">IF(AA12="","",IF(AA12&lt;&gt;"D/ST",VLOOKUP($A12,INDIRECT("'"&amp;Summary!Z$1&amp;"'!$A$1:$S$17"),19,FALSE),VLOOKUP($A12,INDIRECT("'"&amp;Summary!Z$1&amp;"'!$A$1:$S$17"),12,FALSE)))</f>
        <v>0</v>
      </c>
      <c r="AC12" s="2">
        <f t="array" aca="1" ref="AC12" ca="1">IF(AA12="","",IF(AA12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12,INDIRECT("'"&amp;Summary!Z$1&amp;"'!$A$1:$A$17"),0)&amp;":$S"&amp;MATCH($A12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12,INDIRECT("'"&amp;Summary!Z$1&amp;"'!$A$1:$A$17"),0)&amp;":$S"&amp;MATCH($A12,INDIRECT("'"&amp;Summary!Z$1&amp;"'!$A$1:$A$17"),0)))))</f>
        <v>0</v>
      </c>
      <c r="AD12" s="3">
        <f t="shared" ca="1" si="20"/>
        <v>0</v>
      </c>
      <c r="AE12" s="3">
        <f t="shared" ca="1" si="4"/>
        <v>1</v>
      </c>
      <c r="AF12" s="2" t="str">
        <f ca="1">IF(AG12="","",IF(AG12="D/ST",MID(VLOOKUP($A12,INDIRECT("'"&amp;Summary!AF$1&amp;"'!$A$1:$S$17"),2,FALSE),1,FIND(" ",VLOOKUP($A12,INDIRECT("'"&amp;Summary!AF$1&amp;"'!$A$1:$S$17"),2,FALSE))+4),MID(VLOOKUP($A12,INDIRECT("'"&amp;Summary!AF$1&amp;"'!$A$1:$S$17"),2,FALSE),1,FIND(",",VLOOKUP($A12,INDIRECT("'"&amp;Summary!AF$1&amp;"'!$A$1:$S$17"),2,FALSE))-1)))</f>
        <v>Doug Baldwin</v>
      </c>
      <c r="AG12" s="2" t="str">
        <f ca="1">IF(ISNUMBER(SEARCH("QB",VLOOKUP($A12,INDIRECT("'"&amp;Summary!AF$1&amp;"'!$A$1:$S$17"),2,FALSE))),"QB",
IF(ISNUMBER(SEARCH("RB",VLOOKUP($A12,INDIRECT("'"&amp;Summary!AF$1&amp;"'!$A$1:$S$17"),2,FALSE))),"RB",
IF(ISNUMBER(SEARCH("WR",VLOOKUP($A12,INDIRECT("'"&amp;Summary!AF$1&amp;"'!$A$1:$S$17"),2,FALSE))),"WR",
IF(ISNUMBER(SEARCH("D/ST",VLOOKUP($A12,INDIRECT("'"&amp;Summary!AF$1&amp;"'!$A$1:$S$17"),2,FALSE))),"D/ST",
IF(ISNUMBER(SEARCH("TE",VLOOKUP($A12,INDIRECT("'"&amp;Summary!AF$1&amp;"'!$A$1:$S$17"),2,FALSE))),"TE","")))))</f>
        <v>WR</v>
      </c>
      <c r="AH12" s="2">
        <f ca="1">IF(AG12="","",IF(AG12&lt;&gt;"D/ST",VLOOKUP($A12,INDIRECT("'"&amp;Summary!AF$1&amp;"'!$A$1:$S$17"),19,FALSE),VLOOKUP($A12,INDIRECT("'"&amp;Summary!AF$1&amp;"'!$A$1:$S$17"),12,FALSE)))</f>
        <v>0</v>
      </c>
      <c r="AI12" s="2">
        <f t="array" aca="1" ref="AI12" ca="1">IF(AG12="","",IF(AG12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12,INDIRECT("'"&amp;Summary!AF$1&amp;"'!$A$1:$A$17"),0)&amp;":$S"&amp;MATCH($A12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12,INDIRECT("'"&amp;Summary!AF$1&amp;"'!$A$1:$A$17"),0)&amp;":$S"&amp;MATCH($A12,INDIRECT("'"&amp;Summary!AF$1&amp;"'!$A$1:$A$17"),0)))))</f>
        <v>0</v>
      </c>
      <c r="AJ12" s="3">
        <f t="shared" ca="1" si="21"/>
        <v>0</v>
      </c>
      <c r="AK12" s="3">
        <f t="shared" ca="1" si="5"/>
        <v>1</v>
      </c>
      <c r="AL12" s="2" t="str">
        <f ca="1">IF(AM12="","",IF(AM12="D/ST",MID(VLOOKUP($A12,INDIRECT("'"&amp;Summary!AL$1&amp;"'!$A$1:$S$17"),2,FALSE),1,FIND(" ",VLOOKUP($A12,INDIRECT("'"&amp;Summary!AL$1&amp;"'!$A$1:$S$17"),2,FALSE))+4),MID(VLOOKUP($A12,INDIRECT("'"&amp;Summary!AL$1&amp;"'!$A$1:$S$17"),2,FALSE),1,FIND(",",VLOOKUP($A12,INDIRECT("'"&amp;Summary!AL$1&amp;"'!$A$1:$S$17"),2,FALSE))-1)))</f>
        <v>Rob Kelley</v>
      </c>
      <c r="AM12" s="2" t="str">
        <f ca="1">IF(ISNUMBER(SEARCH("QB",VLOOKUP($A12,INDIRECT("'"&amp;Summary!AL$1&amp;"'!$A$1:$S$17"),2,FALSE))),"QB",
IF(ISNUMBER(SEARCH("RB",VLOOKUP($A12,INDIRECT("'"&amp;Summary!AL$1&amp;"'!$A$1:$S$17"),2,FALSE))),"RB",
IF(ISNUMBER(SEARCH("WR",VLOOKUP($A12,INDIRECT("'"&amp;Summary!AL$1&amp;"'!$A$1:$S$17"),2,FALSE))),"WR",
IF(ISNUMBER(SEARCH("D/ST",VLOOKUP($A12,INDIRECT("'"&amp;Summary!AL$1&amp;"'!$A$1:$S$17"),2,FALSE))),"D/ST",
IF(ISNUMBER(SEARCH("TE",VLOOKUP($A12,INDIRECT("'"&amp;Summary!AL$1&amp;"'!$A$1:$S$17"),2,FALSE))),"TE","")))))</f>
        <v>RB</v>
      </c>
      <c r="AN12" s="2">
        <f ca="1">IF(AM12="","",IF(AM12&lt;&gt;"D/ST",VLOOKUP($A12,INDIRECT("'"&amp;Summary!AL$1&amp;"'!$A$1:$S$17"),19,FALSE),VLOOKUP($A12,INDIRECT("'"&amp;Summary!AL$1&amp;"'!$A$1:$S$17"),12,FALSE)))</f>
        <v>4</v>
      </c>
      <c r="AO12" s="2">
        <f t="array" aca="1" ref="AO12" ca="1">IF(AM12="","",IF(AM12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12,INDIRECT("'"&amp;Summary!AL$1&amp;"'!$A$1:$A$17"),0)&amp;":$S"&amp;MATCH($A12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12,INDIRECT("'"&amp;Summary!AL$1&amp;"'!$A$1:$A$17"),0)&amp;":$S"&amp;MATCH($A12,INDIRECT("'"&amp;Summary!AL$1&amp;"'!$A$1:$A$17"),0)))))</f>
        <v>0</v>
      </c>
      <c r="AP12" s="3">
        <f t="shared" ca="1" si="22"/>
        <v>0</v>
      </c>
      <c r="AQ12" s="3">
        <f t="shared" ca="1" si="6"/>
        <v>1</v>
      </c>
      <c r="AR12" s="2" t="str">
        <f ca="1">IF(AS12="","",IF(AS12="D/ST",MID(VLOOKUP($A12,INDIRECT("'"&amp;Summary!AR$1&amp;"'!$A$1:$S$17"),2,FALSE),1,FIND(" ",VLOOKUP($A12,INDIRECT("'"&amp;Summary!AR$1&amp;"'!$A$1:$S$17"),2,FALSE))+4),MID(VLOOKUP($A12,INDIRECT("'"&amp;Summary!AR$1&amp;"'!$A$1:$S$17"),2,FALSE),1,FIND(",",VLOOKUP($A12,INDIRECT("'"&amp;Summary!AR$1&amp;"'!$A$1:$S$17"),2,FALSE))-1)))</f>
        <v>Rob Kelley</v>
      </c>
      <c r="AS12" s="2" t="str">
        <f ca="1">IF(ISNUMBER(SEARCH("QB",VLOOKUP($A12,INDIRECT("'"&amp;Summary!AR$1&amp;"'!$A$1:$S$17"),2,FALSE))),"QB",
IF(ISNUMBER(SEARCH("RB",VLOOKUP($A12,INDIRECT("'"&amp;Summary!AR$1&amp;"'!$A$1:$S$17"),2,FALSE))),"RB",
IF(ISNUMBER(SEARCH("WR",VLOOKUP($A12,INDIRECT("'"&amp;Summary!AR$1&amp;"'!$A$1:$S$17"),2,FALSE))),"WR",
IF(ISNUMBER(SEARCH("D/ST",VLOOKUP($A12,INDIRECT("'"&amp;Summary!AR$1&amp;"'!$A$1:$S$17"),2,FALSE))),"D/ST",
IF(ISNUMBER(SEARCH("TE",VLOOKUP($A12,INDIRECT("'"&amp;Summary!AR$1&amp;"'!$A$1:$S$17"),2,FALSE))),"TE","")))))</f>
        <v>RB</v>
      </c>
      <c r="AT12" s="2">
        <f ca="1">IF(AS12="","",IF(AS12&lt;&gt;"D/ST",VLOOKUP($A12,INDIRECT("'"&amp;Summary!AR$1&amp;"'!$A$1:$S$17"),19,FALSE),VLOOKUP($A12,INDIRECT("'"&amp;Summary!AR$1&amp;"'!$A$1:$S$17"),12,FALSE)))</f>
        <v>7.9</v>
      </c>
      <c r="AU12" s="2">
        <f t="array" aca="1" ref="AU12" ca="1">IF(AS12="","",IF(AS12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12,INDIRECT("'"&amp;Summary!AR$1&amp;"'!$A$1:$A$17"),0)&amp;":$S"&amp;MATCH($A12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12,INDIRECT("'"&amp;Summary!AR$1&amp;"'!$A$1:$A$17"),0)&amp;":$S"&amp;MATCH($A12,INDIRECT("'"&amp;Summary!AR$1&amp;"'!$A$1:$A$17"),0)))))</f>
        <v>1</v>
      </c>
      <c r="AV12" s="3">
        <f t="shared" ca="1" si="23"/>
        <v>0.75949367088607589</v>
      </c>
      <c r="AW12" s="3">
        <f t="shared" ca="1" si="7"/>
        <v>0.24050632911392411</v>
      </c>
      <c r="AX12" s="2" t="str">
        <f ca="1">IF(AY12="","",IF(AY12="D/ST",MID(VLOOKUP($A12,INDIRECT("'"&amp;Summary!AX$1&amp;"'!$A$1:$S$17"),2,FALSE),1,FIND(" ",VLOOKUP($A12,INDIRECT("'"&amp;Summary!AX$1&amp;"'!$A$1:$S$17"),2,FALSE))+4),MID(VLOOKUP($A12,INDIRECT("'"&amp;Summary!AX$1&amp;"'!$A$1:$S$17"),2,FALSE),1,FIND(",",VLOOKUP($A12,INDIRECT("'"&amp;Summary!AX$1&amp;"'!$A$1:$S$17"),2,FALSE))-1)))</f>
        <v>Orleans Darkwa</v>
      </c>
      <c r="AY12" s="2" t="str">
        <f ca="1">IF(ISNUMBER(SEARCH("QB",VLOOKUP($A12,INDIRECT("'"&amp;Summary!AX$1&amp;"'!$A$1:$S$17"),2,FALSE))),"QB",
IF(ISNUMBER(SEARCH("RB",VLOOKUP($A12,INDIRECT("'"&amp;Summary!AX$1&amp;"'!$A$1:$S$17"),2,FALSE))),"RB",
IF(ISNUMBER(SEARCH("WR",VLOOKUP($A12,INDIRECT("'"&amp;Summary!AX$1&amp;"'!$A$1:$S$17"),2,FALSE))),"WR",
IF(ISNUMBER(SEARCH("D/ST",VLOOKUP($A12,INDIRECT("'"&amp;Summary!AX$1&amp;"'!$A$1:$S$17"),2,FALSE))),"D/ST",
IF(ISNUMBER(SEARCH("TE",VLOOKUP($A12,INDIRECT("'"&amp;Summary!AX$1&amp;"'!$A$1:$S$17"),2,FALSE))),"TE","")))))</f>
        <v>RB</v>
      </c>
      <c r="AZ12" s="2">
        <f ca="1">IF(AY12="","",IF(AY12&lt;&gt;"D/ST",VLOOKUP($A12,INDIRECT("'"&amp;Summary!AX$1&amp;"'!$A$1:$S$17"),19,FALSE),VLOOKUP($A12,INDIRECT("'"&amp;Summary!AX$1&amp;"'!$A$1:$S$17"),12,FALSE)))</f>
        <v>8.9</v>
      </c>
      <c r="BA12" s="2">
        <f t="array" aca="1" ref="BA12" ca="1">IF(AY12="","",IF(AY12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12,INDIRECT("'"&amp;Summary!AX$1&amp;"'!$A$1:$A$17"),0)&amp;":$S"&amp;MATCH($A12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12,INDIRECT("'"&amp;Summary!AX$1&amp;"'!$A$1:$A$17"),0)&amp;":$S"&amp;MATCH($A12,INDIRECT("'"&amp;Summary!AX$1&amp;"'!$A$1:$A$17"),0)))))</f>
        <v>0</v>
      </c>
      <c r="BB12" s="3">
        <f t="shared" ca="1" si="24"/>
        <v>0</v>
      </c>
      <c r="BC12" s="3">
        <f t="shared" ca="1" si="8"/>
        <v>1</v>
      </c>
      <c r="BD12" s="2" t="str">
        <f ca="1">IF(BE12="","",IF(BE12="D/ST",MID(VLOOKUP($A12,INDIRECT("'"&amp;Summary!BD$1&amp;"'!$A$1:$S$17"),2,FALSE),1,FIND(" ",VLOOKUP($A12,INDIRECT("'"&amp;Summary!BD$1&amp;"'!$A$1:$S$17"),2,FALSE))+4),MID(VLOOKUP($A12,INDIRECT("'"&amp;Summary!BD$1&amp;"'!$A$1:$S$17"),2,FALSE),1,FIND(",",VLOOKUP($A12,INDIRECT("'"&amp;Summary!BD$1&amp;"'!$A$1:$S$17"),2,FALSE))-1)))</f>
        <v>Mike Evans</v>
      </c>
      <c r="BE12" s="2" t="str">
        <f ca="1">IF(ISNUMBER(SEARCH("QB",VLOOKUP($A12,INDIRECT("'"&amp;Summary!BD$1&amp;"'!$A$1:$S$17"),2,FALSE))),"QB",
IF(ISNUMBER(SEARCH("RB",VLOOKUP($A12,INDIRECT("'"&amp;Summary!BD$1&amp;"'!$A$1:$S$17"),2,FALSE))),"RB",
IF(ISNUMBER(SEARCH("WR",VLOOKUP($A12,INDIRECT("'"&amp;Summary!BD$1&amp;"'!$A$1:$S$17"),2,FALSE))),"WR",
IF(ISNUMBER(SEARCH("D/ST",VLOOKUP($A12,INDIRECT("'"&amp;Summary!BD$1&amp;"'!$A$1:$S$17"),2,FALSE))),"D/ST",
IF(ISNUMBER(SEARCH("TE",VLOOKUP($A12,INDIRECT("'"&amp;Summary!BD$1&amp;"'!$A$1:$S$17"),2,FALSE))),"TE","")))))</f>
        <v>WR</v>
      </c>
      <c r="BF12" s="2">
        <f ca="1">IF(BE12="","",IF(BE12&lt;&gt;"D/ST",VLOOKUP($A12,INDIRECT("'"&amp;Summary!BD$1&amp;"'!$A$1:$S$17"),19,FALSE),VLOOKUP($A12,INDIRECT("'"&amp;Summary!BD$1&amp;"'!$A$1:$S$17"),12,FALSE)))</f>
        <v>0</v>
      </c>
      <c r="BG12" s="2">
        <f t="array" aca="1" ref="BG12" ca="1">IF(BE12="","",IF(BE12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12,INDIRECT("'"&amp;Summary!BD$1&amp;"'!$A$1:$A$17"),0)&amp;":$S"&amp;MATCH($A12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12,INDIRECT("'"&amp;Summary!BD$1&amp;"'!$A$1:$A$17"),0)&amp;":$S"&amp;MATCH($A12,INDIRECT("'"&amp;Summary!BD$1&amp;"'!$A$1:$A$17"),0)))))</f>
        <v>0</v>
      </c>
      <c r="BH12" s="3">
        <f t="shared" ca="1" si="25"/>
        <v>0</v>
      </c>
      <c r="BI12" s="3">
        <f t="shared" ca="1" si="9"/>
        <v>1</v>
      </c>
      <c r="BJ12" s="2" t="str">
        <f ca="1">IF(BK12="","",IF(BK12="D/ST",MID(VLOOKUP($A12,INDIRECT("'"&amp;Summary!BJ$1&amp;"'!$A$1:$S$17"),2,FALSE),1,FIND(" ",VLOOKUP($A12,INDIRECT("'"&amp;Summary!BJ$1&amp;"'!$A$1:$S$17"),2,FALSE))+4),MID(VLOOKUP($A12,INDIRECT("'"&amp;Summary!BJ$1&amp;"'!$A$1:$S$17"),2,FALSE),1,FIND(",",VLOOKUP($A12,INDIRECT("'"&amp;Summary!BJ$1&amp;"'!$A$1:$S$17"),2,FALSE))-1)))</f>
        <v>Isaiah Crowell</v>
      </c>
      <c r="BK12" s="2" t="str">
        <f ca="1">IF(ISNUMBER(SEARCH("QB",VLOOKUP($A12,INDIRECT("'"&amp;Summary!BJ$1&amp;"'!$A$1:$S$17"),2,FALSE))),"QB",
IF(ISNUMBER(SEARCH("RB",VLOOKUP($A12,INDIRECT("'"&amp;Summary!BJ$1&amp;"'!$A$1:$S$17"),2,FALSE))),"RB",
IF(ISNUMBER(SEARCH("WR",VLOOKUP($A12,INDIRECT("'"&amp;Summary!BJ$1&amp;"'!$A$1:$S$17"),2,FALSE))),"WR",
IF(ISNUMBER(SEARCH("D/ST",VLOOKUP($A12,INDIRECT("'"&amp;Summary!BJ$1&amp;"'!$A$1:$S$17"),2,FALSE))),"D/ST",
IF(ISNUMBER(SEARCH("TE",VLOOKUP($A12,INDIRECT("'"&amp;Summary!BJ$1&amp;"'!$A$1:$S$17"),2,FALSE))),"TE","")))))</f>
        <v>RB</v>
      </c>
      <c r="BL12" s="2">
        <f ca="1">IF(BK12="","",IF(BK12&lt;&gt;"D/ST",VLOOKUP($A12,INDIRECT("'"&amp;Summary!BJ$1&amp;"'!$A$1:$S$17"),19,FALSE),VLOOKUP($A12,INDIRECT("'"&amp;Summary!BJ$1&amp;"'!$A$1:$S$17"),12,FALSE)))</f>
        <v>1.8</v>
      </c>
      <c r="BM12" s="2">
        <f t="array" aca="1" ref="BM12" ca="1">IF(BK12="","",IF(BK12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12,INDIRECT("'"&amp;Summary!BJ$1&amp;"'!$A$1:$A$17"),0)&amp;":$S"&amp;MATCH($A12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12,INDIRECT("'"&amp;Summary!BJ$1&amp;"'!$A$1:$A$17"),0)&amp;":$S"&amp;MATCH($A12,INDIRECT("'"&amp;Summary!BJ$1&amp;"'!$A$1:$A$17"),0)))))</f>
        <v>0</v>
      </c>
      <c r="BN12" s="3">
        <f t="shared" ca="1" si="26"/>
        <v>0</v>
      </c>
      <c r="BO12" s="3">
        <f t="shared" ca="1" si="10"/>
        <v>1</v>
      </c>
      <c r="BP12" s="2" t="str">
        <f ca="1">IF(BQ12="","",IF(BQ12="D/ST",MID(VLOOKUP($A12,INDIRECT("'"&amp;Summary!BP$1&amp;"'!$A$1:$S$17"),2,FALSE),1,FIND(" ",VLOOKUP($A12,INDIRECT("'"&amp;Summary!BP$1&amp;"'!$A$1:$S$17"),2,FALSE))+4),MID(VLOOKUP($A12,INDIRECT("'"&amp;Summary!BP$1&amp;"'!$A$1:$S$17"),2,FALSE),1,FIND(",",VLOOKUP($A12,INDIRECT("'"&amp;Summary!BP$1&amp;"'!$A$1:$S$17"),2,FALSE))-1)))</f>
        <v>Isaiah Crowell</v>
      </c>
      <c r="BQ12" s="2" t="str">
        <f ca="1">IF(ISNUMBER(SEARCH("QB",VLOOKUP($A12,INDIRECT("'"&amp;Summary!BP$1&amp;"'!$A$1:$S$17"),2,FALSE))),"QB",
IF(ISNUMBER(SEARCH("RB",VLOOKUP($A12,INDIRECT("'"&amp;Summary!BP$1&amp;"'!$A$1:$S$17"),2,FALSE))),"RB",
IF(ISNUMBER(SEARCH("WR",VLOOKUP($A12,INDIRECT("'"&amp;Summary!BP$1&amp;"'!$A$1:$S$17"),2,FALSE))),"WR",
IF(ISNUMBER(SEARCH("D/ST",VLOOKUP($A12,INDIRECT("'"&amp;Summary!BP$1&amp;"'!$A$1:$S$17"),2,FALSE))),"D/ST",
IF(ISNUMBER(SEARCH("TE",VLOOKUP($A12,INDIRECT("'"&amp;Summary!BP$1&amp;"'!$A$1:$S$17"),2,FALSE))),"TE","")))))</f>
        <v>RB</v>
      </c>
      <c r="BR12" s="2">
        <f ca="1">IF(BQ12="","",IF(BQ12&lt;&gt;"D/ST",VLOOKUP($A12,INDIRECT("'"&amp;Summary!BP$1&amp;"'!$A$1:$S$17"),19,FALSE),VLOOKUP($A12,INDIRECT("'"&amp;Summary!BP$1&amp;"'!$A$1:$S$17"),12,FALSE)))</f>
        <v>11</v>
      </c>
      <c r="BS12" s="2">
        <f t="array" aca="1" ref="BS12" ca="1">IF(BQ12="","",IF(BQ12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12,INDIRECT("'"&amp;Summary!BP$1&amp;"'!$A$1:$A$17"),0)&amp;":$S"&amp;MATCH($A12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12,INDIRECT("'"&amp;Summary!BP$1&amp;"'!$A$1:$A$17"),0)&amp;":$S"&amp;MATCH($A12,INDIRECT("'"&amp;Summary!BP$1&amp;"'!$A$1:$A$17"),0)))))</f>
        <v>0</v>
      </c>
      <c r="BT12" s="3">
        <f t="shared" ca="1" si="27"/>
        <v>0</v>
      </c>
      <c r="BU12" s="3">
        <f t="shared" ca="1" si="11"/>
        <v>1</v>
      </c>
      <c r="BV12" s="2" t="str">
        <f ca="1">IF(BW12="","",IF(BW12="D/ST",MID(VLOOKUP($A12,INDIRECT("'"&amp;Summary!BV$1&amp;"'!$A$1:$S$17"),2,FALSE),1,FIND(" ",VLOOKUP($A12,INDIRECT("'"&amp;Summary!BV$1&amp;"'!$A$1:$S$17"),2,FALSE))+4),MID(VLOOKUP($A12,INDIRECT("'"&amp;Summary!BV$1&amp;"'!$A$1:$S$17"),2,FALSE),1,FIND(",",VLOOKUP($A12,INDIRECT("'"&amp;Summary!BV$1&amp;"'!$A$1:$S$17"),2,FALSE))-1)))</f>
        <v>Isaiah Crowell</v>
      </c>
      <c r="BW12" s="2" t="str">
        <f ca="1">IF(ISNUMBER(SEARCH("QB",VLOOKUP($A12,INDIRECT("'"&amp;Summary!BV$1&amp;"'!$A$1:$S$17"),2,FALSE))),"QB",
IF(ISNUMBER(SEARCH("RB",VLOOKUP($A12,INDIRECT("'"&amp;Summary!BV$1&amp;"'!$A$1:$S$17"),2,FALSE))),"RB",
IF(ISNUMBER(SEARCH("WR",VLOOKUP($A12,INDIRECT("'"&amp;Summary!BV$1&amp;"'!$A$1:$S$17"),2,FALSE))),"WR",
IF(ISNUMBER(SEARCH("D/ST",VLOOKUP($A12,INDIRECT("'"&amp;Summary!BV$1&amp;"'!$A$1:$S$17"),2,FALSE))),"D/ST",
IF(ISNUMBER(SEARCH("TE",VLOOKUP($A12,INDIRECT("'"&amp;Summary!BV$1&amp;"'!$A$1:$S$17"),2,FALSE))),"TE","")))))</f>
        <v>RB</v>
      </c>
      <c r="BX12" s="2">
        <f ca="1">IF(BW12="","",IF(BW12&lt;&gt;"D/ST",VLOOKUP($A12,INDIRECT("'"&amp;Summary!BV$1&amp;"'!$A$1:$S$17"),19,FALSE),VLOOKUP($A12,INDIRECT("'"&amp;Summary!BV$1&amp;"'!$A$1:$S$17"),12,FALSE)))</f>
        <v>4.9000000000000004</v>
      </c>
      <c r="BY12" s="2">
        <f t="array" aca="1" ref="BY12" ca="1">IF(BW12="","",IF(BW12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12,INDIRECT("'"&amp;Summary!BV$1&amp;"'!$A$1:$A$17"),0)&amp;":$S"&amp;MATCH($A12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12,INDIRECT("'"&amp;Summary!BV$1&amp;"'!$A$1:$A$17"),0)&amp;":$S"&amp;MATCH($A12,INDIRECT("'"&amp;Summary!BV$1&amp;"'!$A$1:$A$17"),0)))))</f>
        <v>0</v>
      </c>
      <c r="BZ12" s="3">
        <f t="shared" ca="1" si="28"/>
        <v>0</v>
      </c>
      <c r="CA12" s="3">
        <f t="shared" ca="1" si="12"/>
        <v>1</v>
      </c>
      <c r="CB12" s="2" t="str">
        <f ca="1">IF(CC12="","",IF(CC12="D/ST",MID(VLOOKUP($A12,INDIRECT("'"&amp;Summary!CB$1&amp;"'!$A$1:$S$17"),2,FALSE),1,FIND(" ",VLOOKUP($A12,INDIRECT("'"&amp;Summary!CB$1&amp;"'!$A$1:$S$17"),2,FALSE))+4),MID(VLOOKUP($A12,INDIRECT("'"&amp;Summary!CB$1&amp;"'!$A$1:$S$17"),2,FALSE),1,FIND(",",VLOOKUP($A12,INDIRECT("'"&amp;Summary!CB$1&amp;"'!$A$1:$S$17"),2,FALSE))-1)))</f>
        <v>Isaiah Crowell</v>
      </c>
      <c r="CC12" s="2" t="str">
        <f ca="1">IF(ISNUMBER(SEARCH("QB",VLOOKUP($A12,INDIRECT("'"&amp;Summary!CB$1&amp;"'!$A$1:$S$17"),2,FALSE))),"QB",
IF(ISNUMBER(SEARCH("RB",VLOOKUP($A12,INDIRECT("'"&amp;Summary!CB$1&amp;"'!$A$1:$S$17"),2,FALSE))),"RB",
IF(ISNUMBER(SEARCH("WR",VLOOKUP($A12,INDIRECT("'"&amp;Summary!CB$1&amp;"'!$A$1:$S$17"),2,FALSE))),"WR",
IF(ISNUMBER(SEARCH("D/ST",VLOOKUP($A12,INDIRECT("'"&amp;Summary!CB$1&amp;"'!$A$1:$S$17"),2,FALSE))),"D/ST",
IF(ISNUMBER(SEARCH("TE",VLOOKUP($A12,INDIRECT("'"&amp;Summary!CB$1&amp;"'!$A$1:$S$17"),2,FALSE))),"TE","")))))</f>
        <v>RB</v>
      </c>
      <c r="CD12" s="2">
        <f ca="1">IF(CC12="","",IF(CC12&lt;&gt;"D/ST",VLOOKUP($A12,INDIRECT("'"&amp;Summary!CB$1&amp;"'!$A$1:$S$17"),19,FALSE),VLOOKUP($A12,INDIRECT("'"&amp;Summary!CB$1&amp;"'!$A$1:$S$17"),12,FALSE)))</f>
        <v>14.6</v>
      </c>
      <c r="CE12" s="2">
        <f t="array" aca="1" ref="CE12" ca="1">IF(CC12="","",IF(CC12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12,INDIRECT("'"&amp;Summary!CB$1&amp;"'!$A$1:$A$17"),0)&amp;":$S"&amp;MATCH($A12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12,INDIRECT("'"&amp;Summary!CB$1&amp;"'!$A$1:$A$17"),0)&amp;":$S"&amp;MATCH($A12,INDIRECT("'"&amp;Summary!CB$1&amp;"'!$A$1:$A$17"),0)))))</f>
        <v>0</v>
      </c>
      <c r="CF12" s="3">
        <f t="shared" ca="1" si="29"/>
        <v>0</v>
      </c>
      <c r="CG12" s="3">
        <f t="shared" ca="1" si="13"/>
        <v>1</v>
      </c>
      <c r="CH12" s="2" t="str">
        <f ca="1">IF(CI12="","",IF(CI12="D/ST",MID(VLOOKUP($A12,INDIRECT("'"&amp;Summary!CH$1&amp;"'!$A$1:$S$17"),2,FALSE),1,FIND(" ",VLOOKUP($A12,INDIRECT("'"&amp;Summary!CH$1&amp;"'!$A$1:$S$17"),2,FALSE))+4),MID(VLOOKUP($A12,INDIRECT("'"&amp;Summary!CH$1&amp;"'!$A$1:$S$17"),2,FALSE),1,FIND(",",VLOOKUP($A12,INDIRECT("'"&amp;Summary!CH$1&amp;"'!$A$1:$S$17"),2,FALSE))-1)))</f>
        <v>Mike Evans</v>
      </c>
      <c r="CI12" s="2" t="str">
        <f ca="1">IF(ISNUMBER(SEARCH("QB",VLOOKUP($A12,INDIRECT("'"&amp;Summary!CH$1&amp;"'!$A$1:$S$17"),2,FALSE))),"QB",
IF(ISNUMBER(SEARCH("RB",VLOOKUP($A12,INDIRECT("'"&amp;Summary!CH$1&amp;"'!$A$1:$S$17"),2,FALSE))),"RB",
IF(ISNUMBER(SEARCH("WR",VLOOKUP($A12,INDIRECT("'"&amp;Summary!CH$1&amp;"'!$A$1:$S$17"),2,FALSE))),"WR",
IF(ISNUMBER(SEARCH("D/ST",VLOOKUP($A12,INDIRECT("'"&amp;Summary!CH$1&amp;"'!$A$1:$S$17"),2,FALSE))),"D/ST",
IF(ISNUMBER(SEARCH("TE",VLOOKUP($A12,INDIRECT("'"&amp;Summary!CH$1&amp;"'!$A$1:$S$17"),2,FALSE))),"TE","")))))</f>
        <v>WR</v>
      </c>
      <c r="CJ12" s="2">
        <f ca="1">IF(CI12="","",IF(CI12&lt;&gt;"D/ST",VLOOKUP($A12,INDIRECT("'"&amp;Summary!CH$1&amp;"'!$A$1:$S$17"),19,FALSE),VLOOKUP($A12,INDIRECT("'"&amp;Summary!CH$1&amp;"'!$A$1:$S$17"),12,FALSE)))</f>
        <v>16.399999999999999</v>
      </c>
      <c r="CK12" s="2">
        <f t="array" aca="1" ref="CK12" ca="1">IF(CI12="","",IF(CI12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12,INDIRECT("'"&amp;Summary!CH$1&amp;"'!$A$1:$A$17"),0)&amp;":$S"&amp;MATCH($A12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12,INDIRECT("'"&amp;Summary!CH$1&amp;"'!$A$1:$A$17"),0)&amp;":$S"&amp;MATCH($A12,INDIRECT("'"&amp;Summary!CH$1&amp;"'!$A$1:$A$17"),0)))))</f>
        <v>1</v>
      </c>
      <c r="CL12" s="3">
        <f t="shared" ca="1" si="30"/>
        <v>0.36585365853658541</v>
      </c>
      <c r="CM12" s="3">
        <f t="shared" ca="1" si="14"/>
        <v>0.63414634146341453</v>
      </c>
      <c r="CN12" s="2" t="str">
        <f ca="1">IF(CO12="","",IF(CO12="D/ST",MID(VLOOKUP($A12,INDIRECT("'"&amp;Summary!CN$1&amp;"'!$A$1:$S$17"),2,FALSE),1,FIND(" ",VLOOKUP($A12,INDIRECT("'"&amp;Summary!CN$1&amp;"'!$A$1:$S$17"),2,FALSE))+4),MID(VLOOKUP($A12,INDIRECT("'"&amp;Summary!CN$1&amp;"'!$A$1:$S$17"),2,FALSE),1,FIND(",",VLOOKUP($A12,INDIRECT("'"&amp;Summary!CN$1&amp;"'!$A$1:$S$17"),2,FALSE))-1)))</f>
        <v>Alfred Morris</v>
      </c>
      <c r="CO12" s="2" t="str">
        <f ca="1">IF(ISNUMBER(SEARCH("QB",VLOOKUP($A12,INDIRECT("'"&amp;Summary!CN$1&amp;"'!$A$1:$S$17"),2,FALSE))),"QB",
IF(ISNUMBER(SEARCH("RB",VLOOKUP($A12,INDIRECT("'"&amp;Summary!CN$1&amp;"'!$A$1:$S$17"),2,FALSE))),"RB",
IF(ISNUMBER(SEARCH("WR",VLOOKUP($A12,INDIRECT("'"&amp;Summary!CN$1&amp;"'!$A$1:$S$17"),2,FALSE))),"WR",
IF(ISNUMBER(SEARCH("D/ST",VLOOKUP($A12,INDIRECT("'"&amp;Summary!CN$1&amp;"'!$A$1:$S$17"),2,FALSE))),"D/ST",
IF(ISNUMBER(SEARCH("TE",VLOOKUP($A12,INDIRECT("'"&amp;Summary!CN$1&amp;"'!$A$1:$S$17"),2,FALSE))),"TE","")))))</f>
        <v>RB</v>
      </c>
      <c r="CP12" s="2">
        <f ca="1">IF(CO12="","",IF(CO12&lt;&gt;"D/ST",VLOOKUP($A12,INDIRECT("'"&amp;Summary!CN$1&amp;"'!$A$1:$S$17"),19,FALSE),VLOOKUP($A12,INDIRECT("'"&amp;Summary!CN$1&amp;"'!$A$1:$S$17"),12,FALSE)))</f>
        <v>0</v>
      </c>
      <c r="CQ12" s="2">
        <f t="array" aca="1" ref="CQ12" ca="1">IF(CO12="","",IF(CO12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12,INDIRECT("'"&amp;Summary!CN$1&amp;"'!$A$1:$A$17"),0)&amp;":$S"&amp;MATCH($A12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12,INDIRECT("'"&amp;Summary!CN$1&amp;"'!$A$1:$A$17"),0)&amp;":$S"&amp;MATCH($A12,INDIRECT("'"&amp;Summary!CN$1&amp;"'!$A$1:$A$17"),0)))))</f>
        <v>0</v>
      </c>
      <c r="CR12" s="3">
        <f t="shared" ca="1" si="31"/>
        <v>0</v>
      </c>
      <c r="CS12" s="3">
        <f t="shared" ca="1" si="15"/>
        <v>1</v>
      </c>
    </row>
    <row r="13" spans="1:97" ht="16.25" thickTop="1" thickBot="1" x14ac:dyDescent="0.9">
      <c r="A13" s="2" t="s">
        <v>53</v>
      </c>
      <c r="B13" s="2" t="str">
        <f ca="1">IF(C13="","",IF(C13="D/ST",MID(VLOOKUP($A13,INDIRECT("'"&amp;Summary!B$1&amp;"'!$A$1:$S$17"),2,FALSE),1,FIND(" ",VLOOKUP($A13,INDIRECT("'"&amp;Summary!B$1&amp;"'!$A$1:$S$17"),2,FALSE))+4),MID(VLOOKUP($A13,INDIRECT("'"&amp;Summary!B$1&amp;"'!$A$1:$S$17"),2,FALSE),1,FIND(",",VLOOKUP($A13,INDIRECT("'"&amp;Summary!B$1&amp;"'!$A$1:$S$17"),2,FALSE))-1)))</f>
        <v>Darren McFadden</v>
      </c>
      <c r="C13" s="2" t="str">
        <f ca="1">IF(ISNUMBER(SEARCH("QB",VLOOKUP($A13,INDIRECT("'"&amp;Summary!B$1&amp;"'!$A$1:$S$17"),2,FALSE))),"QB",
IF(ISNUMBER(SEARCH("RB",VLOOKUP($A13,INDIRECT("'"&amp;Summary!B$1&amp;"'!$A$1:$S$17"),2,FALSE))),"RB",
IF(ISNUMBER(SEARCH("WR",VLOOKUP($A13,INDIRECT("'"&amp;Summary!B$1&amp;"'!$A$1:$S$17"),2,FALSE))),"WR",
IF(ISNUMBER(SEARCH("D/ST",VLOOKUP($A13,INDIRECT("'"&amp;Summary!B$1&amp;"'!$A$1:$S$17"),2,FALSE))),"D/ST",
IF(ISNUMBER(SEARCH("TE",VLOOKUP($A13,INDIRECT("'"&amp;Summary!B$1&amp;"'!$A$1:$S$17"),2,FALSE))),"TE","")))))</f>
        <v>RB</v>
      </c>
      <c r="D13" s="2">
        <f ca="1">IF(C13="","",IF(C13&lt;&gt;"D/ST",VLOOKUP($A13,INDIRECT("'"&amp;Summary!B$1&amp;"'!$A$1:$S$17"),19,FALSE),VLOOKUP($A13,INDIRECT("'"&amp;Summary!B$1&amp;"'!$A$1:$S$17"),12,FALSE)))</f>
        <v>0</v>
      </c>
      <c r="E13" s="2">
        <f t="array" aca="1" ref="E13" ca="1">IF(C13="","",IF(C13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13,INDIRECT("'"&amp;Summary!B$1&amp;"'!$A$1:$A$17"),0)&amp;":$S"&amp;MATCH($A13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13,INDIRECT("'"&amp;Summary!B$1&amp;"'!$A$1:$A$17"),0)&amp;":$S"&amp;MATCH($A13,INDIRECT("'"&amp;Summary!B$1&amp;"'!$A$1:$A$17"),0)))))</f>
        <v>0</v>
      </c>
      <c r="F13" s="3">
        <f t="shared" ca="1" si="16"/>
        <v>0</v>
      </c>
      <c r="G13" s="3">
        <f t="shared" ca="1" si="0"/>
        <v>1</v>
      </c>
      <c r="H13" s="2" t="str">
        <f ca="1">IF(I13="","",IF(I13="D/ST",MID(VLOOKUP($A13,INDIRECT("'"&amp;Summary!H$1&amp;"'!$A$1:$S$17"),2,FALSE),1,FIND(" ",VLOOKUP($A13,INDIRECT("'"&amp;Summary!H$1&amp;"'!$A$1:$S$17"),2,FALSE))+4),MID(VLOOKUP($A13,INDIRECT("'"&amp;Summary!H$1&amp;"'!$A$1:$S$17"),2,FALSE),1,FIND(",",VLOOKUP($A13,INDIRECT("'"&amp;Summary!H$1&amp;"'!$A$1:$S$17"),2,FALSE))-1)))</f>
        <v>Cooper Kupp</v>
      </c>
      <c r="I13" s="2" t="str">
        <f ca="1">IF(ISNUMBER(SEARCH("QB",VLOOKUP($A13,INDIRECT("'"&amp;Summary!H$1&amp;"'!$A$1:$S$17"),2,FALSE))),"QB",
IF(ISNUMBER(SEARCH("RB",VLOOKUP($A13,INDIRECT("'"&amp;Summary!H$1&amp;"'!$A$1:$S$17"),2,FALSE))),"RB",
IF(ISNUMBER(SEARCH("WR",VLOOKUP($A13,INDIRECT("'"&amp;Summary!H$1&amp;"'!$A$1:$S$17"),2,FALSE))),"WR",
IF(ISNUMBER(SEARCH("D/ST",VLOOKUP($A13,INDIRECT("'"&amp;Summary!H$1&amp;"'!$A$1:$S$17"),2,FALSE))),"D/ST",
IF(ISNUMBER(SEARCH("TE",VLOOKUP($A13,INDIRECT("'"&amp;Summary!H$1&amp;"'!$A$1:$S$17"),2,FALSE))),"TE","")))))</f>
        <v>WR</v>
      </c>
      <c r="J13" s="2">
        <f ca="1">IF(I13="","",IF(I13&lt;&gt;"D/ST",VLOOKUP($A13,INDIRECT("'"&amp;Summary!H$1&amp;"'!$A$1:$S$17"),19,FALSE),VLOOKUP($A13,INDIRECT("'"&amp;Summary!H$1&amp;"'!$A$1:$S$17"),12,FALSE)))</f>
        <v>4.8</v>
      </c>
      <c r="K13" s="2">
        <f t="array" aca="1" ref="K13" ca="1">IF(I13="","",IF(I13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13,INDIRECT("'"&amp;Summary!H$1&amp;"'!$A$1:$A$17"),0)&amp;":$S"&amp;MATCH($A13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13,INDIRECT("'"&amp;Summary!H$1&amp;"'!$A$1:$A$17"),0)&amp;":$S"&amp;MATCH($A13,INDIRECT("'"&amp;Summary!H$1&amp;"'!$A$1:$A$17"),0)))))</f>
        <v>0</v>
      </c>
      <c r="L13" s="3">
        <f t="shared" ca="1" si="17"/>
        <v>0</v>
      </c>
      <c r="M13" s="3">
        <f t="shared" ca="1" si="1"/>
        <v>1</v>
      </c>
      <c r="N13" s="2" t="str">
        <f ca="1">IF(O13="","",IF(O13="D/ST",MID(VLOOKUP($A13,INDIRECT("'"&amp;Summary!N$1&amp;"'!$A$1:$S$17"),2,FALSE),1,FIND(" ",VLOOKUP($A13,INDIRECT("'"&amp;Summary!N$1&amp;"'!$A$1:$S$17"),2,FALSE))+4),MID(VLOOKUP($A13,INDIRECT("'"&amp;Summary!N$1&amp;"'!$A$1:$S$17"),2,FALSE),1,FIND(",",VLOOKUP($A13,INDIRECT("'"&amp;Summary!N$1&amp;"'!$A$1:$S$17"),2,FALSE))-1)))</f>
        <v>Ted Ginn Jr.</v>
      </c>
      <c r="O13" s="2" t="str">
        <f ca="1">IF(ISNUMBER(SEARCH("QB",VLOOKUP($A13,INDIRECT("'"&amp;Summary!N$1&amp;"'!$A$1:$S$17"),2,FALSE))),"QB",
IF(ISNUMBER(SEARCH("RB",VLOOKUP($A13,INDIRECT("'"&amp;Summary!N$1&amp;"'!$A$1:$S$17"),2,FALSE))),"RB",
IF(ISNUMBER(SEARCH("WR",VLOOKUP($A13,INDIRECT("'"&amp;Summary!N$1&amp;"'!$A$1:$S$17"),2,FALSE))),"WR",
IF(ISNUMBER(SEARCH("D/ST",VLOOKUP($A13,INDIRECT("'"&amp;Summary!N$1&amp;"'!$A$1:$S$17"),2,FALSE))),"D/ST",
IF(ISNUMBER(SEARCH("TE",VLOOKUP($A13,INDIRECT("'"&amp;Summary!N$1&amp;"'!$A$1:$S$17"),2,FALSE))),"TE","")))))</f>
        <v>WR</v>
      </c>
      <c r="P13" s="2">
        <f ca="1">IF(O13="","",IF(O13&lt;&gt;"D/ST",VLOOKUP($A13,INDIRECT("'"&amp;Summary!N$1&amp;"'!$A$1:$S$17"),19,FALSE),VLOOKUP($A13,INDIRECT("'"&amp;Summary!N$1&amp;"'!$A$1:$S$17"),12,FALSE)))</f>
        <v>12.9</v>
      </c>
      <c r="Q13" s="2">
        <f t="array" aca="1" ref="Q13" ca="1">IF(O13="","",IF(O13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13,INDIRECT("'"&amp;Summary!N$1&amp;"'!$A$1:$A$17"),0)&amp;":$S"&amp;MATCH($A13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13,INDIRECT("'"&amp;Summary!N$1&amp;"'!$A$1:$A$17"),0)&amp;":$S"&amp;MATCH($A13,INDIRECT("'"&amp;Summary!N$1&amp;"'!$A$1:$A$17"),0)))))</f>
        <v>1</v>
      </c>
      <c r="R13" s="3">
        <f t="shared" ca="1" si="18"/>
        <v>0.46511627906976744</v>
      </c>
      <c r="S13" s="3">
        <f t="shared" ca="1" si="2"/>
        <v>0.53488372093023262</v>
      </c>
      <c r="T13" s="2" t="str">
        <f ca="1">IF(U13="","",IF(U13="D/ST",MID(VLOOKUP($A13,INDIRECT("'"&amp;Summary!T$1&amp;"'!$A$1:$S$17"),2,FALSE),1,FIND(" ",VLOOKUP($A13,INDIRECT("'"&amp;Summary!T$1&amp;"'!$A$1:$S$17"),2,FALSE))+4),MID(VLOOKUP($A13,INDIRECT("'"&amp;Summary!T$1&amp;"'!$A$1:$S$17"),2,FALSE),1,FIND(",",VLOOKUP($A13,INDIRECT("'"&amp;Summary!T$1&amp;"'!$A$1:$S$17"),2,FALSE))-1)))</f>
        <v>Wendell Smallwood</v>
      </c>
      <c r="U13" s="2" t="str">
        <f ca="1">IF(ISNUMBER(SEARCH("QB",VLOOKUP($A13,INDIRECT("'"&amp;Summary!T$1&amp;"'!$A$1:$S$17"),2,FALSE))),"QB",
IF(ISNUMBER(SEARCH("RB",VLOOKUP($A13,INDIRECT("'"&amp;Summary!T$1&amp;"'!$A$1:$S$17"),2,FALSE))),"RB",
IF(ISNUMBER(SEARCH("WR",VLOOKUP($A13,INDIRECT("'"&amp;Summary!T$1&amp;"'!$A$1:$S$17"),2,FALSE))),"WR",
IF(ISNUMBER(SEARCH("D/ST",VLOOKUP($A13,INDIRECT("'"&amp;Summary!T$1&amp;"'!$A$1:$S$17"),2,FALSE))),"D/ST",
IF(ISNUMBER(SEARCH("TE",VLOOKUP($A13,INDIRECT("'"&amp;Summary!T$1&amp;"'!$A$1:$S$17"),2,FALSE))),"TE","")))))</f>
        <v>RB</v>
      </c>
      <c r="V13" s="2">
        <f ca="1">IF(U13="","",IF(U13&lt;&gt;"D/ST",VLOOKUP($A13,INDIRECT("'"&amp;Summary!T$1&amp;"'!$A$1:$S$17"),19,FALSE),VLOOKUP($A13,INDIRECT("'"&amp;Summary!T$1&amp;"'!$A$1:$S$17"),12,FALSE)))</f>
        <v>15.9</v>
      </c>
      <c r="W13" s="2">
        <f t="array" aca="1" ref="W13" ca="1">IF(U13="","",IF(U13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13,INDIRECT("'"&amp;Summary!T$1&amp;"'!$A$1:$A$17"),0)&amp;":$S"&amp;MATCH($A13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13,INDIRECT("'"&amp;Summary!T$1&amp;"'!$A$1:$A$17"),0)&amp;":$S"&amp;MATCH($A13,INDIRECT("'"&amp;Summary!T$1&amp;"'!$A$1:$A$17"),0)))))</f>
        <v>1</v>
      </c>
      <c r="X13" s="3">
        <f t="shared" ca="1" si="19"/>
        <v>0.37735849056603771</v>
      </c>
      <c r="Y13" s="3">
        <f t="shared" ca="1" si="3"/>
        <v>0.62264150943396235</v>
      </c>
      <c r="Z13" s="2" t="str">
        <f ca="1">IF(AA13="","",IF(AA13="D/ST",MID(VLOOKUP($A13,INDIRECT("'"&amp;Summary!Z$1&amp;"'!$A$1:$S$17"),2,FALSE),1,FIND(" ",VLOOKUP($A13,INDIRECT("'"&amp;Summary!Z$1&amp;"'!$A$1:$S$17"),2,FALSE))+4),MID(VLOOKUP($A13,INDIRECT("'"&amp;Summary!Z$1&amp;"'!$A$1:$S$17"),2,FALSE),1,FIND(",",VLOOKUP($A13,INDIRECT("'"&amp;Summary!Z$1&amp;"'!$A$1:$S$17"),2,FALSE))-1)))</f>
        <v>Alex Collins</v>
      </c>
      <c r="AA13" s="2" t="str">
        <f ca="1">IF(ISNUMBER(SEARCH("QB",VLOOKUP($A13,INDIRECT("'"&amp;Summary!Z$1&amp;"'!$A$1:$S$17"),2,FALSE))),"QB",
IF(ISNUMBER(SEARCH("RB",VLOOKUP($A13,INDIRECT("'"&amp;Summary!Z$1&amp;"'!$A$1:$S$17"),2,FALSE))),"RB",
IF(ISNUMBER(SEARCH("WR",VLOOKUP($A13,INDIRECT("'"&amp;Summary!Z$1&amp;"'!$A$1:$S$17"),2,FALSE))),"WR",
IF(ISNUMBER(SEARCH("D/ST",VLOOKUP($A13,INDIRECT("'"&amp;Summary!Z$1&amp;"'!$A$1:$S$17"),2,FALSE))),"D/ST",
IF(ISNUMBER(SEARCH("TE",VLOOKUP($A13,INDIRECT("'"&amp;Summary!Z$1&amp;"'!$A$1:$S$17"),2,FALSE))),"TE","")))))</f>
        <v>RB</v>
      </c>
      <c r="AB13" s="2">
        <f ca="1">IF(AA13="","",IF(AA13&lt;&gt;"D/ST",VLOOKUP($A13,INDIRECT("'"&amp;Summary!Z$1&amp;"'!$A$1:$S$17"),19,FALSE),VLOOKUP($A13,INDIRECT("'"&amp;Summary!Z$1&amp;"'!$A$1:$S$17"),12,FALSE)))</f>
        <v>5.5</v>
      </c>
      <c r="AC13" s="2">
        <f t="array" aca="1" ref="AC13" ca="1">IF(AA13="","",IF(AA13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13,INDIRECT("'"&amp;Summary!Z$1&amp;"'!$A$1:$A$17"),0)&amp;":$S"&amp;MATCH($A13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13,INDIRECT("'"&amp;Summary!Z$1&amp;"'!$A$1:$A$17"),0)&amp;":$S"&amp;MATCH($A13,INDIRECT("'"&amp;Summary!Z$1&amp;"'!$A$1:$A$17"),0)))))</f>
        <v>0</v>
      </c>
      <c r="AD13" s="3">
        <f t="shared" ca="1" si="20"/>
        <v>0</v>
      </c>
      <c r="AE13" s="3">
        <f t="shared" ca="1" si="4"/>
        <v>1</v>
      </c>
      <c r="AF13" s="2" t="str">
        <f ca="1">IF(AG13="","",IF(AG13="D/ST",MID(VLOOKUP($A13,INDIRECT("'"&amp;Summary!AF$1&amp;"'!$A$1:$S$17"),2,FALSE),1,FIND(" ",VLOOKUP($A13,INDIRECT("'"&amp;Summary!AF$1&amp;"'!$A$1:$S$17"),2,FALSE))+4),MID(VLOOKUP($A13,INDIRECT("'"&amp;Summary!AF$1&amp;"'!$A$1:$S$17"),2,FALSE),1,FIND(",",VLOOKUP($A13,INDIRECT("'"&amp;Summary!AF$1&amp;"'!$A$1:$S$17"),2,FALSE))-1)))</f>
        <v>Rob Kelley</v>
      </c>
      <c r="AG13" s="2" t="str">
        <f ca="1">IF(ISNUMBER(SEARCH("QB",VLOOKUP($A13,INDIRECT("'"&amp;Summary!AF$1&amp;"'!$A$1:$S$17"),2,FALSE))),"QB",
IF(ISNUMBER(SEARCH("RB",VLOOKUP($A13,INDIRECT("'"&amp;Summary!AF$1&amp;"'!$A$1:$S$17"),2,FALSE))),"RB",
IF(ISNUMBER(SEARCH("WR",VLOOKUP($A13,INDIRECT("'"&amp;Summary!AF$1&amp;"'!$A$1:$S$17"),2,FALSE))),"WR",
IF(ISNUMBER(SEARCH("D/ST",VLOOKUP($A13,INDIRECT("'"&amp;Summary!AF$1&amp;"'!$A$1:$S$17"),2,FALSE))),"D/ST",
IF(ISNUMBER(SEARCH("TE",VLOOKUP($A13,INDIRECT("'"&amp;Summary!AF$1&amp;"'!$A$1:$S$17"),2,FALSE))),"TE","")))))</f>
        <v>RB</v>
      </c>
      <c r="AH13" s="2">
        <f ca="1">IF(AG13="","",IF(AG13&lt;&gt;"D/ST",VLOOKUP($A13,INDIRECT("'"&amp;Summary!AF$1&amp;"'!$A$1:$S$17"),19,FALSE),VLOOKUP($A13,INDIRECT("'"&amp;Summary!AF$1&amp;"'!$A$1:$S$17"),12,FALSE)))</f>
        <v>0</v>
      </c>
      <c r="AI13" s="2">
        <f t="array" aca="1" ref="AI13" ca="1">IF(AG13="","",IF(AG13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13,INDIRECT("'"&amp;Summary!AF$1&amp;"'!$A$1:$A$17"),0)&amp;":$S"&amp;MATCH($A13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13,INDIRECT("'"&amp;Summary!AF$1&amp;"'!$A$1:$A$17"),0)&amp;":$S"&amp;MATCH($A13,INDIRECT("'"&amp;Summary!AF$1&amp;"'!$A$1:$A$17"),0)))))</f>
        <v>0</v>
      </c>
      <c r="AJ13" s="3">
        <f t="shared" ca="1" si="21"/>
        <v>0</v>
      </c>
      <c r="AK13" s="3">
        <f t="shared" ca="1" si="5"/>
        <v>1</v>
      </c>
      <c r="AL13" s="2" t="str">
        <f ca="1">IF(AM13="","",IF(AM13="D/ST",MID(VLOOKUP($A13,INDIRECT("'"&amp;Summary!AL$1&amp;"'!$A$1:$S$17"),2,FALSE),1,FIND(" ",VLOOKUP($A13,INDIRECT("'"&amp;Summary!AL$1&amp;"'!$A$1:$S$17"),2,FALSE))+4),MID(VLOOKUP($A13,INDIRECT("'"&amp;Summary!AL$1&amp;"'!$A$1:$S$17"),2,FALSE),1,FIND(",",VLOOKUP($A13,INDIRECT("'"&amp;Summary!AL$1&amp;"'!$A$1:$S$17"),2,FALSE))-1)))</f>
        <v>Thomas Rawls</v>
      </c>
      <c r="AM13" s="2" t="str">
        <f ca="1">IF(ISNUMBER(SEARCH("QB",VLOOKUP($A13,INDIRECT("'"&amp;Summary!AL$1&amp;"'!$A$1:$S$17"),2,FALSE))),"QB",
IF(ISNUMBER(SEARCH("RB",VLOOKUP($A13,INDIRECT("'"&amp;Summary!AL$1&amp;"'!$A$1:$S$17"),2,FALSE))),"RB",
IF(ISNUMBER(SEARCH("WR",VLOOKUP($A13,INDIRECT("'"&amp;Summary!AL$1&amp;"'!$A$1:$S$17"),2,FALSE))),"WR",
IF(ISNUMBER(SEARCH("D/ST",VLOOKUP($A13,INDIRECT("'"&amp;Summary!AL$1&amp;"'!$A$1:$S$17"),2,FALSE))),"D/ST",
IF(ISNUMBER(SEARCH("TE",VLOOKUP($A13,INDIRECT("'"&amp;Summary!AL$1&amp;"'!$A$1:$S$17"),2,FALSE))),"TE","")))))</f>
        <v>RB</v>
      </c>
      <c r="AN13" s="2">
        <f ca="1">IF(AM13="","",IF(AM13&lt;&gt;"D/ST",VLOOKUP($A13,INDIRECT("'"&amp;Summary!AL$1&amp;"'!$A$1:$S$17"),19,FALSE),VLOOKUP($A13,INDIRECT("'"&amp;Summary!AL$1&amp;"'!$A$1:$S$17"),12,FALSE)))</f>
        <v>3.7</v>
      </c>
      <c r="AO13" s="2">
        <f t="array" aca="1" ref="AO13" ca="1">IF(AM13="","",IF(AM13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13,INDIRECT("'"&amp;Summary!AL$1&amp;"'!$A$1:$A$17"),0)&amp;":$S"&amp;MATCH($A13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13,INDIRECT("'"&amp;Summary!AL$1&amp;"'!$A$1:$A$17"),0)&amp;":$S"&amp;MATCH($A13,INDIRECT("'"&amp;Summary!AL$1&amp;"'!$A$1:$A$17"),0)))))</f>
        <v>0</v>
      </c>
      <c r="AP13" s="3">
        <f t="shared" ca="1" si="22"/>
        <v>0</v>
      </c>
      <c r="AQ13" s="3">
        <f t="shared" ca="1" si="6"/>
        <v>1</v>
      </c>
      <c r="AR13" s="2" t="str">
        <f ca="1">IF(AS13="","",IF(AS13="D/ST",MID(VLOOKUP($A13,INDIRECT("'"&amp;Summary!AR$1&amp;"'!$A$1:$S$17"),2,FALSE),1,FIND(" ",VLOOKUP($A13,INDIRECT("'"&amp;Summary!AR$1&amp;"'!$A$1:$S$17"),2,FALSE))+4),MID(VLOOKUP($A13,INDIRECT("'"&amp;Summary!AR$1&amp;"'!$A$1:$S$17"),2,FALSE),1,FIND(",",VLOOKUP($A13,INDIRECT("'"&amp;Summary!AR$1&amp;"'!$A$1:$S$17"),2,FALSE))-1)))</f>
        <v>Thomas Rawls</v>
      </c>
      <c r="AS13" s="2" t="str">
        <f ca="1">IF(ISNUMBER(SEARCH("QB",VLOOKUP($A13,INDIRECT("'"&amp;Summary!AR$1&amp;"'!$A$1:$S$17"),2,FALSE))),"QB",
IF(ISNUMBER(SEARCH("RB",VLOOKUP($A13,INDIRECT("'"&amp;Summary!AR$1&amp;"'!$A$1:$S$17"),2,FALSE))),"RB",
IF(ISNUMBER(SEARCH("WR",VLOOKUP($A13,INDIRECT("'"&amp;Summary!AR$1&amp;"'!$A$1:$S$17"),2,FALSE))),"WR",
IF(ISNUMBER(SEARCH("D/ST",VLOOKUP($A13,INDIRECT("'"&amp;Summary!AR$1&amp;"'!$A$1:$S$17"),2,FALSE))),"D/ST",
IF(ISNUMBER(SEARCH("TE",VLOOKUP($A13,INDIRECT("'"&amp;Summary!AR$1&amp;"'!$A$1:$S$17"),2,FALSE))),"TE","")))))</f>
        <v>RB</v>
      </c>
      <c r="AT13" s="2">
        <f ca="1">IF(AS13="","",IF(AS13&lt;&gt;"D/ST",VLOOKUP($A13,INDIRECT("'"&amp;Summary!AR$1&amp;"'!$A$1:$S$17"),19,FALSE),VLOOKUP($A13,INDIRECT("'"&amp;Summary!AR$1&amp;"'!$A$1:$S$17"),12,FALSE)))</f>
        <v>-0.1</v>
      </c>
      <c r="AU13" s="2">
        <f t="array" aca="1" ref="AU13" ca="1">IF(AS13="","",IF(AS13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13,INDIRECT("'"&amp;Summary!AR$1&amp;"'!$A$1:$A$17"),0)&amp;":$S"&amp;MATCH($A13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13,INDIRECT("'"&amp;Summary!AR$1&amp;"'!$A$1:$A$17"),0)&amp;":$S"&amp;MATCH($A13,INDIRECT("'"&amp;Summary!AR$1&amp;"'!$A$1:$A$17"),0)))))</f>
        <v>0</v>
      </c>
      <c r="AV13" s="3">
        <f t="shared" ca="1" si="23"/>
        <v>0</v>
      </c>
      <c r="AW13" s="3">
        <f t="shared" ca="1" si="7"/>
        <v>1</v>
      </c>
      <c r="AX13" s="2" t="str">
        <f ca="1">IF(AY13="","",IF(AY13="D/ST",MID(VLOOKUP($A13,INDIRECT("'"&amp;Summary!AX$1&amp;"'!$A$1:$S$17"),2,FALSE),1,FIND(" ",VLOOKUP($A13,INDIRECT("'"&amp;Summary!AX$1&amp;"'!$A$1:$S$17"),2,FALSE))+4),MID(VLOOKUP($A13,INDIRECT("'"&amp;Summary!AX$1&amp;"'!$A$1:$S$17"),2,FALSE),1,FIND(",",VLOOKUP($A13,INDIRECT("'"&amp;Summary!AX$1&amp;"'!$A$1:$S$17"),2,FALSE))-1)))</f>
        <v>Dion Lewis</v>
      </c>
      <c r="AY13" s="2" t="str">
        <f ca="1">IF(ISNUMBER(SEARCH("QB",VLOOKUP($A13,INDIRECT("'"&amp;Summary!AX$1&amp;"'!$A$1:$S$17"),2,FALSE))),"QB",
IF(ISNUMBER(SEARCH("RB",VLOOKUP($A13,INDIRECT("'"&amp;Summary!AX$1&amp;"'!$A$1:$S$17"),2,FALSE))),"RB",
IF(ISNUMBER(SEARCH("WR",VLOOKUP($A13,INDIRECT("'"&amp;Summary!AX$1&amp;"'!$A$1:$S$17"),2,FALSE))),"WR",
IF(ISNUMBER(SEARCH("D/ST",VLOOKUP($A13,INDIRECT("'"&amp;Summary!AX$1&amp;"'!$A$1:$S$17"),2,FALSE))),"D/ST",
IF(ISNUMBER(SEARCH("TE",VLOOKUP($A13,INDIRECT("'"&amp;Summary!AX$1&amp;"'!$A$1:$S$17"),2,FALSE))),"TE","")))))</f>
        <v>RB</v>
      </c>
      <c r="AZ13" s="2">
        <f ca="1">IF(AY13="","",IF(AY13&lt;&gt;"D/ST",VLOOKUP($A13,INDIRECT("'"&amp;Summary!AX$1&amp;"'!$A$1:$S$17"),19,FALSE),VLOOKUP($A13,INDIRECT("'"&amp;Summary!AX$1&amp;"'!$A$1:$S$17"),12,FALSE)))</f>
        <v>0</v>
      </c>
      <c r="BA13" s="2">
        <f t="array" aca="1" ref="BA13" ca="1">IF(AY13="","",IF(AY13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13,INDIRECT("'"&amp;Summary!AX$1&amp;"'!$A$1:$A$17"),0)&amp;":$S"&amp;MATCH($A13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13,INDIRECT("'"&amp;Summary!AX$1&amp;"'!$A$1:$A$17"),0)&amp;":$S"&amp;MATCH($A13,INDIRECT("'"&amp;Summary!AX$1&amp;"'!$A$1:$A$17"),0)))))</f>
        <v>0</v>
      </c>
      <c r="BB13" s="3">
        <f t="shared" ca="1" si="24"/>
        <v>0</v>
      </c>
      <c r="BC13" s="3">
        <f t="shared" ca="1" si="8"/>
        <v>1</v>
      </c>
      <c r="BD13" s="2" t="str">
        <f ca="1">IF(BE13="","",IF(BE13="D/ST",MID(VLOOKUP($A13,INDIRECT("'"&amp;Summary!BD$1&amp;"'!$A$1:$S$17"),2,FALSE),1,FIND(" ",VLOOKUP($A13,INDIRECT("'"&amp;Summary!BD$1&amp;"'!$A$1:$S$17"),2,FALSE))+4),MID(VLOOKUP($A13,INDIRECT("'"&amp;Summary!BD$1&amp;"'!$A$1:$S$17"),2,FALSE),1,FIND(",",VLOOKUP($A13,INDIRECT("'"&amp;Summary!BD$1&amp;"'!$A$1:$S$17"),2,FALSE))-1)))</f>
        <v>Isaiah Crowell</v>
      </c>
      <c r="BE13" s="2" t="str">
        <f ca="1">IF(ISNUMBER(SEARCH("QB",VLOOKUP($A13,INDIRECT("'"&amp;Summary!BD$1&amp;"'!$A$1:$S$17"),2,FALSE))),"QB",
IF(ISNUMBER(SEARCH("RB",VLOOKUP($A13,INDIRECT("'"&amp;Summary!BD$1&amp;"'!$A$1:$S$17"),2,FALSE))),"RB",
IF(ISNUMBER(SEARCH("WR",VLOOKUP($A13,INDIRECT("'"&amp;Summary!BD$1&amp;"'!$A$1:$S$17"),2,FALSE))),"WR",
IF(ISNUMBER(SEARCH("D/ST",VLOOKUP($A13,INDIRECT("'"&amp;Summary!BD$1&amp;"'!$A$1:$S$17"),2,FALSE))),"D/ST",
IF(ISNUMBER(SEARCH("TE",VLOOKUP($A13,INDIRECT("'"&amp;Summary!BD$1&amp;"'!$A$1:$S$17"),2,FALSE))),"TE","")))))</f>
        <v>RB</v>
      </c>
      <c r="BF13" s="2">
        <f ca="1">IF(BE13="","",IF(BE13&lt;&gt;"D/ST",VLOOKUP($A13,INDIRECT("'"&amp;Summary!BD$1&amp;"'!$A$1:$S$17"),19,FALSE),VLOOKUP($A13,INDIRECT("'"&amp;Summary!BD$1&amp;"'!$A$1:$S$17"),12,FALSE)))</f>
        <v>16</v>
      </c>
      <c r="BG13" s="2">
        <f t="array" aca="1" ref="BG13" ca="1">IF(BE13="","",IF(BE13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13,INDIRECT("'"&amp;Summary!BD$1&amp;"'!$A$1:$A$17"),0)&amp;":$S"&amp;MATCH($A13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13,INDIRECT("'"&amp;Summary!BD$1&amp;"'!$A$1:$A$17"),0)&amp;":$S"&amp;MATCH($A13,INDIRECT("'"&amp;Summary!BD$1&amp;"'!$A$1:$A$17"),0)))))</f>
        <v>1</v>
      </c>
      <c r="BH13" s="3">
        <f t="shared" ca="1" si="25"/>
        <v>0.375</v>
      </c>
      <c r="BI13" s="3">
        <f t="shared" ca="1" si="9"/>
        <v>0.625</v>
      </c>
      <c r="BJ13" s="2" t="str">
        <f ca="1">IF(BK13="","",IF(BK13="D/ST",MID(VLOOKUP($A13,INDIRECT("'"&amp;Summary!BJ$1&amp;"'!$A$1:$S$17"),2,FALSE),1,FIND(" ",VLOOKUP($A13,INDIRECT("'"&amp;Summary!BJ$1&amp;"'!$A$1:$S$17"),2,FALSE))+4),MID(VLOOKUP($A13,INDIRECT("'"&amp;Summary!BJ$1&amp;"'!$A$1:$S$17"),2,FALSE),1,FIND(",",VLOOKUP($A13,INDIRECT("'"&amp;Summary!BJ$1&amp;"'!$A$1:$S$17"),2,FALSE))-1)))</f>
        <v>Alfred Morris</v>
      </c>
      <c r="BK13" s="2" t="str">
        <f ca="1">IF(ISNUMBER(SEARCH("QB",VLOOKUP($A13,INDIRECT("'"&amp;Summary!BJ$1&amp;"'!$A$1:$S$17"),2,FALSE))),"QB",
IF(ISNUMBER(SEARCH("RB",VLOOKUP($A13,INDIRECT("'"&amp;Summary!BJ$1&amp;"'!$A$1:$S$17"),2,FALSE))),"RB",
IF(ISNUMBER(SEARCH("WR",VLOOKUP($A13,INDIRECT("'"&amp;Summary!BJ$1&amp;"'!$A$1:$S$17"),2,FALSE))),"WR",
IF(ISNUMBER(SEARCH("D/ST",VLOOKUP($A13,INDIRECT("'"&amp;Summary!BJ$1&amp;"'!$A$1:$S$17"),2,FALSE))),"D/ST",
IF(ISNUMBER(SEARCH("TE",VLOOKUP($A13,INDIRECT("'"&amp;Summary!BJ$1&amp;"'!$A$1:$S$17"),2,FALSE))),"TE","")))))</f>
        <v>RB</v>
      </c>
      <c r="BL13" s="2">
        <f ca="1">IF(BK13="","",IF(BK13&lt;&gt;"D/ST",VLOOKUP($A13,INDIRECT("'"&amp;Summary!BJ$1&amp;"'!$A$1:$S$17"),19,FALSE),VLOOKUP($A13,INDIRECT("'"&amp;Summary!BJ$1&amp;"'!$A$1:$S$17"),12,FALSE)))</f>
        <v>9.1</v>
      </c>
      <c r="BM13" s="2">
        <f t="array" aca="1" ref="BM13" ca="1">IF(BK13="","",IF(BK13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13,INDIRECT("'"&amp;Summary!BJ$1&amp;"'!$A$1:$A$17"),0)&amp;":$S"&amp;MATCH($A13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13,INDIRECT("'"&amp;Summary!BJ$1&amp;"'!$A$1:$A$17"),0)&amp;":$S"&amp;MATCH($A13,INDIRECT("'"&amp;Summary!BJ$1&amp;"'!$A$1:$A$17"),0)))))</f>
        <v>0</v>
      </c>
      <c r="BN13" s="3">
        <f t="shared" ca="1" si="26"/>
        <v>0</v>
      </c>
      <c r="BO13" s="3">
        <f t="shared" ca="1" si="10"/>
        <v>1</v>
      </c>
      <c r="BP13" s="2" t="str">
        <f ca="1">IF(BQ13="","",IF(BQ13="D/ST",MID(VLOOKUP($A13,INDIRECT("'"&amp;Summary!BP$1&amp;"'!$A$1:$S$17"),2,FALSE),1,FIND(" ",VLOOKUP($A13,INDIRECT("'"&amp;Summary!BP$1&amp;"'!$A$1:$S$17"),2,FALSE))+4),MID(VLOOKUP($A13,INDIRECT("'"&amp;Summary!BP$1&amp;"'!$A$1:$S$17"),2,FALSE),1,FIND(",",VLOOKUP($A13,INDIRECT("'"&amp;Summary!BP$1&amp;"'!$A$1:$S$17"),2,FALSE))-1)))</f>
        <v>Orleans Darkwa</v>
      </c>
      <c r="BQ13" s="2" t="str">
        <f ca="1">IF(ISNUMBER(SEARCH("QB",VLOOKUP($A13,INDIRECT("'"&amp;Summary!BP$1&amp;"'!$A$1:$S$17"),2,FALSE))),"QB",
IF(ISNUMBER(SEARCH("RB",VLOOKUP($A13,INDIRECT("'"&amp;Summary!BP$1&amp;"'!$A$1:$S$17"),2,FALSE))),"RB",
IF(ISNUMBER(SEARCH("WR",VLOOKUP($A13,INDIRECT("'"&amp;Summary!BP$1&amp;"'!$A$1:$S$17"),2,FALSE))),"WR",
IF(ISNUMBER(SEARCH("D/ST",VLOOKUP($A13,INDIRECT("'"&amp;Summary!BP$1&amp;"'!$A$1:$S$17"),2,FALSE))),"D/ST",
IF(ISNUMBER(SEARCH("TE",VLOOKUP($A13,INDIRECT("'"&amp;Summary!BP$1&amp;"'!$A$1:$S$17"),2,FALSE))),"TE","")))))</f>
        <v>RB</v>
      </c>
      <c r="BR13" s="2">
        <f ca="1">IF(BQ13="","",IF(BQ13&lt;&gt;"D/ST",VLOOKUP($A13,INDIRECT("'"&amp;Summary!BP$1&amp;"'!$A$1:$S$17"),19,FALSE),VLOOKUP($A13,INDIRECT("'"&amp;Summary!BP$1&amp;"'!$A$1:$S$17"),12,FALSE)))</f>
        <v>4.4000000000000004</v>
      </c>
      <c r="BS13" s="2">
        <f t="array" aca="1" ref="BS13" ca="1">IF(BQ13="","",IF(BQ13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13,INDIRECT("'"&amp;Summary!BP$1&amp;"'!$A$1:$A$17"),0)&amp;":$S"&amp;MATCH($A13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13,INDIRECT("'"&amp;Summary!BP$1&amp;"'!$A$1:$A$17"),0)&amp;":$S"&amp;MATCH($A13,INDIRECT("'"&amp;Summary!BP$1&amp;"'!$A$1:$A$17"),0)))))</f>
        <v>0</v>
      </c>
      <c r="BT13" s="3">
        <f t="shared" ca="1" si="27"/>
        <v>0</v>
      </c>
      <c r="BU13" s="3">
        <f t="shared" ca="1" si="11"/>
        <v>1</v>
      </c>
      <c r="BV13" s="2" t="str">
        <f ca="1">IF(BW13="","",IF(BW13="D/ST",MID(VLOOKUP($A13,INDIRECT("'"&amp;Summary!BV$1&amp;"'!$A$1:$S$17"),2,FALSE),1,FIND(" ",VLOOKUP($A13,INDIRECT("'"&amp;Summary!BV$1&amp;"'!$A$1:$S$17"),2,FALSE))+4),MID(VLOOKUP($A13,INDIRECT("'"&amp;Summary!BV$1&amp;"'!$A$1:$S$17"),2,FALSE),1,FIND(",",VLOOKUP($A13,INDIRECT("'"&amp;Summary!BV$1&amp;"'!$A$1:$S$17"),2,FALSE))-1)))</f>
        <v>Orleans Darkwa</v>
      </c>
      <c r="BW13" s="2" t="str">
        <f ca="1">IF(ISNUMBER(SEARCH("QB",VLOOKUP($A13,INDIRECT("'"&amp;Summary!BV$1&amp;"'!$A$1:$S$17"),2,FALSE))),"QB",
IF(ISNUMBER(SEARCH("RB",VLOOKUP($A13,INDIRECT("'"&amp;Summary!BV$1&amp;"'!$A$1:$S$17"),2,FALSE))),"RB",
IF(ISNUMBER(SEARCH("WR",VLOOKUP($A13,INDIRECT("'"&amp;Summary!BV$1&amp;"'!$A$1:$S$17"),2,FALSE))),"WR",
IF(ISNUMBER(SEARCH("D/ST",VLOOKUP($A13,INDIRECT("'"&amp;Summary!BV$1&amp;"'!$A$1:$S$17"),2,FALSE))),"D/ST",
IF(ISNUMBER(SEARCH("TE",VLOOKUP($A13,INDIRECT("'"&amp;Summary!BV$1&amp;"'!$A$1:$S$17"),2,FALSE))),"TE","")))))</f>
        <v>RB</v>
      </c>
      <c r="BX13" s="2">
        <f ca="1">IF(BW13="","",IF(BW13&lt;&gt;"D/ST",VLOOKUP($A13,INDIRECT("'"&amp;Summary!BV$1&amp;"'!$A$1:$S$17"),19,FALSE),VLOOKUP($A13,INDIRECT("'"&amp;Summary!BV$1&amp;"'!$A$1:$S$17"),12,FALSE)))</f>
        <v>9.6</v>
      </c>
      <c r="BY13" s="2">
        <f t="array" aca="1" ref="BY13" ca="1">IF(BW13="","",IF(BW13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13,INDIRECT("'"&amp;Summary!BV$1&amp;"'!$A$1:$A$17"),0)&amp;":$S"&amp;MATCH($A13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13,INDIRECT("'"&amp;Summary!BV$1&amp;"'!$A$1:$A$17"),0)&amp;":$S"&amp;MATCH($A13,INDIRECT("'"&amp;Summary!BV$1&amp;"'!$A$1:$A$17"),0)))))</f>
        <v>1</v>
      </c>
      <c r="BZ13" s="3">
        <f t="shared" ca="1" si="28"/>
        <v>0.625</v>
      </c>
      <c r="CA13" s="3">
        <f t="shared" ca="1" si="12"/>
        <v>0.375</v>
      </c>
      <c r="CB13" s="2" t="str">
        <f ca="1">IF(CC13="","",IF(CC13="D/ST",MID(VLOOKUP($A13,INDIRECT("'"&amp;Summary!CB$1&amp;"'!$A$1:$S$17"),2,FALSE),1,FIND(" ",VLOOKUP($A13,INDIRECT("'"&amp;Summary!CB$1&amp;"'!$A$1:$S$17"),2,FALSE))+4),MID(VLOOKUP($A13,INDIRECT("'"&amp;Summary!CB$1&amp;"'!$A$1:$S$17"),2,FALSE),1,FIND(",",VLOOKUP($A13,INDIRECT("'"&amp;Summary!CB$1&amp;"'!$A$1:$S$17"),2,FALSE))-1)))</f>
        <v>Doug Baldwin</v>
      </c>
      <c r="CC13" s="2" t="str">
        <f ca="1">IF(ISNUMBER(SEARCH("QB",VLOOKUP($A13,INDIRECT("'"&amp;Summary!CB$1&amp;"'!$A$1:$S$17"),2,FALSE))),"QB",
IF(ISNUMBER(SEARCH("RB",VLOOKUP($A13,INDIRECT("'"&amp;Summary!CB$1&amp;"'!$A$1:$S$17"),2,FALSE))),"RB",
IF(ISNUMBER(SEARCH("WR",VLOOKUP($A13,INDIRECT("'"&amp;Summary!CB$1&amp;"'!$A$1:$S$17"),2,FALSE))),"WR",
IF(ISNUMBER(SEARCH("D/ST",VLOOKUP($A13,INDIRECT("'"&amp;Summary!CB$1&amp;"'!$A$1:$S$17"),2,FALSE))),"D/ST",
IF(ISNUMBER(SEARCH("TE",VLOOKUP($A13,INDIRECT("'"&amp;Summary!CB$1&amp;"'!$A$1:$S$17"),2,FALSE))),"TE","")))))</f>
        <v>WR</v>
      </c>
      <c r="CD13" s="2">
        <f ca="1">IF(CC13="","",IF(CC13&lt;&gt;"D/ST",VLOOKUP($A13,INDIRECT("'"&amp;Summary!CB$1&amp;"'!$A$1:$S$17"),19,FALSE),VLOOKUP($A13,INDIRECT("'"&amp;Summary!CB$1&amp;"'!$A$1:$S$17"),12,FALSE)))</f>
        <v>15.3</v>
      </c>
      <c r="CE13" s="2">
        <f t="array" aca="1" ref="CE13" ca="1">IF(CC13="","",IF(CC13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13,INDIRECT("'"&amp;Summary!CB$1&amp;"'!$A$1:$A$17"),0)&amp;":$S"&amp;MATCH($A13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13,INDIRECT("'"&amp;Summary!CB$1&amp;"'!$A$1:$A$17"),0)&amp;":$S"&amp;MATCH($A13,INDIRECT("'"&amp;Summary!CB$1&amp;"'!$A$1:$A$17"),0)))))</f>
        <v>1</v>
      </c>
      <c r="CF13" s="3">
        <f t="shared" ca="1" si="29"/>
        <v>0.39215686274509803</v>
      </c>
      <c r="CG13" s="3">
        <f t="shared" ca="1" si="13"/>
        <v>0.60784313725490202</v>
      </c>
      <c r="CH13" s="2" t="str">
        <f ca="1">IF(CI13="","",IF(CI13="D/ST",MID(VLOOKUP($A13,INDIRECT("'"&amp;Summary!CH$1&amp;"'!$A$1:$S$17"),2,FALSE),1,FIND(" ",VLOOKUP($A13,INDIRECT("'"&amp;Summary!CH$1&amp;"'!$A$1:$S$17"),2,FALSE))+4),MID(VLOOKUP($A13,INDIRECT("'"&amp;Summary!CH$1&amp;"'!$A$1:$S$17"),2,FALSE),1,FIND(",",VLOOKUP($A13,INDIRECT("'"&amp;Summary!CH$1&amp;"'!$A$1:$S$17"),2,FALSE))-1)))</f>
        <v>Isaiah Crowell</v>
      </c>
      <c r="CI13" s="2" t="str">
        <f ca="1">IF(ISNUMBER(SEARCH("QB",VLOOKUP($A13,INDIRECT("'"&amp;Summary!CH$1&amp;"'!$A$1:$S$17"),2,FALSE))),"QB",
IF(ISNUMBER(SEARCH("RB",VLOOKUP($A13,INDIRECT("'"&amp;Summary!CH$1&amp;"'!$A$1:$S$17"),2,FALSE))),"RB",
IF(ISNUMBER(SEARCH("WR",VLOOKUP($A13,INDIRECT("'"&amp;Summary!CH$1&amp;"'!$A$1:$S$17"),2,FALSE))),"WR",
IF(ISNUMBER(SEARCH("D/ST",VLOOKUP($A13,INDIRECT("'"&amp;Summary!CH$1&amp;"'!$A$1:$S$17"),2,FALSE))),"D/ST",
IF(ISNUMBER(SEARCH("TE",VLOOKUP($A13,INDIRECT("'"&amp;Summary!CH$1&amp;"'!$A$1:$S$17"),2,FALSE))),"TE","")))))</f>
        <v>RB</v>
      </c>
      <c r="CJ13" s="2">
        <f ca="1">IF(CI13="","",IF(CI13&lt;&gt;"D/ST",VLOOKUP($A13,INDIRECT("'"&amp;Summary!CH$1&amp;"'!$A$1:$S$17"),19,FALSE),VLOOKUP($A13,INDIRECT("'"&amp;Summary!CH$1&amp;"'!$A$1:$S$17"),12,FALSE)))</f>
        <v>8.5</v>
      </c>
      <c r="CK13" s="2">
        <f t="array" aca="1" ref="CK13" ca="1">IF(CI13="","",IF(CI13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13,INDIRECT("'"&amp;Summary!CH$1&amp;"'!$A$1:$A$17"),0)&amp;":$S"&amp;MATCH($A13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13,INDIRECT("'"&amp;Summary!CH$1&amp;"'!$A$1:$A$17"),0)&amp;":$S"&amp;MATCH($A13,INDIRECT("'"&amp;Summary!CH$1&amp;"'!$A$1:$A$17"),0)))))</f>
        <v>0</v>
      </c>
      <c r="CL13" s="3">
        <f t="shared" ca="1" si="30"/>
        <v>0</v>
      </c>
      <c r="CM13" s="3">
        <f t="shared" ca="1" si="14"/>
        <v>1</v>
      </c>
      <c r="CN13" s="2" t="str">
        <f ca="1">IF(CO13="","",IF(CO13="D/ST",MID(VLOOKUP($A13,INDIRECT("'"&amp;Summary!CN$1&amp;"'!$A$1:$S$17"),2,FALSE),1,FIND(" ",VLOOKUP($A13,INDIRECT("'"&amp;Summary!CN$1&amp;"'!$A$1:$S$17"),2,FALSE))+4),MID(VLOOKUP($A13,INDIRECT("'"&amp;Summary!CN$1&amp;"'!$A$1:$S$17"),2,FALSE),1,FIND(",",VLOOKUP($A13,INDIRECT("'"&amp;Summary!CN$1&amp;"'!$A$1:$S$17"),2,FALSE))-1)))</f>
        <v>Samaje Perine</v>
      </c>
      <c r="CO13" s="2" t="str">
        <f ca="1">IF(ISNUMBER(SEARCH("QB",VLOOKUP($A13,INDIRECT("'"&amp;Summary!CN$1&amp;"'!$A$1:$S$17"),2,FALSE))),"QB",
IF(ISNUMBER(SEARCH("RB",VLOOKUP($A13,INDIRECT("'"&amp;Summary!CN$1&amp;"'!$A$1:$S$17"),2,FALSE))),"RB",
IF(ISNUMBER(SEARCH("WR",VLOOKUP($A13,INDIRECT("'"&amp;Summary!CN$1&amp;"'!$A$1:$S$17"),2,FALSE))),"WR",
IF(ISNUMBER(SEARCH("D/ST",VLOOKUP($A13,INDIRECT("'"&amp;Summary!CN$1&amp;"'!$A$1:$S$17"),2,FALSE))),"D/ST",
IF(ISNUMBER(SEARCH("TE",VLOOKUP($A13,INDIRECT("'"&amp;Summary!CN$1&amp;"'!$A$1:$S$17"),2,FALSE))),"TE","")))))</f>
        <v>RB</v>
      </c>
      <c r="CP13" s="2">
        <f ca="1">IF(CO13="","",IF(CO13&lt;&gt;"D/ST",VLOOKUP($A13,INDIRECT("'"&amp;Summary!CN$1&amp;"'!$A$1:$S$17"),19,FALSE),VLOOKUP($A13,INDIRECT("'"&amp;Summary!CN$1&amp;"'!$A$1:$S$17"),12,FALSE)))</f>
        <v>6.9</v>
      </c>
      <c r="CQ13" s="2">
        <f t="array" aca="1" ref="CQ13" ca="1">IF(CO13="","",IF(CO13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13,INDIRECT("'"&amp;Summary!CN$1&amp;"'!$A$1:$A$17"),0)&amp;":$S"&amp;MATCH($A13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13,INDIRECT("'"&amp;Summary!CN$1&amp;"'!$A$1:$A$17"),0)&amp;":$S"&amp;MATCH($A13,INDIRECT("'"&amp;Summary!CN$1&amp;"'!$A$1:$A$17"),0)))))</f>
        <v>0</v>
      </c>
      <c r="CR13" s="3">
        <f t="shared" ca="1" si="31"/>
        <v>0</v>
      </c>
      <c r="CS13" s="3">
        <f t="shared" ca="1" si="15"/>
        <v>1</v>
      </c>
    </row>
    <row r="14" spans="1:97" ht="16.25" thickTop="1" thickBot="1" x14ac:dyDescent="0.9">
      <c r="A14" s="2" t="s">
        <v>55</v>
      </c>
      <c r="B14" s="2" t="str">
        <f ca="1">IF(C14="","",IF(C14="D/ST",MID(VLOOKUP($A14,INDIRECT("'"&amp;Summary!B$1&amp;"'!$A$1:$S$17"),2,FALSE),1,FIND(" ",VLOOKUP($A14,INDIRECT("'"&amp;Summary!B$1&amp;"'!$A$1:$S$17"),2,FALSE))+4),MID(VLOOKUP($A14,INDIRECT("'"&amp;Summary!B$1&amp;"'!$A$1:$S$17"),2,FALSE),1,FIND(",",VLOOKUP($A14,INDIRECT("'"&amp;Summary!B$1&amp;"'!$A$1:$S$17"),2,FALSE))-1)))</f>
        <v>Darren Sproles</v>
      </c>
      <c r="C14" s="2" t="str">
        <f ca="1">IF(ISNUMBER(SEARCH("QB",VLOOKUP($A14,INDIRECT("'"&amp;Summary!B$1&amp;"'!$A$1:$S$17"),2,FALSE))),"QB",
IF(ISNUMBER(SEARCH("RB",VLOOKUP($A14,INDIRECT("'"&amp;Summary!B$1&amp;"'!$A$1:$S$17"),2,FALSE))),"RB",
IF(ISNUMBER(SEARCH("WR",VLOOKUP($A14,INDIRECT("'"&amp;Summary!B$1&amp;"'!$A$1:$S$17"),2,FALSE))),"WR",
IF(ISNUMBER(SEARCH("D/ST",VLOOKUP($A14,INDIRECT("'"&amp;Summary!B$1&amp;"'!$A$1:$S$17"),2,FALSE))),"D/ST",
IF(ISNUMBER(SEARCH("TE",VLOOKUP($A14,INDIRECT("'"&amp;Summary!B$1&amp;"'!$A$1:$S$17"),2,FALSE))),"TE","")))))</f>
        <v>RB</v>
      </c>
      <c r="D14" s="2">
        <f ca="1">IF(C14="","",IF(C14&lt;&gt;"D/ST",VLOOKUP($A14,INDIRECT("'"&amp;Summary!B$1&amp;"'!$A$1:$S$17"),19,FALSE),VLOOKUP($A14,INDIRECT("'"&amp;Summary!B$1&amp;"'!$A$1:$S$17"),12,FALSE)))</f>
        <v>7</v>
      </c>
      <c r="E14" s="2">
        <f t="array" aca="1" ref="E14" ca="1">IF(C14="","",IF(C14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14,INDIRECT("'"&amp;Summary!B$1&amp;"'!$A$1:$A$17"),0)&amp;":$S"&amp;MATCH($A14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14,INDIRECT("'"&amp;Summary!B$1&amp;"'!$A$1:$A$17"),0)&amp;":$S"&amp;MATCH($A14,INDIRECT("'"&amp;Summary!B$1&amp;"'!$A$1:$A$17"),0)))))</f>
        <v>0</v>
      </c>
      <c r="F14" s="3">
        <f t="shared" ca="1" si="16"/>
        <v>0</v>
      </c>
      <c r="G14" s="3">
        <f t="shared" ca="1" si="0"/>
        <v>1</v>
      </c>
      <c r="H14" s="2" t="str">
        <f ca="1">IF(I14="","",IF(I14="D/ST",MID(VLOOKUP($A14,INDIRECT("'"&amp;Summary!H$1&amp;"'!$A$1:$S$17"),2,FALSE),1,FIND(" ",VLOOKUP($A14,INDIRECT("'"&amp;Summary!H$1&amp;"'!$A$1:$S$17"),2,FALSE))+4),MID(VLOOKUP($A14,INDIRECT("'"&amp;Summary!H$1&amp;"'!$A$1:$S$17"),2,FALSE),1,FIND(",",VLOOKUP($A14,INDIRECT("'"&amp;Summary!H$1&amp;"'!$A$1:$S$17"),2,FALSE))-1)))</f>
        <v>Chris Carson</v>
      </c>
      <c r="I14" s="2" t="str">
        <f ca="1">IF(ISNUMBER(SEARCH("QB",VLOOKUP($A14,INDIRECT("'"&amp;Summary!H$1&amp;"'!$A$1:$S$17"),2,FALSE))),"QB",
IF(ISNUMBER(SEARCH("RB",VLOOKUP($A14,INDIRECT("'"&amp;Summary!H$1&amp;"'!$A$1:$S$17"),2,FALSE))),"RB",
IF(ISNUMBER(SEARCH("WR",VLOOKUP($A14,INDIRECT("'"&amp;Summary!H$1&amp;"'!$A$1:$S$17"),2,FALSE))),"WR",
IF(ISNUMBER(SEARCH("D/ST",VLOOKUP($A14,INDIRECT("'"&amp;Summary!H$1&amp;"'!$A$1:$S$17"),2,FALSE))),"D/ST",
IF(ISNUMBER(SEARCH("TE",VLOOKUP($A14,INDIRECT("'"&amp;Summary!H$1&amp;"'!$A$1:$S$17"),2,FALSE))),"TE","")))))</f>
        <v>RB</v>
      </c>
      <c r="J14" s="2">
        <f ca="1">IF(I14="","",IF(I14&lt;&gt;"D/ST",VLOOKUP($A14,INDIRECT("'"&amp;Summary!H$1&amp;"'!$A$1:$S$17"),19,FALSE),VLOOKUP($A14,INDIRECT("'"&amp;Summary!H$1&amp;"'!$A$1:$S$17"),12,FALSE)))</f>
        <v>10.5</v>
      </c>
      <c r="K14" s="2">
        <f t="array" aca="1" ref="K14" ca="1">IF(I14="","",IF(I14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14,INDIRECT("'"&amp;Summary!H$1&amp;"'!$A$1:$A$17"),0)&amp;":$S"&amp;MATCH($A14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14,INDIRECT("'"&amp;Summary!H$1&amp;"'!$A$1:$A$17"),0)&amp;":$S"&amp;MATCH($A14,INDIRECT("'"&amp;Summary!H$1&amp;"'!$A$1:$A$17"),0)))))</f>
        <v>0</v>
      </c>
      <c r="L14" s="3">
        <f t="shared" ca="1" si="17"/>
        <v>0</v>
      </c>
      <c r="M14" s="3">
        <f t="shared" ca="1" si="1"/>
        <v>1</v>
      </c>
      <c r="N14" s="2" t="str">
        <f ca="1">IF(O14="","",IF(O14="D/ST",MID(VLOOKUP($A14,INDIRECT("'"&amp;Summary!N$1&amp;"'!$A$1:$S$17"),2,FALSE),1,FIND(" ",VLOOKUP($A14,INDIRECT("'"&amp;Summary!N$1&amp;"'!$A$1:$S$17"),2,FALSE))+4),MID(VLOOKUP($A14,INDIRECT("'"&amp;Summary!N$1&amp;"'!$A$1:$S$17"),2,FALSE),1,FIND(",",VLOOKUP($A14,INDIRECT("'"&amp;Summary!N$1&amp;"'!$A$1:$S$17"),2,FALSE))-1)))</f>
        <v>Donte Moncrief</v>
      </c>
      <c r="O14" s="2" t="str">
        <f ca="1">IF(ISNUMBER(SEARCH("QB",VLOOKUP($A14,INDIRECT("'"&amp;Summary!N$1&amp;"'!$A$1:$S$17"),2,FALSE))),"QB",
IF(ISNUMBER(SEARCH("RB",VLOOKUP($A14,INDIRECT("'"&amp;Summary!N$1&amp;"'!$A$1:$S$17"),2,FALSE))),"RB",
IF(ISNUMBER(SEARCH("WR",VLOOKUP($A14,INDIRECT("'"&amp;Summary!N$1&amp;"'!$A$1:$S$17"),2,FALSE))),"WR",
IF(ISNUMBER(SEARCH("D/ST",VLOOKUP($A14,INDIRECT("'"&amp;Summary!N$1&amp;"'!$A$1:$S$17"),2,FALSE))),"D/ST",
IF(ISNUMBER(SEARCH("TE",VLOOKUP($A14,INDIRECT("'"&amp;Summary!N$1&amp;"'!$A$1:$S$17"),2,FALSE))),"TE","")))))</f>
        <v>WR</v>
      </c>
      <c r="P14" s="2">
        <f ca="1">IF(O14="","",IF(O14&lt;&gt;"D/ST",VLOOKUP($A14,INDIRECT("'"&amp;Summary!N$1&amp;"'!$A$1:$S$17"),19,FALSE),VLOOKUP($A14,INDIRECT("'"&amp;Summary!N$1&amp;"'!$A$1:$S$17"),12,FALSE)))</f>
        <v>5.4</v>
      </c>
      <c r="Q14" s="2">
        <f t="array" aca="1" ref="Q14" ca="1">IF(O14="","",IF(O14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14,INDIRECT("'"&amp;Summary!N$1&amp;"'!$A$1:$A$17"),0)&amp;":$S"&amp;MATCH($A14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14,INDIRECT("'"&amp;Summary!N$1&amp;"'!$A$1:$A$17"),0)&amp;":$S"&amp;MATCH($A14,INDIRECT("'"&amp;Summary!N$1&amp;"'!$A$1:$A$17"),0)))))</f>
        <v>0</v>
      </c>
      <c r="R14" s="3">
        <f t="shared" ca="1" si="18"/>
        <v>0</v>
      </c>
      <c r="S14" s="3">
        <f t="shared" ca="1" si="2"/>
        <v>1</v>
      </c>
      <c r="T14" s="2" t="str">
        <f ca="1">IF(U14="","",IF(U14="D/ST",MID(VLOOKUP($A14,INDIRECT("'"&amp;Summary!T$1&amp;"'!$A$1:$S$17"),2,FALSE),1,FIND(" ",VLOOKUP($A14,INDIRECT("'"&amp;Summary!T$1&amp;"'!$A$1:$S$17"),2,FALSE))+4),MID(VLOOKUP($A14,INDIRECT("'"&amp;Summary!T$1&amp;"'!$A$1:$S$17"),2,FALSE),1,FIND(",",VLOOKUP($A14,INDIRECT("'"&amp;Summary!T$1&amp;"'!$A$1:$S$17"),2,FALSE))-1)))</f>
        <v>Alfred Morris</v>
      </c>
      <c r="U14" s="2" t="str">
        <f ca="1">IF(ISNUMBER(SEARCH("QB",VLOOKUP($A14,INDIRECT("'"&amp;Summary!T$1&amp;"'!$A$1:$S$17"),2,FALSE))),"QB",
IF(ISNUMBER(SEARCH("RB",VLOOKUP($A14,INDIRECT("'"&amp;Summary!T$1&amp;"'!$A$1:$S$17"),2,FALSE))),"RB",
IF(ISNUMBER(SEARCH("WR",VLOOKUP($A14,INDIRECT("'"&amp;Summary!T$1&amp;"'!$A$1:$S$17"),2,FALSE))),"WR",
IF(ISNUMBER(SEARCH("D/ST",VLOOKUP($A14,INDIRECT("'"&amp;Summary!T$1&amp;"'!$A$1:$S$17"),2,FALSE))),"D/ST",
IF(ISNUMBER(SEARCH("TE",VLOOKUP($A14,INDIRECT("'"&amp;Summary!T$1&amp;"'!$A$1:$S$17"),2,FALSE))),"TE","")))))</f>
        <v>RB</v>
      </c>
      <c r="V14" s="2">
        <f ca="1">IF(U14="","",IF(U14&lt;&gt;"D/ST",VLOOKUP($A14,INDIRECT("'"&amp;Summary!T$1&amp;"'!$A$1:$S$17"),19,FALSE),VLOOKUP($A14,INDIRECT("'"&amp;Summary!T$1&amp;"'!$A$1:$S$17"),12,FALSE)))</f>
        <v>7.6</v>
      </c>
      <c r="W14" s="2">
        <f t="array" aca="1" ref="W14" ca="1">IF(U14="","",IF(U14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14,INDIRECT("'"&amp;Summary!T$1&amp;"'!$A$1:$A$17"),0)&amp;":$S"&amp;MATCH($A14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14,INDIRECT("'"&amp;Summary!T$1&amp;"'!$A$1:$A$17"),0)&amp;":$S"&amp;MATCH($A14,INDIRECT("'"&amp;Summary!T$1&amp;"'!$A$1:$A$17"),0)))))</f>
        <v>0</v>
      </c>
      <c r="X14" s="3">
        <f t="shared" ca="1" si="19"/>
        <v>0</v>
      </c>
      <c r="Y14" s="3">
        <f t="shared" ca="1" si="3"/>
        <v>1</v>
      </c>
      <c r="Z14" s="2" t="str">
        <f ca="1">IF(AA14="","",IF(AA14="D/ST",MID(VLOOKUP($A14,INDIRECT("'"&amp;Summary!Z$1&amp;"'!$A$1:$S$17"),2,FALSE),1,FIND(" ",VLOOKUP($A14,INDIRECT("'"&amp;Summary!Z$1&amp;"'!$A$1:$S$17"),2,FALSE))+4),MID(VLOOKUP($A14,INDIRECT("'"&amp;Summary!Z$1&amp;"'!$A$1:$S$17"),2,FALSE),1,FIND(",",VLOOKUP($A14,INDIRECT("'"&amp;Summary!Z$1&amp;"'!$A$1:$S$17"),2,FALSE))-1)))</f>
        <v>Alfred Morris</v>
      </c>
      <c r="AA14" s="2" t="str">
        <f ca="1">IF(ISNUMBER(SEARCH("QB",VLOOKUP($A14,INDIRECT("'"&amp;Summary!Z$1&amp;"'!$A$1:$S$17"),2,FALSE))),"QB",
IF(ISNUMBER(SEARCH("RB",VLOOKUP($A14,INDIRECT("'"&amp;Summary!Z$1&amp;"'!$A$1:$S$17"),2,FALSE))),"RB",
IF(ISNUMBER(SEARCH("WR",VLOOKUP($A14,INDIRECT("'"&amp;Summary!Z$1&amp;"'!$A$1:$S$17"),2,FALSE))),"WR",
IF(ISNUMBER(SEARCH("D/ST",VLOOKUP($A14,INDIRECT("'"&amp;Summary!Z$1&amp;"'!$A$1:$S$17"),2,FALSE))),"D/ST",
IF(ISNUMBER(SEARCH("TE",VLOOKUP($A14,INDIRECT("'"&amp;Summary!Z$1&amp;"'!$A$1:$S$17"),2,FALSE))),"TE","")))))</f>
        <v>RB</v>
      </c>
      <c r="AB14" s="2">
        <f ca="1">IF(AA14="","",IF(AA14&lt;&gt;"D/ST",VLOOKUP($A14,INDIRECT("'"&amp;Summary!Z$1&amp;"'!$A$1:$S$17"),19,FALSE),VLOOKUP($A14,INDIRECT("'"&amp;Summary!Z$1&amp;"'!$A$1:$S$17"),12,FALSE)))</f>
        <v>1</v>
      </c>
      <c r="AC14" s="2">
        <f t="array" aca="1" ref="AC14" ca="1">IF(AA14="","",IF(AA14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14,INDIRECT("'"&amp;Summary!Z$1&amp;"'!$A$1:$A$17"),0)&amp;":$S"&amp;MATCH($A14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14,INDIRECT("'"&amp;Summary!Z$1&amp;"'!$A$1:$A$17"),0)&amp;":$S"&amp;MATCH($A14,INDIRECT("'"&amp;Summary!Z$1&amp;"'!$A$1:$A$17"),0)))))</f>
        <v>0</v>
      </c>
      <c r="AD14" s="3">
        <f t="shared" ca="1" si="20"/>
        <v>0</v>
      </c>
      <c r="AE14" s="3">
        <f t="shared" ca="1" si="4"/>
        <v>1</v>
      </c>
      <c r="AF14" s="2" t="str">
        <f ca="1">IF(AG14="","",IF(AG14="D/ST",MID(VLOOKUP($A14,INDIRECT("'"&amp;Summary!AF$1&amp;"'!$A$1:$S$17"),2,FALSE),1,FIND(" ",VLOOKUP($A14,INDIRECT("'"&amp;Summary!AF$1&amp;"'!$A$1:$S$17"),2,FALSE))+4),MID(VLOOKUP($A14,INDIRECT("'"&amp;Summary!AF$1&amp;"'!$A$1:$S$17"),2,FALSE),1,FIND(",",VLOOKUP($A14,INDIRECT("'"&amp;Summary!AF$1&amp;"'!$A$1:$S$17"),2,FALSE))-1)))</f>
        <v>Darren McFadden</v>
      </c>
      <c r="AG14" s="2" t="str">
        <f ca="1">IF(ISNUMBER(SEARCH("QB",VLOOKUP($A14,INDIRECT("'"&amp;Summary!AF$1&amp;"'!$A$1:$S$17"),2,FALSE))),"QB",
IF(ISNUMBER(SEARCH("RB",VLOOKUP($A14,INDIRECT("'"&amp;Summary!AF$1&amp;"'!$A$1:$S$17"),2,FALSE))),"RB",
IF(ISNUMBER(SEARCH("WR",VLOOKUP($A14,INDIRECT("'"&amp;Summary!AF$1&amp;"'!$A$1:$S$17"),2,FALSE))),"WR",
IF(ISNUMBER(SEARCH("D/ST",VLOOKUP($A14,INDIRECT("'"&amp;Summary!AF$1&amp;"'!$A$1:$S$17"),2,FALSE))),"D/ST",
IF(ISNUMBER(SEARCH("TE",VLOOKUP($A14,INDIRECT("'"&amp;Summary!AF$1&amp;"'!$A$1:$S$17"),2,FALSE))),"TE","")))))</f>
        <v>RB</v>
      </c>
      <c r="AH14" s="2">
        <f ca="1">IF(AG14="","",IF(AG14&lt;&gt;"D/ST",VLOOKUP($A14,INDIRECT("'"&amp;Summary!AF$1&amp;"'!$A$1:$S$17"),19,FALSE),VLOOKUP($A14,INDIRECT("'"&amp;Summary!AF$1&amp;"'!$A$1:$S$17"),12,FALSE)))</f>
        <v>0</v>
      </c>
      <c r="AI14" s="2">
        <f t="array" aca="1" ref="AI14" ca="1">IF(AG14="","",IF(AG14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14,INDIRECT("'"&amp;Summary!AF$1&amp;"'!$A$1:$A$17"),0)&amp;":$S"&amp;MATCH($A14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14,INDIRECT("'"&amp;Summary!AF$1&amp;"'!$A$1:$A$17"),0)&amp;":$S"&amp;MATCH($A14,INDIRECT("'"&amp;Summary!AF$1&amp;"'!$A$1:$A$17"),0)))))</f>
        <v>0</v>
      </c>
      <c r="AJ14" s="3">
        <f t="shared" ca="1" si="21"/>
        <v>0</v>
      </c>
      <c r="AK14" s="3">
        <f t="shared" ca="1" si="5"/>
        <v>1</v>
      </c>
      <c r="AL14" s="2" t="str">
        <f ca="1">IF(AM14="","",IF(AM14="D/ST",MID(VLOOKUP($A14,INDIRECT("'"&amp;Summary!AL$1&amp;"'!$A$1:$S$17"),2,FALSE),1,FIND(" ",VLOOKUP($A14,INDIRECT("'"&amp;Summary!AL$1&amp;"'!$A$1:$S$17"),2,FALSE))+4),MID(VLOOKUP($A14,INDIRECT("'"&amp;Summary!AL$1&amp;"'!$A$1:$S$17"),2,FALSE),1,FIND(",",VLOOKUP($A14,INDIRECT("'"&amp;Summary!AL$1&amp;"'!$A$1:$S$17"),2,FALSE))-1)))</f>
        <v>Orleans Darkwa</v>
      </c>
      <c r="AM14" s="2" t="str">
        <f ca="1">IF(ISNUMBER(SEARCH("QB",VLOOKUP($A14,INDIRECT("'"&amp;Summary!AL$1&amp;"'!$A$1:$S$17"),2,FALSE))),"QB",
IF(ISNUMBER(SEARCH("RB",VLOOKUP($A14,INDIRECT("'"&amp;Summary!AL$1&amp;"'!$A$1:$S$17"),2,FALSE))),"RB",
IF(ISNUMBER(SEARCH("WR",VLOOKUP($A14,INDIRECT("'"&amp;Summary!AL$1&amp;"'!$A$1:$S$17"),2,FALSE))),"WR",
IF(ISNUMBER(SEARCH("D/ST",VLOOKUP($A14,INDIRECT("'"&amp;Summary!AL$1&amp;"'!$A$1:$S$17"),2,FALSE))),"D/ST",
IF(ISNUMBER(SEARCH("TE",VLOOKUP($A14,INDIRECT("'"&amp;Summary!AL$1&amp;"'!$A$1:$S$17"),2,FALSE))),"TE","")))))</f>
        <v>RB</v>
      </c>
      <c r="AN14" s="2">
        <f ca="1">IF(AM14="","",IF(AM14&lt;&gt;"D/ST",VLOOKUP($A14,INDIRECT("'"&amp;Summary!AL$1&amp;"'!$A$1:$S$17"),19,FALSE),VLOOKUP($A14,INDIRECT("'"&amp;Summary!AL$1&amp;"'!$A$1:$S$17"),12,FALSE)))</f>
        <v>6.3</v>
      </c>
      <c r="AO14" s="2">
        <f t="array" aca="1" ref="AO14" ca="1">IF(AM14="","",IF(AM14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14,INDIRECT("'"&amp;Summary!AL$1&amp;"'!$A$1:$A$17"),0)&amp;":$S"&amp;MATCH($A14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14,INDIRECT("'"&amp;Summary!AL$1&amp;"'!$A$1:$A$17"),0)&amp;":$S"&amp;MATCH($A14,INDIRECT("'"&amp;Summary!AL$1&amp;"'!$A$1:$A$17"),0)))))</f>
        <v>0</v>
      </c>
      <c r="AP14" s="3">
        <f t="shared" ca="1" si="22"/>
        <v>0</v>
      </c>
      <c r="AQ14" s="3">
        <f t="shared" ca="1" si="6"/>
        <v>1</v>
      </c>
      <c r="AR14" s="2" t="str">
        <f ca="1">IF(AS14="","",IF(AS14="D/ST",MID(VLOOKUP($A14,INDIRECT("'"&amp;Summary!AR$1&amp;"'!$A$1:$S$17"),2,FALSE),1,FIND(" ",VLOOKUP($A14,INDIRECT("'"&amp;Summary!AR$1&amp;"'!$A$1:$S$17"),2,FALSE))+4),MID(VLOOKUP($A14,INDIRECT("'"&amp;Summary!AR$1&amp;"'!$A$1:$S$17"),2,FALSE),1,FIND(",",VLOOKUP($A14,INDIRECT("'"&amp;Summary!AR$1&amp;"'!$A$1:$S$17"),2,FALSE))-1)))</f>
        <v>Orleans Darkwa</v>
      </c>
      <c r="AS14" s="2" t="str">
        <f ca="1">IF(ISNUMBER(SEARCH("QB",VLOOKUP($A14,INDIRECT("'"&amp;Summary!AR$1&amp;"'!$A$1:$S$17"),2,FALSE))),"QB",
IF(ISNUMBER(SEARCH("RB",VLOOKUP($A14,INDIRECT("'"&amp;Summary!AR$1&amp;"'!$A$1:$S$17"),2,FALSE))),"RB",
IF(ISNUMBER(SEARCH("WR",VLOOKUP($A14,INDIRECT("'"&amp;Summary!AR$1&amp;"'!$A$1:$S$17"),2,FALSE))),"WR",
IF(ISNUMBER(SEARCH("D/ST",VLOOKUP($A14,INDIRECT("'"&amp;Summary!AR$1&amp;"'!$A$1:$S$17"),2,FALSE))),"D/ST",
IF(ISNUMBER(SEARCH("TE",VLOOKUP($A14,INDIRECT("'"&amp;Summary!AR$1&amp;"'!$A$1:$S$17"),2,FALSE))),"TE","")))))</f>
        <v>RB</v>
      </c>
      <c r="AT14" s="2">
        <f ca="1">IF(AS14="","",IF(AS14&lt;&gt;"D/ST",VLOOKUP($A14,INDIRECT("'"&amp;Summary!AR$1&amp;"'!$A$1:$S$17"),19,FALSE),VLOOKUP($A14,INDIRECT("'"&amp;Summary!AR$1&amp;"'!$A$1:$S$17"),12,FALSE)))</f>
        <v>0</v>
      </c>
      <c r="AU14" s="2">
        <f t="array" aca="1" ref="AU14" ca="1">IF(AS14="","",IF(AS14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14,INDIRECT("'"&amp;Summary!AR$1&amp;"'!$A$1:$A$17"),0)&amp;":$S"&amp;MATCH($A14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14,INDIRECT("'"&amp;Summary!AR$1&amp;"'!$A$1:$A$17"),0)&amp;":$S"&amp;MATCH($A14,INDIRECT("'"&amp;Summary!AR$1&amp;"'!$A$1:$A$17"),0)))))</f>
        <v>0</v>
      </c>
      <c r="AV14" s="3">
        <f t="shared" ca="1" si="23"/>
        <v>0</v>
      </c>
      <c r="AW14" s="3">
        <f t="shared" ca="1" si="7"/>
        <v>1</v>
      </c>
      <c r="AX14" s="2" t="str">
        <f ca="1">IF(AY14="","",IF(AY14="D/ST",MID(VLOOKUP($A14,INDIRECT("'"&amp;Summary!AX$1&amp;"'!$A$1:$S$17"),2,FALSE),1,FIND(" ",VLOOKUP($A14,INDIRECT("'"&amp;Summary!AX$1&amp;"'!$A$1:$S$17"),2,FALSE))+4),MID(VLOOKUP($A14,INDIRECT("'"&amp;Summary!AX$1&amp;"'!$A$1:$S$17"),2,FALSE),1,FIND(",",VLOOKUP($A14,INDIRECT("'"&amp;Summary!AX$1&amp;"'!$A$1:$S$17"),2,FALSE))-1)))</f>
        <v>Alfred Morris</v>
      </c>
      <c r="AY14" s="2" t="str">
        <f ca="1">IF(ISNUMBER(SEARCH("QB",VLOOKUP($A14,INDIRECT("'"&amp;Summary!AX$1&amp;"'!$A$1:$S$17"),2,FALSE))),"QB",
IF(ISNUMBER(SEARCH("RB",VLOOKUP($A14,INDIRECT("'"&amp;Summary!AX$1&amp;"'!$A$1:$S$17"),2,FALSE))),"RB",
IF(ISNUMBER(SEARCH("WR",VLOOKUP($A14,INDIRECT("'"&amp;Summary!AX$1&amp;"'!$A$1:$S$17"),2,FALSE))),"WR",
IF(ISNUMBER(SEARCH("D/ST",VLOOKUP($A14,INDIRECT("'"&amp;Summary!AX$1&amp;"'!$A$1:$S$17"),2,FALSE))),"D/ST",
IF(ISNUMBER(SEARCH("TE",VLOOKUP($A14,INDIRECT("'"&amp;Summary!AX$1&amp;"'!$A$1:$S$17"),2,FALSE))),"TE","")))))</f>
        <v>RB</v>
      </c>
      <c r="AZ14" s="2">
        <f ca="1">IF(AY14="","",IF(AY14&lt;&gt;"D/ST",VLOOKUP($A14,INDIRECT("'"&amp;Summary!AX$1&amp;"'!$A$1:$S$17"),19,FALSE),VLOOKUP($A14,INDIRECT("'"&amp;Summary!AX$1&amp;"'!$A$1:$S$17"),12,FALSE)))</f>
        <v>1.1000000000000001</v>
      </c>
      <c r="BA14" s="2">
        <f t="array" aca="1" ref="BA14" ca="1">IF(AY14="","",IF(AY14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14,INDIRECT("'"&amp;Summary!AX$1&amp;"'!$A$1:$A$17"),0)&amp;":$S"&amp;MATCH($A14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14,INDIRECT("'"&amp;Summary!AX$1&amp;"'!$A$1:$A$17"),0)&amp;":$S"&amp;MATCH($A14,INDIRECT("'"&amp;Summary!AX$1&amp;"'!$A$1:$A$17"),0)))))</f>
        <v>0</v>
      </c>
      <c r="BB14" s="3">
        <f t="shared" ca="1" si="24"/>
        <v>0</v>
      </c>
      <c r="BC14" s="3">
        <f t="shared" ca="1" si="8"/>
        <v>1</v>
      </c>
      <c r="BD14" s="2" t="str">
        <f ca="1">IF(BE14="","",IF(BE14="D/ST",MID(VLOOKUP($A14,INDIRECT("'"&amp;Summary!BD$1&amp;"'!$A$1:$S$17"),2,FALSE),1,FIND(" ",VLOOKUP($A14,INDIRECT("'"&amp;Summary!BD$1&amp;"'!$A$1:$S$17"),2,FALSE))+4),MID(VLOOKUP($A14,INDIRECT("'"&amp;Summary!BD$1&amp;"'!$A$1:$S$17"),2,FALSE),1,FIND(",",VLOOKUP($A14,INDIRECT("'"&amp;Summary!BD$1&amp;"'!$A$1:$S$17"),2,FALSE))-1)))</f>
        <v>Kenyan Drake</v>
      </c>
      <c r="BE14" s="2" t="str">
        <f ca="1">IF(ISNUMBER(SEARCH("QB",VLOOKUP($A14,INDIRECT("'"&amp;Summary!BD$1&amp;"'!$A$1:$S$17"),2,FALSE))),"QB",
IF(ISNUMBER(SEARCH("RB",VLOOKUP($A14,INDIRECT("'"&amp;Summary!BD$1&amp;"'!$A$1:$S$17"),2,FALSE))),"RB",
IF(ISNUMBER(SEARCH("WR",VLOOKUP($A14,INDIRECT("'"&amp;Summary!BD$1&amp;"'!$A$1:$S$17"),2,FALSE))),"WR",
IF(ISNUMBER(SEARCH("D/ST",VLOOKUP($A14,INDIRECT("'"&amp;Summary!BD$1&amp;"'!$A$1:$S$17"),2,FALSE))),"D/ST",
IF(ISNUMBER(SEARCH("TE",VLOOKUP($A14,INDIRECT("'"&amp;Summary!BD$1&amp;"'!$A$1:$S$17"),2,FALSE))),"TE","")))))</f>
        <v>RB</v>
      </c>
      <c r="BF14" s="2">
        <f ca="1">IF(BE14="","",IF(BE14&lt;&gt;"D/ST",VLOOKUP($A14,INDIRECT("'"&amp;Summary!BD$1&amp;"'!$A$1:$S$17"),19,FALSE),VLOOKUP($A14,INDIRECT("'"&amp;Summary!BD$1&amp;"'!$A$1:$S$17"),12,FALSE)))</f>
        <v>16.2</v>
      </c>
      <c r="BG14" s="2">
        <f t="array" aca="1" ref="BG14" ca="1">IF(BE14="","",IF(BE14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14,INDIRECT("'"&amp;Summary!BD$1&amp;"'!$A$1:$A$17"),0)&amp;":$S"&amp;MATCH($A14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14,INDIRECT("'"&amp;Summary!BD$1&amp;"'!$A$1:$A$17"),0)&amp;":$S"&amp;MATCH($A14,INDIRECT("'"&amp;Summary!BD$1&amp;"'!$A$1:$A$17"),0)))))</f>
        <v>1</v>
      </c>
      <c r="BH14" s="3">
        <f t="shared" ca="1" si="25"/>
        <v>0.37037037037037041</v>
      </c>
      <c r="BI14" s="3">
        <f t="shared" ca="1" si="9"/>
        <v>0.62962962962962954</v>
      </c>
      <c r="BJ14" s="2" t="str">
        <f ca="1">IF(BK14="","",IF(BK14="D/ST",MID(VLOOKUP($A14,INDIRECT("'"&amp;Summary!BJ$1&amp;"'!$A$1:$S$17"),2,FALSE),1,FIND(" ",VLOOKUP($A14,INDIRECT("'"&amp;Summary!BJ$1&amp;"'!$A$1:$S$17"),2,FALSE))+4),MID(VLOOKUP($A14,INDIRECT("'"&amp;Summary!BJ$1&amp;"'!$A$1:$S$17"),2,FALSE),1,FIND(",",VLOOKUP($A14,INDIRECT("'"&amp;Summary!BJ$1&amp;"'!$A$1:$S$17"),2,FALSE))-1)))</f>
        <v>Rod Smith</v>
      </c>
      <c r="BK14" s="2" t="str">
        <f ca="1">IF(ISNUMBER(SEARCH("QB",VLOOKUP($A14,INDIRECT("'"&amp;Summary!BJ$1&amp;"'!$A$1:$S$17"),2,FALSE))),"QB",
IF(ISNUMBER(SEARCH("RB",VLOOKUP($A14,INDIRECT("'"&amp;Summary!BJ$1&amp;"'!$A$1:$S$17"),2,FALSE))),"RB",
IF(ISNUMBER(SEARCH("WR",VLOOKUP($A14,INDIRECT("'"&amp;Summary!BJ$1&amp;"'!$A$1:$S$17"),2,FALSE))),"WR",
IF(ISNUMBER(SEARCH("D/ST",VLOOKUP($A14,INDIRECT("'"&amp;Summary!BJ$1&amp;"'!$A$1:$S$17"),2,FALSE))),"D/ST",
IF(ISNUMBER(SEARCH("TE",VLOOKUP($A14,INDIRECT("'"&amp;Summary!BJ$1&amp;"'!$A$1:$S$17"),2,FALSE))),"TE","")))))</f>
        <v>RB</v>
      </c>
      <c r="BL14" s="2">
        <f ca="1">IF(BK14="","",IF(BK14&lt;&gt;"D/ST",VLOOKUP($A14,INDIRECT("'"&amp;Summary!BJ$1&amp;"'!$A$1:$S$17"),19,FALSE),VLOOKUP($A14,INDIRECT("'"&amp;Summary!BJ$1&amp;"'!$A$1:$S$17"),12,FALSE)))</f>
        <v>1.1000000000000001</v>
      </c>
      <c r="BM14" s="2">
        <f t="array" aca="1" ref="BM14" ca="1">IF(BK14="","",IF(BK14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14,INDIRECT("'"&amp;Summary!BJ$1&amp;"'!$A$1:$A$17"),0)&amp;":$S"&amp;MATCH($A14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14,INDIRECT("'"&amp;Summary!BJ$1&amp;"'!$A$1:$A$17"),0)&amp;":$S"&amp;MATCH($A14,INDIRECT("'"&amp;Summary!BJ$1&amp;"'!$A$1:$A$17"),0)))))</f>
        <v>0</v>
      </c>
      <c r="BN14" s="3">
        <f t="shared" ca="1" si="26"/>
        <v>0</v>
      </c>
      <c r="BO14" s="3">
        <f t="shared" ca="1" si="10"/>
        <v>1</v>
      </c>
      <c r="BP14" s="2" t="str">
        <f ca="1">IF(BQ14="","",IF(BQ14="D/ST",MID(VLOOKUP($A14,INDIRECT("'"&amp;Summary!BP$1&amp;"'!$A$1:$S$17"),2,FALSE),1,FIND(" ",VLOOKUP($A14,INDIRECT("'"&amp;Summary!BP$1&amp;"'!$A$1:$S$17"),2,FALSE))+4),MID(VLOOKUP($A14,INDIRECT("'"&amp;Summary!BP$1&amp;"'!$A$1:$S$17"),2,FALSE),1,FIND(",",VLOOKUP($A14,INDIRECT("'"&amp;Summary!BP$1&amp;"'!$A$1:$S$17"),2,FALSE))-1)))</f>
        <v>Kenyan Drake</v>
      </c>
      <c r="BQ14" s="2" t="str">
        <f ca="1">IF(ISNUMBER(SEARCH("QB",VLOOKUP($A14,INDIRECT("'"&amp;Summary!BP$1&amp;"'!$A$1:$S$17"),2,FALSE))),"QB",
IF(ISNUMBER(SEARCH("RB",VLOOKUP($A14,INDIRECT("'"&amp;Summary!BP$1&amp;"'!$A$1:$S$17"),2,FALSE))),"RB",
IF(ISNUMBER(SEARCH("WR",VLOOKUP($A14,INDIRECT("'"&amp;Summary!BP$1&amp;"'!$A$1:$S$17"),2,FALSE))),"WR",
IF(ISNUMBER(SEARCH("D/ST",VLOOKUP($A14,INDIRECT("'"&amp;Summary!BP$1&amp;"'!$A$1:$S$17"),2,FALSE))),"D/ST",
IF(ISNUMBER(SEARCH("TE",VLOOKUP($A14,INDIRECT("'"&amp;Summary!BP$1&amp;"'!$A$1:$S$17"),2,FALSE))),"TE","")))))</f>
        <v>RB</v>
      </c>
      <c r="BR14" s="2">
        <f ca="1">IF(BQ14="","",IF(BQ14&lt;&gt;"D/ST",VLOOKUP($A14,INDIRECT("'"&amp;Summary!BP$1&amp;"'!$A$1:$S$17"),19,FALSE),VLOOKUP($A14,INDIRECT("'"&amp;Summary!BP$1&amp;"'!$A$1:$S$17"),12,FALSE)))</f>
        <v>10.199999999999999</v>
      </c>
      <c r="BS14" s="2">
        <f t="array" aca="1" ref="BS14" ca="1">IF(BQ14="","",IF(BQ14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14,INDIRECT("'"&amp;Summary!BP$1&amp;"'!$A$1:$A$17"),0)&amp;":$S"&amp;MATCH($A14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14,INDIRECT("'"&amp;Summary!BP$1&amp;"'!$A$1:$A$17"),0)&amp;":$S"&amp;MATCH($A14,INDIRECT("'"&amp;Summary!BP$1&amp;"'!$A$1:$A$17"),0)))))</f>
        <v>1</v>
      </c>
      <c r="BT14" s="3">
        <f t="shared" ca="1" si="27"/>
        <v>0.58823529411764708</v>
      </c>
      <c r="BU14" s="3">
        <f t="shared" ca="1" si="11"/>
        <v>0.41176470588235292</v>
      </c>
      <c r="BV14" s="2" t="str">
        <f ca="1">IF(BW14="","",IF(BW14="D/ST",MID(VLOOKUP($A14,INDIRECT("'"&amp;Summary!BV$1&amp;"'!$A$1:$S$17"),2,FALSE),1,FIND(" ",VLOOKUP($A14,INDIRECT("'"&amp;Summary!BV$1&amp;"'!$A$1:$S$17"),2,FALSE))+4),MID(VLOOKUP($A14,INDIRECT("'"&amp;Summary!BV$1&amp;"'!$A$1:$S$17"),2,FALSE),1,FIND(",",VLOOKUP($A14,INDIRECT("'"&amp;Summary!BV$1&amp;"'!$A$1:$S$17"),2,FALSE))-1)))</f>
        <v>Alfred Morris</v>
      </c>
      <c r="BW14" s="2" t="str">
        <f ca="1">IF(ISNUMBER(SEARCH("QB",VLOOKUP($A14,INDIRECT("'"&amp;Summary!BV$1&amp;"'!$A$1:$S$17"),2,FALSE))),"QB",
IF(ISNUMBER(SEARCH("RB",VLOOKUP($A14,INDIRECT("'"&amp;Summary!BV$1&amp;"'!$A$1:$S$17"),2,FALSE))),"RB",
IF(ISNUMBER(SEARCH("WR",VLOOKUP($A14,INDIRECT("'"&amp;Summary!BV$1&amp;"'!$A$1:$S$17"),2,FALSE))),"WR",
IF(ISNUMBER(SEARCH("D/ST",VLOOKUP($A14,INDIRECT("'"&amp;Summary!BV$1&amp;"'!$A$1:$S$17"),2,FALSE))),"D/ST",
IF(ISNUMBER(SEARCH("TE",VLOOKUP($A14,INDIRECT("'"&amp;Summary!BV$1&amp;"'!$A$1:$S$17"),2,FALSE))),"TE","")))))</f>
        <v>RB</v>
      </c>
      <c r="BX14" s="2">
        <f ca="1">IF(BW14="","",IF(BW14&lt;&gt;"D/ST",VLOOKUP($A14,INDIRECT("'"&amp;Summary!BV$1&amp;"'!$A$1:$S$17"),19,FALSE),VLOOKUP($A14,INDIRECT("'"&amp;Summary!BV$1&amp;"'!$A$1:$S$17"),12,FALSE)))</f>
        <v>18.7</v>
      </c>
      <c r="BY14" s="2">
        <f t="array" aca="1" ref="BY14" ca="1">IF(BW14="","",IF(BW14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14,INDIRECT("'"&amp;Summary!BV$1&amp;"'!$A$1:$A$17"),0)&amp;":$S"&amp;MATCH($A14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14,INDIRECT("'"&amp;Summary!BV$1&amp;"'!$A$1:$A$17"),0)&amp;":$S"&amp;MATCH($A14,INDIRECT("'"&amp;Summary!BV$1&amp;"'!$A$1:$A$17"),0)))))</f>
        <v>1</v>
      </c>
      <c r="BZ14" s="3">
        <f t="shared" ca="1" si="28"/>
        <v>0.32085561497326204</v>
      </c>
      <c r="CA14" s="3">
        <f t="shared" ca="1" si="12"/>
        <v>0.67914438502673802</v>
      </c>
      <c r="CB14" s="2" t="str">
        <f ca="1">IF(CC14="","",IF(CC14="D/ST",MID(VLOOKUP($A14,INDIRECT("'"&amp;Summary!CB$1&amp;"'!$A$1:$S$17"),2,FALSE),1,FIND(" ",VLOOKUP($A14,INDIRECT("'"&amp;Summary!CB$1&amp;"'!$A$1:$S$17"),2,FALSE))+4),MID(VLOOKUP($A14,INDIRECT("'"&amp;Summary!CB$1&amp;"'!$A$1:$S$17"),2,FALSE),1,FIND(",",VLOOKUP($A14,INDIRECT("'"&amp;Summary!CB$1&amp;"'!$A$1:$S$17"),2,FALSE))-1)))</f>
        <v>Alfred Morris</v>
      </c>
      <c r="CC14" s="2" t="str">
        <f ca="1">IF(ISNUMBER(SEARCH("QB",VLOOKUP($A14,INDIRECT("'"&amp;Summary!CB$1&amp;"'!$A$1:$S$17"),2,FALSE))),"QB",
IF(ISNUMBER(SEARCH("RB",VLOOKUP($A14,INDIRECT("'"&amp;Summary!CB$1&amp;"'!$A$1:$S$17"),2,FALSE))),"RB",
IF(ISNUMBER(SEARCH("WR",VLOOKUP($A14,INDIRECT("'"&amp;Summary!CB$1&amp;"'!$A$1:$S$17"),2,FALSE))),"WR",
IF(ISNUMBER(SEARCH("D/ST",VLOOKUP($A14,INDIRECT("'"&amp;Summary!CB$1&amp;"'!$A$1:$S$17"),2,FALSE))),"D/ST",
IF(ISNUMBER(SEARCH("TE",VLOOKUP($A14,INDIRECT("'"&amp;Summary!CB$1&amp;"'!$A$1:$S$17"),2,FALSE))),"TE","")))))</f>
        <v>RB</v>
      </c>
      <c r="CD14" s="2">
        <f ca="1">IF(CC14="","",IF(CC14&lt;&gt;"D/ST",VLOOKUP($A14,INDIRECT("'"&amp;Summary!CB$1&amp;"'!$A$1:$S$17"),19,FALSE),VLOOKUP($A14,INDIRECT("'"&amp;Summary!CB$1&amp;"'!$A$1:$S$17"),12,FALSE)))</f>
        <v>10</v>
      </c>
      <c r="CE14" s="2">
        <f t="array" aca="1" ref="CE14" ca="1">IF(CC14="","",IF(CC14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14,INDIRECT("'"&amp;Summary!CB$1&amp;"'!$A$1:$A$17"),0)&amp;":$S"&amp;MATCH($A14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14,INDIRECT("'"&amp;Summary!CB$1&amp;"'!$A$1:$A$17"),0)&amp;":$S"&amp;MATCH($A14,INDIRECT("'"&amp;Summary!CB$1&amp;"'!$A$1:$A$17"),0)))))</f>
        <v>0</v>
      </c>
      <c r="CF14" s="3">
        <f t="shared" ca="1" si="29"/>
        <v>0</v>
      </c>
      <c r="CG14" s="3">
        <f t="shared" ca="1" si="13"/>
        <v>1</v>
      </c>
      <c r="CH14" s="2" t="str">
        <f ca="1">IF(CI14="","",IF(CI14="D/ST",MID(VLOOKUP($A14,INDIRECT("'"&amp;Summary!CH$1&amp;"'!$A$1:$S$17"),2,FALSE),1,FIND(" ",VLOOKUP($A14,INDIRECT("'"&amp;Summary!CH$1&amp;"'!$A$1:$S$17"),2,FALSE))+4),MID(VLOOKUP($A14,INDIRECT("'"&amp;Summary!CH$1&amp;"'!$A$1:$S$17"),2,FALSE),1,FIND(",",VLOOKUP($A14,INDIRECT("'"&amp;Summary!CH$1&amp;"'!$A$1:$S$17"),2,FALSE))-1)))</f>
        <v>Jameis Winston</v>
      </c>
      <c r="CI14" s="2" t="str">
        <f ca="1">IF(ISNUMBER(SEARCH("QB",VLOOKUP($A14,INDIRECT("'"&amp;Summary!CH$1&amp;"'!$A$1:$S$17"),2,FALSE))),"QB",
IF(ISNUMBER(SEARCH("RB",VLOOKUP($A14,INDIRECT("'"&amp;Summary!CH$1&amp;"'!$A$1:$S$17"),2,FALSE))),"RB",
IF(ISNUMBER(SEARCH("WR",VLOOKUP($A14,INDIRECT("'"&amp;Summary!CH$1&amp;"'!$A$1:$S$17"),2,FALSE))),"WR",
IF(ISNUMBER(SEARCH("D/ST",VLOOKUP($A14,INDIRECT("'"&amp;Summary!CH$1&amp;"'!$A$1:$S$17"),2,FALSE))),"D/ST",
IF(ISNUMBER(SEARCH("TE",VLOOKUP($A14,INDIRECT("'"&amp;Summary!CH$1&amp;"'!$A$1:$S$17"),2,FALSE))),"TE","")))))</f>
        <v>QB</v>
      </c>
      <c r="CJ14" s="2">
        <f ca="1">IF(CI14="","",IF(CI14&lt;&gt;"D/ST",VLOOKUP($A14,INDIRECT("'"&amp;Summary!CH$1&amp;"'!$A$1:$S$17"),19,FALSE),VLOOKUP($A14,INDIRECT("'"&amp;Summary!CH$1&amp;"'!$A$1:$S$17"),12,FALSE)))</f>
        <v>31.8</v>
      </c>
      <c r="CK14" s="2">
        <f t="array" aca="1" ref="CK14" ca="1">IF(CI14="","",IF(CI14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14,INDIRECT("'"&amp;Summary!CH$1&amp;"'!$A$1:$A$17"),0)&amp;":$S"&amp;MATCH($A14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14,INDIRECT("'"&amp;Summary!CH$1&amp;"'!$A$1:$A$17"),0)&amp;":$S"&amp;MATCH($A14,INDIRECT("'"&amp;Summary!CH$1&amp;"'!$A$1:$A$17"),0)))))</f>
        <v>3</v>
      </c>
      <c r="CL14" s="3">
        <f t="shared" ca="1" si="30"/>
        <v>0.56603773584905659</v>
      </c>
      <c r="CM14" s="3">
        <f t="shared" ca="1" si="14"/>
        <v>0.43396226415094341</v>
      </c>
      <c r="CN14" s="2" t="str">
        <f ca="1">IF(CO14="","",IF(CO14="D/ST",MID(VLOOKUP($A14,INDIRECT("'"&amp;Summary!CN$1&amp;"'!$A$1:$S$17"),2,FALSE),1,FIND(" ",VLOOKUP($A14,INDIRECT("'"&amp;Summary!CN$1&amp;"'!$A$1:$S$17"),2,FALSE))+4),MID(VLOOKUP($A14,INDIRECT("'"&amp;Summary!CN$1&amp;"'!$A$1:$S$17"),2,FALSE),1,FIND(",",VLOOKUP($A14,INDIRECT("'"&amp;Summary!CN$1&amp;"'!$A$1:$S$17"),2,FALSE))-1)))</f>
        <v>Aaron Rodgers</v>
      </c>
      <c r="CO14" s="2" t="str">
        <f ca="1">IF(ISNUMBER(SEARCH("QB",VLOOKUP($A14,INDIRECT("'"&amp;Summary!CN$1&amp;"'!$A$1:$S$17"),2,FALSE))),"QB",
IF(ISNUMBER(SEARCH("RB",VLOOKUP($A14,INDIRECT("'"&amp;Summary!CN$1&amp;"'!$A$1:$S$17"),2,FALSE))),"RB",
IF(ISNUMBER(SEARCH("WR",VLOOKUP($A14,INDIRECT("'"&amp;Summary!CN$1&amp;"'!$A$1:$S$17"),2,FALSE))),"WR",
IF(ISNUMBER(SEARCH("D/ST",VLOOKUP($A14,INDIRECT("'"&amp;Summary!CN$1&amp;"'!$A$1:$S$17"),2,FALSE))),"D/ST",
IF(ISNUMBER(SEARCH("TE",VLOOKUP($A14,INDIRECT("'"&amp;Summary!CN$1&amp;"'!$A$1:$S$17"),2,FALSE))),"TE","")))))</f>
        <v>QB</v>
      </c>
      <c r="CP14" s="2">
        <f ca="1">IF(CO14="","",IF(CO14&lt;&gt;"D/ST",VLOOKUP($A14,INDIRECT("'"&amp;Summary!CN$1&amp;"'!$A$1:$S$17"),19,FALSE),VLOOKUP($A14,INDIRECT("'"&amp;Summary!CN$1&amp;"'!$A$1:$S$17"),12,FALSE)))</f>
        <v>0</v>
      </c>
      <c r="CQ14" s="2">
        <f t="array" aca="1" ref="CQ14" ca="1">IF(CO14="","",IF(CO14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14,INDIRECT("'"&amp;Summary!CN$1&amp;"'!$A$1:$A$17"),0)&amp;":$S"&amp;MATCH($A14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14,INDIRECT("'"&amp;Summary!CN$1&amp;"'!$A$1:$A$17"),0)&amp;":$S"&amp;MATCH($A14,INDIRECT("'"&amp;Summary!CN$1&amp;"'!$A$1:$A$17"),0)))))</f>
        <v>0</v>
      </c>
      <c r="CR14" s="3">
        <f t="shared" ca="1" si="31"/>
        <v>0</v>
      </c>
      <c r="CS14" s="3">
        <f t="shared" ca="1" si="15"/>
        <v>1</v>
      </c>
    </row>
    <row r="15" spans="1:97" ht="16.25" thickTop="1" thickBot="1" x14ac:dyDescent="0.9">
      <c r="A15" s="2" t="s">
        <v>57</v>
      </c>
      <c r="B15" s="2" t="str">
        <f ca="1">IF(C15="","",IF(C15="D/ST",MID(VLOOKUP($A15,INDIRECT("'"&amp;Summary!B$1&amp;"'!$A$1:$S$17"),2,FALSE),1,FIND(" ",VLOOKUP($A15,INDIRECT("'"&amp;Summary!B$1&amp;"'!$A$1:$S$17"),2,FALSE))+4),MID(VLOOKUP($A15,INDIRECT("'"&amp;Summary!B$1&amp;"'!$A$1:$S$17"),2,FALSE),1,FIND(",",VLOOKUP($A15,INDIRECT("'"&amp;Summary!B$1&amp;"'!$A$1:$S$17"),2,FALSE))-1)))</f>
        <v>Jamaal Charles</v>
      </c>
      <c r="C15" s="2" t="str">
        <f ca="1">IF(ISNUMBER(SEARCH("QB",VLOOKUP($A15,INDIRECT("'"&amp;Summary!B$1&amp;"'!$A$1:$S$17"),2,FALSE))),"QB",
IF(ISNUMBER(SEARCH("RB",VLOOKUP($A15,INDIRECT("'"&amp;Summary!B$1&amp;"'!$A$1:$S$17"),2,FALSE))),"RB",
IF(ISNUMBER(SEARCH("WR",VLOOKUP($A15,INDIRECT("'"&amp;Summary!B$1&amp;"'!$A$1:$S$17"),2,FALSE))),"WR",
IF(ISNUMBER(SEARCH("D/ST",VLOOKUP($A15,INDIRECT("'"&amp;Summary!B$1&amp;"'!$A$1:$S$17"),2,FALSE))),"D/ST",
IF(ISNUMBER(SEARCH("TE",VLOOKUP($A15,INDIRECT("'"&amp;Summary!B$1&amp;"'!$A$1:$S$17"),2,FALSE))),"TE","")))))</f>
        <v>RB</v>
      </c>
      <c r="D15" s="2">
        <f ca="1">IF(C15="","",IF(C15&lt;&gt;"D/ST",VLOOKUP($A15,INDIRECT("'"&amp;Summary!B$1&amp;"'!$A$1:$S$17"),19,FALSE),VLOOKUP($A15,INDIRECT("'"&amp;Summary!B$1&amp;"'!$A$1:$S$17"),12,FALSE)))</f>
        <v>2</v>
      </c>
      <c r="E15" s="2">
        <f t="array" aca="1" ref="E15" ca="1">IF(C15="","",IF(C15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15,INDIRECT("'"&amp;Summary!B$1&amp;"'!$A$1:$A$17"),0)&amp;":$S"&amp;MATCH($A15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15,INDIRECT("'"&amp;Summary!B$1&amp;"'!$A$1:$A$17"),0)&amp;":$S"&amp;MATCH($A15,INDIRECT("'"&amp;Summary!B$1&amp;"'!$A$1:$A$17"),0)))))</f>
        <v>0</v>
      </c>
      <c r="F15" s="3">
        <f t="shared" ca="1" si="16"/>
        <v>0</v>
      </c>
      <c r="G15" s="3">
        <f t="shared" ca="1" si="0"/>
        <v>1</v>
      </c>
      <c r="H15" s="2" t="str">
        <f ca="1">IF(I15="","",IF(I15="D/ST",MID(VLOOKUP($A15,INDIRECT("'"&amp;Summary!H$1&amp;"'!$A$1:$S$17"),2,FALSE),1,FIND(" ",VLOOKUP($A15,INDIRECT("'"&amp;Summary!H$1&amp;"'!$A$1:$S$17"),2,FALSE))+4),MID(VLOOKUP($A15,INDIRECT("'"&amp;Summary!H$1&amp;"'!$A$1:$S$17"),2,FALSE),1,FIND(",",VLOOKUP($A15,INDIRECT("'"&amp;Summary!H$1&amp;"'!$A$1:$S$17"),2,FALSE))-1)))</f>
        <v>Mike Wallace</v>
      </c>
      <c r="I15" s="2" t="str">
        <f ca="1">IF(ISNUMBER(SEARCH("QB",VLOOKUP($A15,INDIRECT("'"&amp;Summary!H$1&amp;"'!$A$1:$S$17"),2,FALSE))),"QB",
IF(ISNUMBER(SEARCH("RB",VLOOKUP($A15,INDIRECT("'"&amp;Summary!H$1&amp;"'!$A$1:$S$17"),2,FALSE))),"RB",
IF(ISNUMBER(SEARCH("WR",VLOOKUP($A15,INDIRECT("'"&amp;Summary!H$1&amp;"'!$A$1:$S$17"),2,FALSE))),"WR",
IF(ISNUMBER(SEARCH("D/ST",VLOOKUP($A15,INDIRECT("'"&amp;Summary!H$1&amp;"'!$A$1:$S$17"),2,FALSE))),"D/ST",
IF(ISNUMBER(SEARCH("TE",VLOOKUP($A15,INDIRECT("'"&amp;Summary!H$1&amp;"'!$A$1:$S$17"),2,FALSE))),"TE","")))))</f>
        <v>WR</v>
      </c>
      <c r="J15" s="2">
        <f ca="1">IF(I15="","",IF(I15&lt;&gt;"D/ST",VLOOKUP($A15,INDIRECT("'"&amp;Summary!H$1&amp;"'!$A$1:$S$17"),19,FALSE),VLOOKUP($A15,INDIRECT("'"&amp;Summary!H$1&amp;"'!$A$1:$S$17"),12,FALSE)))</f>
        <v>1.2</v>
      </c>
      <c r="K15" s="2">
        <f t="array" aca="1" ref="K15" ca="1">IF(I15="","",IF(I15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15,INDIRECT("'"&amp;Summary!H$1&amp;"'!$A$1:$A$17"),0)&amp;":$S"&amp;MATCH($A15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15,INDIRECT("'"&amp;Summary!H$1&amp;"'!$A$1:$A$17"),0)&amp;":$S"&amp;MATCH($A15,INDIRECT("'"&amp;Summary!H$1&amp;"'!$A$1:$A$17"),0)))))</f>
        <v>0</v>
      </c>
      <c r="L15" s="3">
        <f t="shared" ca="1" si="17"/>
        <v>0</v>
      </c>
      <c r="M15" s="3">
        <f t="shared" ca="1" si="1"/>
        <v>1</v>
      </c>
      <c r="N15" s="2" t="str">
        <f ca="1">IF(O15="","",IF(O15="D/ST",MID(VLOOKUP($A15,INDIRECT("'"&amp;Summary!N$1&amp;"'!$A$1:$S$17"),2,FALSE),1,FIND(" ",VLOOKUP($A15,INDIRECT("'"&amp;Summary!N$1&amp;"'!$A$1:$S$17"),2,FALSE))+4),MID(VLOOKUP($A15,INDIRECT("'"&amp;Summary!N$1&amp;"'!$A$1:$S$17"),2,FALSE),1,FIND(",",VLOOKUP($A15,INDIRECT("'"&amp;Summary!N$1&amp;"'!$A$1:$S$17"),2,FALSE))-1)))</f>
        <v>Rob Kelley</v>
      </c>
      <c r="O15" s="2" t="str">
        <f ca="1">IF(ISNUMBER(SEARCH("QB",VLOOKUP($A15,INDIRECT("'"&amp;Summary!N$1&amp;"'!$A$1:$S$17"),2,FALSE))),"QB",
IF(ISNUMBER(SEARCH("RB",VLOOKUP($A15,INDIRECT("'"&amp;Summary!N$1&amp;"'!$A$1:$S$17"),2,FALSE))),"RB",
IF(ISNUMBER(SEARCH("WR",VLOOKUP($A15,INDIRECT("'"&amp;Summary!N$1&amp;"'!$A$1:$S$17"),2,FALSE))),"WR",
IF(ISNUMBER(SEARCH("D/ST",VLOOKUP($A15,INDIRECT("'"&amp;Summary!N$1&amp;"'!$A$1:$S$17"),2,FALSE))),"D/ST",
IF(ISNUMBER(SEARCH("TE",VLOOKUP($A15,INDIRECT("'"&amp;Summary!N$1&amp;"'!$A$1:$S$17"),2,FALSE))),"TE","")))))</f>
        <v>RB</v>
      </c>
      <c r="P15" s="2">
        <f ca="1">IF(O15="","",IF(O15&lt;&gt;"D/ST",VLOOKUP($A15,INDIRECT("'"&amp;Summary!N$1&amp;"'!$A$1:$S$17"),19,FALSE),VLOOKUP($A15,INDIRECT("'"&amp;Summary!N$1&amp;"'!$A$1:$S$17"),12,FALSE)))</f>
        <v>0</v>
      </c>
      <c r="Q15" s="2">
        <f t="array" aca="1" ref="Q15" ca="1">IF(O15="","",IF(O15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15,INDIRECT("'"&amp;Summary!N$1&amp;"'!$A$1:$A$17"),0)&amp;":$S"&amp;MATCH($A15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15,INDIRECT("'"&amp;Summary!N$1&amp;"'!$A$1:$A$17"),0)&amp;":$S"&amp;MATCH($A15,INDIRECT("'"&amp;Summary!N$1&amp;"'!$A$1:$A$17"),0)))))</f>
        <v>0</v>
      </c>
      <c r="R15" s="3">
        <f t="shared" ca="1" si="18"/>
        <v>0</v>
      </c>
      <c r="S15" s="3">
        <f t="shared" ca="1" si="2"/>
        <v>1</v>
      </c>
      <c r="T15" s="2" t="str">
        <f ca="1">IF(U15="","",IF(U15="D/ST",MID(VLOOKUP($A15,INDIRECT("'"&amp;Summary!T$1&amp;"'!$A$1:$S$17"),2,FALSE),1,FIND(" ",VLOOKUP($A15,INDIRECT("'"&amp;Summary!T$1&amp;"'!$A$1:$S$17"),2,FALSE))+4),MID(VLOOKUP($A15,INDIRECT("'"&amp;Summary!T$1&amp;"'!$A$1:$S$17"),2,FALSE),1,FIND(",",VLOOKUP($A15,INDIRECT("'"&amp;Summary!T$1&amp;"'!$A$1:$S$17"),2,FALSE))-1)))</f>
        <v>Donte Moncrief</v>
      </c>
      <c r="U15" s="2" t="str">
        <f ca="1">IF(ISNUMBER(SEARCH("QB",VLOOKUP($A15,INDIRECT("'"&amp;Summary!T$1&amp;"'!$A$1:$S$17"),2,FALSE))),"QB",
IF(ISNUMBER(SEARCH("RB",VLOOKUP($A15,INDIRECT("'"&amp;Summary!T$1&amp;"'!$A$1:$S$17"),2,FALSE))),"RB",
IF(ISNUMBER(SEARCH("WR",VLOOKUP($A15,INDIRECT("'"&amp;Summary!T$1&amp;"'!$A$1:$S$17"),2,FALSE))),"WR",
IF(ISNUMBER(SEARCH("D/ST",VLOOKUP($A15,INDIRECT("'"&amp;Summary!T$1&amp;"'!$A$1:$S$17"),2,FALSE))),"D/ST",
IF(ISNUMBER(SEARCH("TE",VLOOKUP($A15,INDIRECT("'"&amp;Summary!T$1&amp;"'!$A$1:$S$17"),2,FALSE))),"TE","")))))</f>
        <v>WR</v>
      </c>
      <c r="V15" s="2">
        <f ca="1">IF(U15="","",IF(U15&lt;&gt;"D/ST",VLOOKUP($A15,INDIRECT("'"&amp;Summary!T$1&amp;"'!$A$1:$S$17"),19,FALSE),VLOOKUP($A15,INDIRECT("'"&amp;Summary!T$1&amp;"'!$A$1:$S$17"),12,FALSE)))</f>
        <v>10.5</v>
      </c>
      <c r="W15" s="2">
        <f t="array" aca="1" ref="W15" ca="1">IF(U15="","",IF(U15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15,INDIRECT("'"&amp;Summary!T$1&amp;"'!$A$1:$A$17"),0)&amp;":$S"&amp;MATCH($A15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15,INDIRECT("'"&amp;Summary!T$1&amp;"'!$A$1:$A$17"),0)&amp;":$S"&amp;MATCH($A15,INDIRECT("'"&amp;Summary!T$1&amp;"'!$A$1:$A$17"),0)))))</f>
        <v>1</v>
      </c>
      <c r="X15" s="3">
        <f t="shared" ca="1" si="19"/>
        <v>0.5714285714285714</v>
      </c>
      <c r="Y15" s="3">
        <f t="shared" ca="1" si="3"/>
        <v>0.4285714285714286</v>
      </c>
      <c r="Z15" s="2" t="str">
        <f ca="1">IF(AA15="","",IF(AA15="D/ST",MID(VLOOKUP($A15,INDIRECT("'"&amp;Summary!Z$1&amp;"'!$A$1:$S$17"),2,FALSE),1,FIND(" ",VLOOKUP($A15,INDIRECT("'"&amp;Summary!Z$1&amp;"'!$A$1:$S$17"),2,FALSE))+4),MID(VLOOKUP($A15,INDIRECT("'"&amp;Summary!Z$1&amp;"'!$A$1:$S$17"),2,FALSE),1,FIND(",",VLOOKUP($A15,INDIRECT("'"&amp;Summary!Z$1&amp;"'!$A$1:$S$17"),2,FALSE))-1)))</f>
        <v>Wayne Gallman</v>
      </c>
      <c r="AA15" s="2" t="str">
        <f ca="1">IF(ISNUMBER(SEARCH("QB",VLOOKUP($A15,INDIRECT("'"&amp;Summary!Z$1&amp;"'!$A$1:$S$17"),2,FALSE))),"QB",
IF(ISNUMBER(SEARCH("RB",VLOOKUP($A15,INDIRECT("'"&amp;Summary!Z$1&amp;"'!$A$1:$S$17"),2,FALSE))),"RB",
IF(ISNUMBER(SEARCH("WR",VLOOKUP($A15,INDIRECT("'"&amp;Summary!Z$1&amp;"'!$A$1:$S$17"),2,FALSE))),"WR",
IF(ISNUMBER(SEARCH("D/ST",VLOOKUP($A15,INDIRECT("'"&amp;Summary!Z$1&amp;"'!$A$1:$S$17"),2,FALSE))),"D/ST",
IF(ISNUMBER(SEARCH("TE",VLOOKUP($A15,INDIRECT("'"&amp;Summary!Z$1&amp;"'!$A$1:$S$17"),2,FALSE))),"TE","")))))</f>
        <v>RB</v>
      </c>
      <c r="AB15" s="2">
        <f ca="1">IF(AA15="","",IF(AA15&lt;&gt;"D/ST",VLOOKUP($A15,INDIRECT("'"&amp;Summary!Z$1&amp;"'!$A$1:$S$17"),19,FALSE),VLOOKUP($A15,INDIRECT("'"&amp;Summary!Z$1&amp;"'!$A$1:$S$17"),12,FALSE)))</f>
        <v>10.7</v>
      </c>
      <c r="AC15" s="2">
        <f t="array" aca="1" ref="AC15" ca="1">IF(AA15="","",IF(AA15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15,INDIRECT("'"&amp;Summary!Z$1&amp;"'!$A$1:$A$17"),0)&amp;":$S"&amp;MATCH($A15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15,INDIRECT("'"&amp;Summary!Z$1&amp;"'!$A$1:$A$17"),0)&amp;":$S"&amp;MATCH($A15,INDIRECT("'"&amp;Summary!Z$1&amp;"'!$A$1:$A$17"),0)))))</f>
        <v>0</v>
      </c>
      <c r="AD15" s="3">
        <f t="shared" ca="1" si="20"/>
        <v>0</v>
      </c>
      <c r="AE15" s="3">
        <f t="shared" ca="1" si="4"/>
        <v>1</v>
      </c>
      <c r="AF15" s="2" t="str">
        <f ca="1">IF(AG15="","",IF(AG15="D/ST",MID(VLOOKUP($A15,INDIRECT("'"&amp;Summary!AF$1&amp;"'!$A$1:$S$17"),2,FALSE),1,FIND(" ",VLOOKUP($A15,INDIRECT("'"&amp;Summary!AF$1&amp;"'!$A$1:$S$17"),2,FALSE))+4),MID(VLOOKUP($A15,INDIRECT("'"&amp;Summary!AF$1&amp;"'!$A$1:$S$17"),2,FALSE),1,FIND(",",VLOOKUP($A15,INDIRECT("'"&amp;Summary!AF$1&amp;"'!$A$1:$S$17"),2,FALSE))-1)))</f>
        <v>Alfred Morris</v>
      </c>
      <c r="AG15" s="2" t="str">
        <f ca="1">IF(ISNUMBER(SEARCH("QB",VLOOKUP($A15,INDIRECT("'"&amp;Summary!AF$1&amp;"'!$A$1:$S$17"),2,FALSE))),"QB",
IF(ISNUMBER(SEARCH("RB",VLOOKUP($A15,INDIRECT("'"&amp;Summary!AF$1&amp;"'!$A$1:$S$17"),2,FALSE))),"RB",
IF(ISNUMBER(SEARCH("WR",VLOOKUP($A15,INDIRECT("'"&amp;Summary!AF$1&amp;"'!$A$1:$S$17"),2,FALSE))),"WR",
IF(ISNUMBER(SEARCH("D/ST",VLOOKUP($A15,INDIRECT("'"&amp;Summary!AF$1&amp;"'!$A$1:$S$17"),2,FALSE))),"D/ST",
IF(ISNUMBER(SEARCH("TE",VLOOKUP($A15,INDIRECT("'"&amp;Summary!AF$1&amp;"'!$A$1:$S$17"),2,FALSE))),"TE","")))))</f>
        <v>RB</v>
      </c>
      <c r="AH15" s="2">
        <f ca="1">IF(AG15="","",IF(AG15&lt;&gt;"D/ST",VLOOKUP($A15,INDIRECT("'"&amp;Summary!AF$1&amp;"'!$A$1:$S$17"),19,FALSE),VLOOKUP($A15,INDIRECT("'"&amp;Summary!AF$1&amp;"'!$A$1:$S$17"),12,FALSE)))</f>
        <v>0</v>
      </c>
      <c r="AI15" s="2">
        <f t="array" aca="1" ref="AI15" ca="1">IF(AG15="","",IF(AG15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15,INDIRECT("'"&amp;Summary!AF$1&amp;"'!$A$1:$A$17"),0)&amp;":$S"&amp;MATCH($A15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15,INDIRECT("'"&amp;Summary!AF$1&amp;"'!$A$1:$A$17"),0)&amp;":$S"&amp;MATCH($A15,INDIRECT("'"&amp;Summary!AF$1&amp;"'!$A$1:$A$17"),0)))))</f>
        <v>0</v>
      </c>
      <c r="AJ15" s="3">
        <f t="shared" ca="1" si="21"/>
        <v>0</v>
      </c>
      <c r="AK15" s="3">
        <f t="shared" ca="1" si="5"/>
        <v>1</v>
      </c>
      <c r="AL15" s="2" t="str">
        <f ca="1">IF(AM15="","",IF(AM15="D/ST",MID(VLOOKUP($A15,INDIRECT("'"&amp;Summary!AL$1&amp;"'!$A$1:$S$17"),2,FALSE),1,FIND(" ",VLOOKUP($A15,INDIRECT("'"&amp;Summary!AL$1&amp;"'!$A$1:$S$17"),2,FALSE))+4),MID(VLOOKUP($A15,INDIRECT("'"&amp;Summary!AL$1&amp;"'!$A$1:$S$17"),2,FALSE),1,FIND(",",VLOOKUP($A15,INDIRECT("'"&amp;Summary!AL$1&amp;"'!$A$1:$S$17"),2,FALSE))-1)))</f>
        <v>Wendell Smallwood</v>
      </c>
      <c r="AM15" s="2" t="str">
        <f ca="1">IF(ISNUMBER(SEARCH("QB",VLOOKUP($A15,INDIRECT("'"&amp;Summary!AL$1&amp;"'!$A$1:$S$17"),2,FALSE))),"QB",
IF(ISNUMBER(SEARCH("RB",VLOOKUP($A15,INDIRECT("'"&amp;Summary!AL$1&amp;"'!$A$1:$S$17"),2,FALSE))),"RB",
IF(ISNUMBER(SEARCH("WR",VLOOKUP($A15,INDIRECT("'"&amp;Summary!AL$1&amp;"'!$A$1:$S$17"),2,FALSE))),"WR",
IF(ISNUMBER(SEARCH("D/ST",VLOOKUP($A15,INDIRECT("'"&amp;Summary!AL$1&amp;"'!$A$1:$S$17"),2,FALSE))),"D/ST",
IF(ISNUMBER(SEARCH("TE",VLOOKUP($A15,INDIRECT("'"&amp;Summary!AL$1&amp;"'!$A$1:$S$17"),2,FALSE))),"TE","")))))</f>
        <v>RB</v>
      </c>
      <c r="AN15" s="2">
        <f ca="1">IF(AM15="","",IF(AM15&lt;&gt;"D/ST",VLOOKUP($A15,INDIRECT("'"&amp;Summary!AL$1&amp;"'!$A$1:$S$17"),19,FALSE),VLOOKUP($A15,INDIRECT("'"&amp;Summary!AL$1&amp;"'!$A$1:$S$17"),12,FALSE)))</f>
        <v>4.9000000000000004</v>
      </c>
      <c r="AO15" s="2">
        <f t="array" aca="1" ref="AO15" ca="1">IF(AM15="","",IF(AM15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15,INDIRECT("'"&amp;Summary!AL$1&amp;"'!$A$1:$A$17"),0)&amp;":$S"&amp;MATCH($A15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15,INDIRECT("'"&amp;Summary!AL$1&amp;"'!$A$1:$A$17"),0)&amp;":$S"&amp;MATCH($A15,INDIRECT("'"&amp;Summary!AL$1&amp;"'!$A$1:$A$17"),0)))))</f>
        <v>0</v>
      </c>
      <c r="AP15" s="3">
        <f t="shared" ca="1" si="22"/>
        <v>0</v>
      </c>
      <c r="AQ15" s="3">
        <f t="shared" ca="1" si="6"/>
        <v>1</v>
      </c>
      <c r="AR15" s="2" t="str">
        <f ca="1">IF(AS15="","",IF(AS15="D/ST",MID(VLOOKUP($A15,INDIRECT("'"&amp;Summary!AR$1&amp;"'!$A$1:$S$17"),2,FALSE),1,FIND(" ",VLOOKUP($A15,INDIRECT("'"&amp;Summary!AR$1&amp;"'!$A$1:$S$17"),2,FALSE))+4),MID(VLOOKUP($A15,INDIRECT("'"&amp;Summary!AR$1&amp;"'!$A$1:$S$17"),2,FALSE),1,FIND(",",VLOOKUP($A15,INDIRECT("'"&amp;Summary!AR$1&amp;"'!$A$1:$S$17"),2,FALSE))-1)))</f>
        <v>Wendell Smallwood</v>
      </c>
      <c r="AS15" s="2" t="str">
        <f ca="1">IF(ISNUMBER(SEARCH("QB",VLOOKUP($A15,INDIRECT("'"&amp;Summary!AR$1&amp;"'!$A$1:$S$17"),2,FALSE))),"QB",
IF(ISNUMBER(SEARCH("RB",VLOOKUP($A15,INDIRECT("'"&amp;Summary!AR$1&amp;"'!$A$1:$S$17"),2,FALSE))),"RB",
IF(ISNUMBER(SEARCH("WR",VLOOKUP($A15,INDIRECT("'"&amp;Summary!AR$1&amp;"'!$A$1:$S$17"),2,FALSE))),"WR",
IF(ISNUMBER(SEARCH("D/ST",VLOOKUP($A15,INDIRECT("'"&amp;Summary!AR$1&amp;"'!$A$1:$S$17"),2,FALSE))),"D/ST",
IF(ISNUMBER(SEARCH("TE",VLOOKUP($A15,INDIRECT("'"&amp;Summary!AR$1&amp;"'!$A$1:$S$17"),2,FALSE))),"TE","")))))</f>
        <v>RB</v>
      </c>
      <c r="AT15" s="2">
        <f ca="1">IF(AS15="","",IF(AS15&lt;&gt;"D/ST",VLOOKUP($A15,INDIRECT("'"&amp;Summary!AR$1&amp;"'!$A$1:$S$17"),19,FALSE),VLOOKUP($A15,INDIRECT("'"&amp;Summary!AR$1&amp;"'!$A$1:$S$17"),12,FALSE)))</f>
        <v>1.9</v>
      </c>
      <c r="AU15" s="2">
        <f t="array" aca="1" ref="AU15" ca="1">IF(AS15="","",IF(AS15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15,INDIRECT("'"&amp;Summary!AR$1&amp;"'!$A$1:$A$17"),0)&amp;":$S"&amp;MATCH($A15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15,INDIRECT("'"&amp;Summary!AR$1&amp;"'!$A$1:$A$17"),0)&amp;":$S"&amp;MATCH($A15,INDIRECT("'"&amp;Summary!AR$1&amp;"'!$A$1:$A$17"),0)))))</f>
        <v>0</v>
      </c>
      <c r="AV15" s="3">
        <f t="shared" ca="1" si="23"/>
        <v>0</v>
      </c>
      <c r="AW15" s="3">
        <f t="shared" ca="1" si="7"/>
        <v>1</v>
      </c>
      <c r="AX15" s="2" t="str">
        <f ca="1">IF(AY15="","",IF(AY15="D/ST",MID(VLOOKUP($A15,INDIRECT("'"&amp;Summary!AX$1&amp;"'!$A$1:$S$17"),2,FALSE),1,FIND(" ",VLOOKUP($A15,INDIRECT("'"&amp;Summary!AX$1&amp;"'!$A$1:$S$17"),2,FALSE))+4),MID(VLOOKUP($A15,INDIRECT("'"&amp;Summary!AX$1&amp;"'!$A$1:$S$17"),2,FALSE),1,FIND(",",VLOOKUP($A15,INDIRECT("'"&amp;Summary!AX$1&amp;"'!$A$1:$S$17"),2,FALSE))-1)))</f>
        <v>Kenyan Drake</v>
      </c>
      <c r="AY15" s="2" t="str">
        <f ca="1">IF(ISNUMBER(SEARCH("QB",VLOOKUP($A15,INDIRECT("'"&amp;Summary!AX$1&amp;"'!$A$1:$S$17"),2,FALSE))),"QB",
IF(ISNUMBER(SEARCH("RB",VLOOKUP($A15,INDIRECT("'"&amp;Summary!AX$1&amp;"'!$A$1:$S$17"),2,FALSE))),"RB",
IF(ISNUMBER(SEARCH("WR",VLOOKUP($A15,INDIRECT("'"&amp;Summary!AX$1&amp;"'!$A$1:$S$17"),2,FALSE))),"WR",
IF(ISNUMBER(SEARCH("D/ST",VLOOKUP($A15,INDIRECT("'"&amp;Summary!AX$1&amp;"'!$A$1:$S$17"),2,FALSE))),"D/ST",
IF(ISNUMBER(SEARCH("TE",VLOOKUP($A15,INDIRECT("'"&amp;Summary!AX$1&amp;"'!$A$1:$S$17"),2,FALSE))),"TE","")))))</f>
        <v>RB</v>
      </c>
      <c r="AZ15" s="2">
        <f ca="1">IF(AY15="","",IF(AY15&lt;&gt;"D/ST",VLOOKUP($A15,INDIRECT("'"&amp;Summary!AX$1&amp;"'!$A$1:$S$17"),19,FALSE),VLOOKUP($A15,INDIRECT("'"&amp;Summary!AX$1&amp;"'!$A$1:$S$17"),12,FALSE)))</f>
        <v>13.4</v>
      </c>
      <c r="BA15" s="2">
        <f t="array" aca="1" ref="BA15" ca="1">IF(AY15="","",IF(AY15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15,INDIRECT("'"&amp;Summary!AX$1&amp;"'!$A$1:$A$17"),0)&amp;":$S"&amp;MATCH($A15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15,INDIRECT("'"&amp;Summary!AX$1&amp;"'!$A$1:$A$17"),0)&amp;":$S"&amp;MATCH($A15,INDIRECT("'"&amp;Summary!AX$1&amp;"'!$A$1:$A$17"),0)))))</f>
        <v>0</v>
      </c>
      <c r="BB15" s="3">
        <f t="shared" ca="1" si="24"/>
        <v>0</v>
      </c>
      <c r="BC15" s="3">
        <f t="shared" ca="1" si="8"/>
        <v>1</v>
      </c>
      <c r="BD15" s="2" t="str">
        <f ca="1">IF(BE15="","",IF(BE15="D/ST",MID(VLOOKUP($A15,INDIRECT("'"&amp;Summary!BD$1&amp;"'!$A$1:$S$17"),2,FALSE),1,FIND(" ",VLOOKUP($A15,INDIRECT("'"&amp;Summary!BD$1&amp;"'!$A$1:$S$17"),2,FALSE))+4),MID(VLOOKUP($A15,INDIRECT("'"&amp;Summary!BD$1&amp;"'!$A$1:$S$17"),2,FALSE),1,FIND(",",VLOOKUP($A15,INDIRECT("'"&amp;Summary!BD$1&amp;"'!$A$1:$S$17"),2,FALSE))-1)))</f>
        <v>Rod Smith</v>
      </c>
      <c r="BE15" s="2" t="str">
        <f ca="1">IF(ISNUMBER(SEARCH("QB",VLOOKUP($A15,INDIRECT("'"&amp;Summary!BD$1&amp;"'!$A$1:$S$17"),2,FALSE))),"QB",
IF(ISNUMBER(SEARCH("RB",VLOOKUP($A15,INDIRECT("'"&amp;Summary!BD$1&amp;"'!$A$1:$S$17"),2,FALSE))),"RB",
IF(ISNUMBER(SEARCH("WR",VLOOKUP($A15,INDIRECT("'"&amp;Summary!BD$1&amp;"'!$A$1:$S$17"),2,FALSE))),"WR",
IF(ISNUMBER(SEARCH("D/ST",VLOOKUP($A15,INDIRECT("'"&amp;Summary!BD$1&amp;"'!$A$1:$S$17"),2,FALSE))),"D/ST",
IF(ISNUMBER(SEARCH("TE",VLOOKUP($A15,INDIRECT("'"&amp;Summary!BD$1&amp;"'!$A$1:$S$17"),2,FALSE))),"TE","")))))</f>
        <v>RB</v>
      </c>
      <c r="BF15" s="2">
        <f ca="1">IF(BE15="","",IF(BE15&lt;&gt;"D/ST",VLOOKUP($A15,INDIRECT("'"&amp;Summary!BD$1&amp;"'!$A$1:$S$17"),19,FALSE),VLOOKUP($A15,INDIRECT("'"&amp;Summary!BD$1&amp;"'!$A$1:$S$17"),12,FALSE)))</f>
        <v>4.9000000000000004</v>
      </c>
      <c r="BG15" s="2">
        <f t="array" aca="1" ref="BG15" ca="1">IF(BE15="","",IF(BE15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15,INDIRECT("'"&amp;Summary!BD$1&amp;"'!$A$1:$A$17"),0)&amp;":$S"&amp;MATCH($A15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15,INDIRECT("'"&amp;Summary!BD$1&amp;"'!$A$1:$A$17"),0)&amp;":$S"&amp;MATCH($A15,INDIRECT("'"&amp;Summary!BD$1&amp;"'!$A$1:$A$17"),0)))))</f>
        <v>0</v>
      </c>
      <c r="BH15" s="3">
        <f t="shared" ca="1" si="25"/>
        <v>0</v>
      </c>
      <c r="BI15" s="3">
        <f t="shared" ca="1" si="9"/>
        <v>1</v>
      </c>
      <c r="BJ15" s="2" t="str">
        <f ca="1">IF(BK15="","",IF(BK15="D/ST",MID(VLOOKUP($A15,INDIRECT("'"&amp;Summary!BJ$1&amp;"'!$A$1:$S$17"),2,FALSE),1,FIND(" ",VLOOKUP($A15,INDIRECT("'"&amp;Summary!BJ$1&amp;"'!$A$1:$S$17"),2,FALSE))+4),MID(VLOOKUP($A15,INDIRECT("'"&amp;Summary!BJ$1&amp;"'!$A$1:$S$17"),2,FALSE),1,FIND(",",VLOOKUP($A15,INDIRECT("'"&amp;Summary!BJ$1&amp;"'!$A$1:$S$17"),2,FALSE))-1)))</f>
        <v>Austin Seferian-Jenkins</v>
      </c>
      <c r="BK15" s="2" t="str">
        <f ca="1">IF(ISNUMBER(SEARCH("QB",VLOOKUP($A15,INDIRECT("'"&amp;Summary!BJ$1&amp;"'!$A$1:$S$17"),2,FALSE))),"QB",
IF(ISNUMBER(SEARCH("RB",VLOOKUP($A15,INDIRECT("'"&amp;Summary!BJ$1&amp;"'!$A$1:$S$17"),2,FALSE))),"RB",
IF(ISNUMBER(SEARCH("WR",VLOOKUP($A15,INDIRECT("'"&amp;Summary!BJ$1&amp;"'!$A$1:$S$17"),2,FALSE))),"WR",
IF(ISNUMBER(SEARCH("D/ST",VLOOKUP($A15,INDIRECT("'"&amp;Summary!BJ$1&amp;"'!$A$1:$S$17"),2,FALSE))),"D/ST",
IF(ISNUMBER(SEARCH("TE",VLOOKUP($A15,INDIRECT("'"&amp;Summary!BJ$1&amp;"'!$A$1:$S$17"),2,FALSE))),"TE","")))))</f>
        <v>TE</v>
      </c>
      <c r="BL15" s="2">
        <f ca="1">IF(BK15="","",IF(BK15&lt;&gt;"D/ST",VLOOKUP($A15,INDIRECT("'"&amp;Summary!BJ$1&amp;"'!$A$1:$S$17"),19,FALSE),VLOOKUP($A15,INDIRECT("'"&amp;Summary!BJ$1&amp;"'!$A$1:$S$17"),12,FALSE)))</f>
        <v>0</v>
      </c>
      <c r="BM15" s="2">
        <f t="array" aca="1" ref="BM15" ca="1">IF(BK15="","",IF(BK15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15,INDIRECT("'"&amp;Summary!BJ$1&amp;"'!$A$1:$A$17"),0)&amp;":$S"&amp;MATCH($A15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15,INDIRECT("'"&amp;Summary!BJ$1&amp;"'!$A$1:$A$17"),0)&amp;":$S"&amp;MATCH($A15,INDIRECT("'"&amp;Summary!BJ$1&amp;"'!$A$1:$A$17"),0)))))</f>
        <v>0</v>
      </c>
      <c r="BN15" s="3">
        <f t="shared" ca="1" si="26"/>
        <v>0</v>
      </c>
      <c r="BO15" s="3">
        <f t="shared" ca="1" si="10"/>
        <v>1</v>
      </c>
      <c r="BP15" s="2" t="str">
        <f ca="1">IF(BQ15="","",IF(BQ15="D/ST",MID(VLOOKUP($A15,INDIRECT("'"&amp;Summary!BP$1&amp;"'!$A$1:$S$17"),2,FALSE),1,FIND(" ",VLOOKUP($A15,INDIRECT("'"&amp;Summary!BP$1&amp;"'!$A$1:$S$17"),2,FALSE))+4),MID(VLOOKUP($A15,INDIRECT("'"&amp;Summary!BP$1&amp;"'!$A$1:$S$17"),2,FALSE),1,FIND(",",VLOOKUP($A15,INDIRECT("'"&amp;Summary!BP$1&amp;"'!$A$1:$S$17"),2,FALSE))-1)))</f>
        <v>Austin Seferian-Jenkins</v>
      </c>
      <c r="BQ15" s="2" t="str">
        <f ca="1">IF(ISNUMBER(SEARCH("QB",VLOOKUP($A15,INDIRECT("'"&amp;Summary!BP$1&amp;"'!$A$1:$S$17"),2,FALSE))),"QB",
IF(ISNUMBER(SEARCH("RB",VLOOKUP($A15,INDIRECT("'"&amp;Summary!BP$1&amp;"'!$A$1:$S$17"),2,FALSE))),"RB",
IF(ISNUMBER(SEARCH("WR",VLOOKUP($A15,INDIRECT("'"&amp;Summary!BP$1&amp;"'!$A$1:$S$17"),2,FALSE))),"WR",
IF(ISNUMBER(SEARCH("D/ST",VLOOKUP($A15,INDIRECT("'"&amp;Summary!BP$1&amp;"'!$A$1:$S$17"),2,FALSE))),"D/ST",
IF(ISNUMBER(SEARCH("TE",VLOOKUP($A15,INDIRECT("'"&amp;Summary!BP$1&amp;"'!$A$1:$S$17"),2,FALSE))),"TE","")))))</f>
        <v>TE</v>
      </c>
      <c r="BR15" s="2">
        <f ca="1">IF(BQ15="","",IF(BQ15&lt;&gt;"D/ST",VLOOKUP($A15,INDIRECT("'"&amp;Summary!BP$1&amp;"'!$A$1:$S$17"),19,FALSE),VLOOKUP($A15,INDIRECT("'"&amp;Summary!BP$1&amp;"'!$A$1:$S$17"),12,FALSE)))</f>
        <v>3.7</v>
      </c>
      <c r="BS15" s="2">
        <f t="array" aca="1" ref="BS15" ca="1">IF(BQ15="","",IF(BQ15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15,INDIRECT("'"&amp;Summary!BP$1&amp;"'!$A$1:$A$17"),0)&amp;":$S"&amp;MATCH($A15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15,INDIRECT("'"&amp;Summary!BP$1&amp;"'!$A$1:$A$17"),0)&amp;":$S"&amp;MATCH($A15,INDIRECT("'"&amp;Summary!BP$1&amp;"'!$A$1:$A$17"),0)))))</f>
        <v>0</v>
      </c>
      <c r="BT15" s="3">
        <f t="shared" ca="1" si="27"/>
        <v>0</v>
      </c>
      <c r="BU15" s="3">
        <f t="shared" ca="1" si="11"/>
        <v>1</v>
      </c>
      <c r="BV15" s="2" t="str">
        <f ca="1">IF(BW15="","",IF(BW15="D/ST",MID(VLOOKUP($A15,INDIRECT("'"&amp;Summary!BV$1&amp;"'!$A$1:$S$17"),2,FALSE),1,FIND(" ",VLOOKUP($A15,INDIRECT("'"&amp;Summary!BV$1&amp;"'!$A$1:$S$17"),2,FALSE))+4),MID(VLOOKUP($A15,INDIRECT("'"&amp;Summary!BV$1&amp;"'!$A$1:$S$17"),2,FALSE),1,FIND(",",VLOOKUP($A15,INDIRECT("'"&amp;Summary!BV$1&amp;"'!$A$1:$S$17"),2,FALSE))-1)))</f>
        <v>Austin Seferian-Jenkins</v>
      </c>
      <c r="BW15" s="2" t="str">
        <f ca="1">IF(ISNUMBER(SEARCH("QB",VLOOKUP($A15,INDIRECT("'"&amp;Summary!BV$1&amp;"'!$A$1:$S$17"),2,FALSE))),"QB",
IF(ISNUMBER(SEARCH("RB",VLOOKUP($A15,INDIRECT("'"&amp;Summary!BV$1&amp;"'!$A$1:$S$17"),2,FALSE))),"RB",
IF(ISNUMBER(SEARCH("WR",VLOOKUP($A15,INDIRECT("'"&amp;Summary!BV$1&amp;"'!$A$1:$S$17"),2,FALSE))),"WR",
IF(ISNUMBER(SEARCH("D/ST",VLOOKUP($A15,INDIRECT("'"&amp;Summary!BV$1&amp;"'!$A$1:$S$17"),2,FALSE))),"D/ST",
IF(ISNUMBER(SEARCH("TE",VLOOKUP($A15,INDIRECT("'"&amp;Summary!BV$1&amp;"'!$A$1:$S$17"),2,FALSE))),"TE","")))))</f>
        <v>TE</v>
      </c>
      <c r="BX15" s="2">
        <f ca="1">IF(BW15="","",IF(BW15&lt;&gt;"D/ST",VLOOKUP($A15,INDIRECT("'"&amp;Summary!BV$1&amp;"'!$A$1:$S$17"),19,FALSE),VLOOKUP($A15,INDIRECT("'"&amp;Summary!BV$1&amp;"'!$A$1:$S$17"),12,FALSE)))</f>
        <v>1.7</v>
      </c>
      <c r="BY15" s="2">
        <f t="array" aca="1" ref="BY15" ca="1">IF(BW15="","",IF(BW15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15,INDIRECT("'"&amp;Summary!BV$1&amp;"'!$A$1:$A$17"),0)&amp;":$S"&amp;MATCH($A15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15,INDIRECT("'"&amp;Summary!BV$1&amp;"'!$A$1:$A$17"),0)&amp;":$S"&amp;MATCH($A15,INDIRECT("'"&amp;Summary!BV$1&amp;"'!$A$1:$A$17"),0)))))</f>
        <v>0</v>
      </c>
      <c r="BZ15" s="3">
        <f t="shared" ca="1" si="28"/>
        <v>0</v>
      </c>
      <c r="CA15" s="3">
        <f t="shared" ca="1" si="12"/>
        <v>1</v>
      </c>
      <c r="CB15" s="2" t="str">
        <f ca="1">IF(CC15="","",IF(CC15="D/ST",MID(VLOOKUP($A15,INDIRECT("'"&amp;Summary!CB$1&amp;"'!$A$1:$S$17"),2,FALSE),1,FIND(" ",VLOOKUP($A15,INDIRECT("'"&amp;Summary!CB$1&amp;"'!$A$1:$S$17"),2,FALSE))+4),MID(VLOOKUP($A15,INDIRECT("'"&amp;Summary!CB$1&amp;"'!$A$1:$S$17"),2,FALSE),1,FIND(",",VLOOKUP($A15,INDIRECT("'"&amp;Summary!CB$1&amp;"'!$A$1:$S$17"),2,FALSE))-1)))</f>
        <v>Jameis Winston</v>
      </c>
      <c r="CC15" s="2" t="str">
        <f ca="1">IF(ISNUMBER(SEARCH("QB",VLOOKUP($A15,INDIRECT("'"&amp;Summary!CB$1&amp;"'!$A$1:$S$17"),2,FALSE))),"QB",
IF(ISNUMBER(SEARCH("RB",VLOOKUP($A15,INDIRECT("'"&amp;Summary!CB$1&amp;"'!$A$1:$S$17"),2,FALSE))),"RB",
IF(ISNUMBER(SEARCH("WR",VLOOKUP($A15,INDIRECT("'"&amp;Summary!CB$1&amp;"'!$A$1:$S$17"),2,FALSE))),"WR",
IF(ISNUMBER(SEARCH("D/ST",VLOOKUP($A15,INDIRECT("'"&amp;Summary!CB$1&amp;"'!$A$1:$S$17"),2,FALSE))),"D/ST",
IF(ISNUMBER(SEARCH("TE",VLOOKUP($A15,INDIRECT("'"&amp;Summary!CB$1&amp;"'!$A$1:$S$17"),2,FALSE))),"TE","")))))</f>
        <v>QB</v>
      </c>
      <c r="CD15" s="2">
        <f ca="1">IF(CC15="","",IF(CC15&lt;&gt;"D/ST",VLOOKUP($A15,INDIRECT("'"&amp;Summary!CB$1&amp;"'!$A$1:$S$17"),19,FALSE),VLOOKUP($A15,INDIRECT("'"&amp;Summary!CB$1&amp;"'!$A$1:$S$17"),12,FALSE)))</f>
        <v>18.399999999999999</v>
      </c>
      <c r="CE15" s="2">
        <f t="array" aca="1" ref="CE15" ca="1">IF(CC15="","",IF(CC15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15,INDIRECT("'"&amp;Summary!CB$1&amp;"'!$A$1:$A$17"),0)&amp;":$S"&amp;MATCH($A15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15,INDIRECT("'"&amp;Summary!CB$1&amp;"'!$A$1:$A$17"),0)&amp;":$S"&amp;MATCH($A15,INDIRECT("'"&amp;Summary!CB$1&amp;"'!$A$1:$A$17"),0)))))</f>
        <v>2</v>
      </c>
      <c r="CF15" s="3">
        <f t="shared" ca="1" si="29"/>
        <v>0.65217391304347827</v>
      </c>
      <c r="CG15" s="3">
        <f t="shared" ca="1" si="13"/>
        <v>0.34782608695652173</v>
      </c>
      <c r="CH15" s="2" t="str">
        <f ca="1">IF(CI15="","",IF(CI15="D/ST",MID(VLOOKUP($A15,INDIRECT("'"&amp;Summary!CH$1&amp;"'!$A$1:$S$17"),2,FALSE),1,FIND(" ",VLOOKUP($A15,INDIRECT("'"&amp;Summary!CH$1&amp;"'!$A$1:$S$17"),2,FALSE))+4),MID(VLOOKUP($A15,INDIRECT("'"&amp;Summary!CH$1&amp;"'!$A$1:$S$17"),2,FALSE),1,FIND(",",VLOOKUP($A15,INDIRECT("'"&amp;Summary!CH$1&amp;"'!$A$1:$S$17"),2,FALSE))-1)))</f>
        <v>Kerwynn Williams</v>
      </c>
      <c r="CI15" s="2" t="str">
        <f ca="1">IF(ISNUMBER(SEARCH("QB",VLOOKUP($A15,INDIRECT("'"&amp;Summary!CH$1&amp;"'!$A$1:$S$17"),2,FALSE))),"QB",
IF(ISNUMBER(SEARCH("RB",VLOOKUP($A15,INDIRECT("'"&amp;Summary!CH$1&amp;"'!$A$1:$S$17"),2,FALSE))),"RB",
IF(ISNUMBER(SEARCH("WR",VLOOKUP($A15,INDIRECT("'"&amp;Summary!CH$1&amp;"'!$A$1:$S$17"),2,FALSE))),"WR",
IF(ISNUMBER(SEARCH("D/ST",VLOOKUP($A15,INDIRECT("'"&amp;Summary!CH$1&amp;"'!$A$1:$S$17"),2,FALSE))),"D/ST",
IF(ISNUMBER(SEARCH("TE",VLOOKUP($A15,INDIRECT("'"&amp;Summary!CH$1&amp;"'!$A$1:$S$17"),2,FALSE))),"TE","")))))</f>
        <v>RB</v>
      </c>
      <c r="CJ15" s="2">
        <f ca="1">IF(CI15="","",IF(CI15&lt;&gt;"D/ST",VLOOKUP($A15,INDIRECT("'"&amp;Summary!CH$1&amp;"'!$A$1:$S$17"),19,FALSE),VLOOKUP($A15,INDIRECT("'"&amp;Summary!CH$1&amp;"'!$A$1:$S$17"),12,FALSE)))</f>
        <v>6.1</v>
      </c>
      <c r="CK15" s="2">
        <f t="array" aca="1" ref="CK15" ca="1">IF(CI15="","",IF(CI15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15,INDIRECT("'"&amp;Summary!CH$1&amp;"'!$A$1:$A$17"),0)&amp;":$S"&amp;MATCH($A15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15,INDIRECT("'"&amp;Summary!CH$1&amp;"'!$A$1:$A$17"),0)&amp;":$S"&amp;MATCH($A15,INDIRECT("'"&amp;Summary!CH$1&amp;"'!$A$1:$A$17"),0)))))</f>
        <v>0</v>
      </c>
      <c r="CL15" s="3">
        <f t="shared" ca="1" si="30"/>
        <v>0</v>
      </c>
      <c r="CM15" s="3">
        <f t="shared" ca="1" si="14"/>
        <v>1</v>
      </c>
      <c r="CN15" s="2" t="str">
        <f ca="1">IF(CO15="","",IF(CO15="D/ST",MID(VLOOKUP($A15,INDIRECT("'"&amp;Summary!CN$1&amp;"'!$A$1:$S$17"),2,FALSE),1,FIND(" ",VLOOKUP($A15,INDIRECT("'"&amp;Summary!CN$1&amp;"'!$A$1:$S$17"),2,FALSE))+4),MID(VLOOKUP($A15,INDIRECT("'"&amp;Summary!CN$1&amp;"'!$A$1:$S$17"),2,FALSE),1,FIND(",",VLOOKUP($A15,INDIRECT("'"&amp;Summary!CN$1&amp;"'!$A$1:$S$17"),2,FALSE))-1)))</f>
        <v>Kerwynn Williams</v>
      </c>
      <c r="CO15" s="2" t="str">
        <f ca="1">IF(ISNUMBER(SEARCH("QB",VLOOKUP($A15,INDIRECT("'"&amp;Summary!CN$1&amp;"'!$A$1:$S$17"),2,FALSE))),"QB",
IF(ISNUMBER(SEARCH("RB",VLOOKUP($A15,INDIRECT("'"&amp;Summary!CN$1&amp;"'!$A$1:$S$17"),2,FALSE))),"RB",
IF(ISNUMBER(SEARCH("WR",VLOOKUP($A15,INDIRECT("'"&amp;Summary!CN$1&amp;"'!$A$1:$S$17"),2,FALSE))),"WR",
IF(ISNUMBER(SEARCH("D/ST",VLOOKUP($A15,INDIRECT("'"&amp;Summary!CN$1&amp;"'!$A$1:$S$17"),2,FALSE))),"D/ST",
IF(ISNUMBER(SEARCH("TE",VLOOKUP($A15,INDIRECT("'"&amp;Summary!CN$1&amp;"'!$A$1:$S$17"),2,FALSE))),"TE","")))))</f>
        <v>RB</v>
      </c>
      <c r="CP15" s="2">
        <f ca="1">IF(CO15="","",IF(CO15&lt;&gt;"D/ST",VLOOKUP($A15,INDIRECT("'"&amp;Summary!CN$1&amp;"'!$A$1:$S$17"),19,FALSE),VLOOKUP($A15,INDIRECT("'"&amp;Summary!CN$1&amp;"'!$A$1:$S$17"),12,FALSE)))</f>
        <v>7.5</v>
      </c>
      <c r="CQ15" s="2">
        <f t="array" aca="1" ref="CQ15" ca="1">IF(CO15="","",IF(CO15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15,INDIRECT("'"&amp;Summary!CN$1&amp;"'!$A$1:$A$17"),0)&amp;":$S"&amp;MATCH($A15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15,INDIRECT("'"&amp;Summary!CN$1&amp;"'!$A$1:$A$17"),0)&amp;":$S"&amp;MATCH($A15,INDIRECT("'"&amp;Summary!CN$1&amp;"'!$A$1:$A$17"),0)))))</f>
        <v>0</v>
      </c>
      <c r="CR15" s="3">
        <f t="shared" ca="1" si="31"/>
        <v>0</v>
      </c>
      <c r="CS15" s="3">
        <f t="shared" ca="1" si="15"/>
        <v>1</v>
      </c>
    </row>
    <row r="16" spans="1:97" ht="16.25" thickTop="1" thickBot="1" x14ac:dyDescent="0.9">
      <c r="A16" s="2" t="s">
        <v>61</v>
      </c>
      <c r="B16" s="2" t="str">
        <f ca="1">IF(C16="","",IF(C16="D/ST",MID(VLOOKUP($A16,INDIRECT("'"&amp;Summary!B$1&amp;"'!$A$1:$S$17"),2,FALSE),1,FIND(" ",VLOOKUP($A16,INDIRECT("'"&amp;Summary!B$1&amp;"'!$A$1:$S$17"),2,FALSE))+4),MID(VLOOKUP($A16,INDIRECT("'"&amp;Summary!B$1&amp;"'!$A$1:$S$17"),2,FALSE),1,FIND(",",VLOOKUP($A16,INDIRECT("'"&amp;Summary!B$1&amp;"'!$A$1:$S$17"),2,FALSE))-1)))</f>
        <v>Robby Anderson</v>
      </c>
      <c r="C16" s="2" t="str">
        <f ca="1">IF(ISNUMBER(SEARCH("QB",VLOOKUP($A16,INDIRECT("'"&amp;Summary!B$1&amp;"'!$A$1:$S$17"),2,FALSE))),"QB",
IF(ISNUMBER(SEARCH("RB",VLOOKUP($A16,INDIRECT("'"&amp;Summary!B$1&amp;"'!$A$1:$S$17"),2,FALSE))),"RB",
IF(ISNUMBER(SEARCH("WR",VLOOKUP($A16,INDIRECT("'"&amp;Summary!B$1&amp;"'!$A$1:$S$17"),2,FALSE))),"WR",
IF(ISNUMBER(SEARCH("D/ST",VLOOKUP($A16,INDIRECT("'"&amp;Summary!B$1&amp;"'!$A$1:$S$17"),2,FALSE))),"D/ST",
IF(ISNUMBER(SEARCH("TE",VLOOKUP($A16,INDIRECT("'"&amp;Summary!B$1&amp;"'!$A$1:$S$17"),2,FALSE))),"TE","")))))</f>
        <v>WR</v>
      </c>
      <c r="D16" s="2">
        <f ca="1">IF(C16="","",IF(C16&lt;&gt;"D/ST",VLOOKUP($A16,INDIRECT("'"&amp;Summary!B$1&amp;"'!$A$1:$S$17"),19,FALSE),VLOOKUP($A16,INDIRECT("'"&amp;Summary!B$1&amp;"'!$A$1:$S$17"),12,FALSE)))</f>
        <v>4.2</v>
      </c>
      <c r="E16" s="2">
        <f t="array" aca="1" ref="E16" ca="1">IF(C16="","",IF(C16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16,INDIRECT("'"&amp;Summary!B$1&amp;"'!$A$1:$A$17"),0)&amp;":$S"&amp;MATCH($A16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16,INDIRECT("'"&amp;Summary!B$1&amp;"'!$A$1:$A$17"),0)&amp;":$S"&amp;MATCH($A16,INDIRECT("'"&amp;Summary!B$1&amp;"'!$A$1:$A$17"),0)))))</f>
        <v>0</v>
      </c>
      <c r="F16" s="3">
        <f t="shared" ca="1" si="16"/>
        <v>0</v>
      </c>
      <c r="G16" s="3">
        <f t="shared" ca="1" si="0"/>
        <v>1</v>
      </c>
      <c r="H16" s="2" t="str">
        <f ca="1">IF(I16="","",IF(I16="D/ST",MID(VLOOKUP($A16,INDIRECT("'"&amp;Summary!H$1&amp;"'!$A$1:$S$17"),2,FALSE),1,FIND(" ",VLOOKUP($A16,INDIRECT("'"&amp;Summary!H$1&amp;"'!$A$1:$S$17"),2,FALSE))+4),MID(VLOOKUP($A16,INDIRECT("'"&amp;Summary!H$1&amp;"'!$A$1:$S$17"),2,FALSE),1,FIND(",",VLOOKUP($A16,INDIRECT("'"&amp;Summary!H$1&amp;"'!$A$1:$S$17"),2,FALSE))-1)))</f>
        <v>Donte Moncrief</v>
      </c>
      <c r="I16" s="2" t="str">
        <f ca="1">IF(ISNUMBER(SEARCH("QB",VLOOKUP($A16,INDIRECT("'"&amp;Summary!H$1&amp;"'!$A$1:$S$17"),2,FALSE))),"QB",
IF(ISNUMBER(SEARCH("RB",VLOOKUP($A16,INDIRECT("'"&amp;Summary!H$1&amp;"'!$A$1:$S$17"),2,FALSE))),"RB",
IF(ISNUMBER(SEARCH("WR",VLOOKUP($A16,INDIRECT("'"&amp;Summary!H$1&amp;"'!$A$1:$S$17"),2,FALSE))),"WR",
IF(ISNUMBER(SEARCH("D/ST",VLOOKUP($A16,INDIRECT("'"&amp;Summary!H$1&amp;"'!$A$1:$S$17"),2,FALSE))),"D/ST",
IF(ISNUMBER(SEARCH("TE",VLOOKUP($A16,INDIRECT("'"&amp;Summary!H$1&amp;"'!$A$1:$S$17"),2,FALSE))),"TE","")))))</f>
        <v>WR</v>
      </c>
      <c r="J16" s="2">
        <f ca="1">IF(I16="","",IF(I16&lt;&gt;"D/ST",VLOOKUP($A16,INDIRECT("'"&amp;Summary!H$1&amp;"'!$A$1:$S$17"),19,FALSE),VLOOKUP($A16,INDIRECT("'"&amp;Summary!H$1&amp;"'!$A$1:$S$17"),12,FALSE)))</f>
        <v>2.8</v>
      </c>
      <c r="K16" s="2">
        <f t="array" aca="1" ref="K16" ca="1">IF(I16="","",IF(I16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16,INDIRECT("'"&amp;Summary!H$1&amp;"'!$A$1:$A$17"),0)&amp;":$S"&amp;MATCH($A16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16,INDIRECT("'"&amp;Summary!H$1&amp;"'!$A$1:$A$17"),0)&amp;":$S"&amp;MATCH($A16,INDIRECT("'"&amp;Summary!H$1&amp;"'!$A$1:$A$17"),0)))))</f>
        <v>0</v>
      </c>
      <c r="L16" s="3">
        <f t="shared" ca="1" si="17"/>
        <v>0</v>
      </c>
      <c r="M16" s="3">
        <f t="shared" ca="1" si="1"/>
        <v>1</v>
      </c>
      <c r="N16" s="2" t="str">
        <f ca="1">IF(O16="","",IF(O16="D/ST",MID(VLOOKUP($A16,INDIRECT("'"&amp;Summary!N$1&amp;"'!$A$1:$S$17"),2,FALSE),1,FIND(" ",VLOOKUP($A16,INDIRECT("'"&amp;Summary!N$1&amp;"'!$A$1:$S$17"),2,FALSE))+4),MID(VLOOKUP($A16,INDIRECT("'"&amp;Summary!N$1&amp;"'!$A$1:$S$17"),2,FALSE),1,FIND(",",VLOOKUP($A16,INDIRECT("'"&amp;Summary!N$1&amp;"'!$A$1:$S$17"),2,FALSE))-1)))</f>
        <v>Darren McFadden</v>
      </c>
      <c r="O16" s="2" t="str">
        <f ca="1">IF(ISNUMBER(SEARCH("QB",VLOOKUP($A16,INDIRECT("'"&amp;Summary!N$1&amp;"'!$A$1:$S$17"),2,FALSE))),"QB",
IF(ISNUMBER(SEARCH("RB",VLOOKUP($A16,INDIRECT("'"&amp;Summary!N$1&amp;"'!$A$1:$S$17"),2,FALSE))),"RB",
IF(ISNUMBER(SEARCH("WR",VLOOKUP($A16,INDIRECT("'"&amp;Summary!N$1&amp;"'!$A$1:$S$17"),2,FALSE))),"WR",
IF(ISNUMBER(SEARCH("D/ST",VLOOKUP($A16,INDIRECT("'"&amp;Summary!N$1&amp;"'!$A$1:$S$17"),2,FALSE))),"D/ST",
IF(ISNUMBER(SEARCH("TE",VLOOKUP($A16,INDIRECT("'"&amp;Summary!N$1&amp;"'!$A$1:$S$17"),2,FALSE))),"TE","")))))</f>
        <v>RB</v>
      </c>
      <c r="P16" s="2">
        <f ca="1">IF(O16="","",IF(O16&lt;&gt;"D/ST",VLOOKUP($A16,INDIRECT("'"&amp;Summary!N$1&amp;"'!$A$1:$S$17"),19,FALSE),VLOOKUP($A16,INDIRECT("'"&amp;Summary!N$1&amp;"'!$A$1:$S$17"),12,FALSE)))</f>
        <v>0</v>
      </c>
      <c r="Q16" s="2">
        <f t="array" aca="1" ref="Q16" ca="1">IF(O16="","",IF(O16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16,INDIRECT("'"&amp;Summary!N$1&amp;"'!$A$1:$A$17"),0)&amp;":$S"&amp;MATCH($A16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16,INDIRECT("'"&amp;Summary!N$1&amp;"'!$A$1:$A$17"),0)&amp;":$S"&amp;MATCH($A16,INDIRECT("'"&amp;Summary!N$1&amp;"'!$A$1:$A$17"),0)))))</f>
        <v>0</v>
      </c>
      <c r="R16" s="3">
        <f t="shared" ca="1" si="18"/>
        <v>0</v>
      </c>
      <c r="S16" s="3">
        <f t="shared" ca="1" si="2"/>
        <v>1</v>
      </c>
      <c r="T16" s="2" t="str">
        <f ca="1">IF(U16="","",IF(U16="D/ST",MID(VLOOKUP($A16,INDIRECT("'"&amp;Summary!T$1&amp;"'!$A$1:$S$17"),2,FALSE),1,FIND(" ",VLOOKUP($A16,INDIRECT("'"&amp;Summary!T$1&amp;"'!$A$1:$S$17"),2,FALSE))+4),MID(VLOOKUP($A16,INDIRECT("'"&amp;Summary!T$1&amp;"'!$A$1:$S$17"),2,FALSE),1,FIND(",",VLOOKUP($A16,INDIRECT("'"&amp;Summary!T$1&amp;"'!$A$1:$S$17"),2,FALSE))-1)))</f>
        <v>Alex Collins</v>
      </c>
      <c r="U16" s="2" t="str">
        <f ca="1">IF(ISNUMBER(SEARCH("QB",VLOOKUP($A16,INDIRECT("'"&amp;Summary!T$1&amp;"'!$A$1:$S$17"),2,FALSE))),"QB",
IF(ISNUMBER(SEARCH("RB",VLOOKUP($A16,INDIRECT("'"&amp;Summary!T$1&amp;"'!$A$1:$S$17"),2,FALSE))),"RB",
IF(ISNUMBER(SEARCH("WR",VLOOKUP($A16,INDIRECT("'"&amp;Summary!T$1&amp;"'!$A$1:$S$17"),2,FALSE))),"WR",
IF(ISNUMBER(SEARCH("D/ST",VLOOKUP($A16,INDIRECT("'"&amp;Summary!T$1&amp;"'!$A$1:$S$17"),2,FALSE))),"D/ST",
IF(ISNUMBER(SEARCH("TE",VLOOKUP($A16,INDIRECT("'"&amp;Summary!T$1&amp;"'!$A$1:$S$17"),2,FALSE))),"TE","")))))</f>
        <v>RB</v>
      </c>
      <c r="V16" s="2">
        <f ca="1">IF(U16="","",IF(U16&lt;&gt;"D/ST",VLOOKUP($A16,INDIRECT("'"&amp;Summary!T$1&amp;"'!$A$1:$S$17"),19,FALSE),VLOOKUP($A16,INDIRECT("'"&amp;Summary!T$1&amp;"'!$A$1:$S$17"),12,FALSE)))</f>
        <v>6.2</v>
      </c>
      <c r="W16" s="2">
        <f t="array" aca="1" ref="W16" ca="1">IF(U16="","",IF(U16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16,INDIRECT("'"&amp;Summary!T$1&amp;"'!$A$1:$A$17"),0)&amp;":$S"&amp;MATCH($A16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16,INDIRECT("'"&amp;Summary!T$1&amp;"'!$A$1:$A$17"),0)&amp;":$S"&amp;MATCH($A16,INDIRECT("'"&amp;Summary!T$1&amp;"'!$A$1:$A$17"),0)))))</f>
        <v>0</v>
      </c>
      <c r="X16" s="3">
        <f t="shared" ca="1" si="19"/>
        <v>0</v>
      </c>
      <c r="Y16" s="3">
        <f t="shared" ca="1" si="3"/>
        <v>1</v>
      </c>
      <c r="Z16" s="2" t="str">
        <f ca="1">IF(AA16="","",IF(AA16="D/ST",MID(VLOOKUP($A16,INDIRECT("'"&amp;Summary!Z$1&amp;"'!$A$1:$S$17"),2,FALSE),1,FIND(" ",VLOOKUP($A16,INDIRECT("'"&amp;Summary!Z$1&amp;"'!$A$1:$S$17"),2,FALSE))+4),MID(VLOOKUP($A16,INDIRECT("'"&amp;Summary!Z$1&amp;"'!$A$1:$S$17"),2,FALSE),1,FIND(",",VLOOKUP($A16,INDIRECT("'"&amp;Summary!Z$1&amp;"'!$A$1:$S$17"),2,FALSE))-1)))</f>
        <v>Broncos D/ST</v>
      </c>
      <c r="AA16" s="2" t="str">
        <f ca="1">IF(ISNUMBER(SEARCH("QB",VLOOKUP($A16,INDIRECT("'"&amp;Summary!Z$1&amp;"'!$A$1:$S$17"),2,FALSE))),"QB",
IF(ISNUMBER(SEARCH("RB",VLOOKUP($A16,INDIRECT("'"&amp;Summary!Z$1&amp;"'!$A$1:$S$17"),2,FALSE))),"RB",
IF(ISNUMBER(SEARCH("WR",VLOOKUP($A16,INDIRECT("'"&amp;Summary!Z$1&amp;"'!$A$1:$S$17"),2,FALSE))),"WR",
IF(ISNUMBER(SEARCH("D/ST",VLOOKUP($A16,INDIRECT("'"&amp;Summary!Z$1&amp;"'!$A$1:$S$17"),2,FALSE))),"D/ST",
IF(ISNUMBER(SEARCH("TE",VLOOKUP($A16,INDIRECT("'"&amp;Summary!Z$1&amp;"'!$A$1:$S$17"),2,FALSE))),"TE","")))))</f>
        <v>D/ST</v>
      </c>
      <c r="AB16" s="2">
        <f ca="1">IF(AA16="","",IF(AA16&lt;&gt;"D/ST",VLOOKUP($A16,INDIRECT("'"&amp;Summary!Z$1&amp;"'!$A$1:$S$17"),19,FALSE),VLOOKUP($A16,INDIRECT("'"&amp;Summary!Z$1&amp;"'!$A$1:$S$17"),12,FALSE)))</f>
        <v>0</v>
      </c>
      <c r="AC16" s="2">
        <f t="array" aca="1" ref="AC16" ca="1">IF(AA16="","",IF(AA16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16,INDIRECT("'"&amp;Summary!Z$1&amp;"'!$A$1:$A$17"),0)&amp;":$S"&amp;MATCH($A16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16,INDIRECT("'"&amp;Summary!Z$1&amp;"'!$A$1:$A$17"),0)&amp;":$S"&amp;MATCH($A16,INDIRECT("'"&amp;Summary!Z$1&amp;"'!$A$1:$A$17"),0)))))</f>
        <v>0</v>
      </c>
      <c r="AD16" s="3">
        <f t="shared" ca="1" si="20"/>
        <v>0</v>
      </c>
      <c r="AE16" s="3">
        <f t="shared" ca="1" si="4"/>
        <v>1</v>
      </c>
      <c r="AF16" s="2" t="str">
        <f ca="1">IF(AG16="","",IF(AG16="D/ST",MID(VLOOKUP($A16,INDIRECT("'"&amp;Summary!AF$1&amp;"'!$A$1:$S$17"),2,FALSE),1,FIND(" ",VLOOKUP($A16,INDIRECT("'"&amp;Summary!AF$1&amp;"'!$A$1:$S$17"),2,FALSE))+4),MID(VLOOKUP($A16,INDIRECT("'"&amp;Summary!AF$1&amp;"'!$A$1:$S$17"),2,FALSE),1,FIND(",",VLOOKUP($A16,INDIRECT("'"&amp;Summary!AF$1&amp;"'!$A$1:$S$17"),2,FALSE))-1)))</f>
        <v>Thomas Rawls</v>
      </c>
      <c r="AG16" s="2" t="str">
        <f ca="1">IF(ISNUMBER(SEARCH("QB",VLOOKUP($A16,INDIRECT("'"&amp;Summary!AF$1&amp;"'!$A$1:$S$17"),2,FALSE))),"QB",
IF(ISNUMBER(SEARCH("RB",VLOOKUP($A16,INDIRECT("'"&amp;Summary!AF$1&amp;"'!$A$1:$S$17"),2,FALSE))),"RB",
IF(ISNUMBER(SEARCH("WR",VLOOKUP($A16,INDIRECT("'"&amp;Summary!AF$1&amp;"'!$A$1:$S$17"),2,FALSE))),"WR",
IF(ISNUMBER(SEARCH("D/ST",VLOOKUP($A16,INDIRECT("'"&amp;Summary!AF$1&amp;"'!$A$1:$S$17"),2,FALSE))),"D/ST",
IF(ISNUMBER(SEARCH("TE",VLOOKUP($A16,INDIRECT("'"&amp;Summary!AF$1&amp;"'!$A$1:$S$17"),2,FALSE))),"TE","")))))</f>
        <v>RB</v>
      </c>
      <c r="AH16" s="2">
        <f ca="1">IF(AG16="","",IF(AG16&lt;&gt;"D/ST",VLOOKUP($A16,INDIRECT("'"&amp;Summary!AF$1&amp;"'!$A$1:$S$17"),19,FALSE),VLOOKUP($A16,INDIRECT("'"&amp;Summary!AF$1&amp;"'!$A$1:$S$17"),12,FALSE)))</f>
        <v>0</v>
      </c>
      <c r="AI16" s="2">
        <f t="array" aca="1" ref="AI16" ca="1">IF(AG16="","",IF(AG16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16,INDIRECT("'"&amp;Summary!AF$1&amp;"'!$A$1:$A$17"),0)&amp;":$S"&amp;MATCH($A16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16,INDIRECT("'"&amp;Summary!AF$1&amp;"'!$A$1:$A$17"),0)&amp;":$S"&amp;MATCH($A16,INDIRECT("'"&amp;Summary!AF$1&amp;"'!$A$1:$A$17"),0)))))</f>
        <v>0</v>
      </c>
      <c r="AJ16" s="3">
        <f t="shared" ca="1" si="21"/>
        <v>0</v>
      </c>
      <c r="AK16" s="3">
        <f t="shared" ca="1" si="5"/>
        <v>1</v>
      </c>
      <c r="AL16" s="2" t="str">
        <f ca="1">IF(AM16="","",IF(AM16="D/ST",MID(VLOOKUP($A16,INDIRECT("'"&amp;Summary!AL$1&amp;"'!$A$1:$S$17"),2,FALSE),1,FIND(" ",VLOOKUP($A16,INDIRECT("'"&amp;Summary!AL$1&amp;"'!$A$1:$S$17"),2,FALSE))+4),MID(VLOOKUP($A16,INDIRECT("'"&amp;Summary!AL$1&amp;"'!$A$1:$S$17"),2,FALSE),1,FIND(",",VLOOKUP($A16,INDIRECT("'"&amp;Summary!AL$1&amp;"'!$A$1:$S$17"),2,FALSE))-1)))</f>
        <v>Dion Lewis</v>
      </c>
      <c r="AM16" s="2" t="str">
        <f ca="1">IF(ISNUMBER(SEARCH("QB",VLOOKUP($A16,INDIRECT("'"&amp;Summary!AL$1&amp;"'!$A$1:$S$17"),2,FALSE))),"QB",
IF(ISNUMBER(SEARCH("RB",VLOOKUP($A16,INDIRECT("'"&amp;Summary!AL$1&amp;"'!$A$1:$S$17"),2,FALSE))),"RB",
IF(ISNUMBER(SEARCH("WR",VLOOKUP($A16,INDIRECT("'"&amp;Summary!AL$1&amp;"'!$A$1:$S$17"),2,FALSE))),"WR",
IF(ISNUMBER(SEARCH("D/ST",VLOOKUP($A16,INDIRECT("'"&amp;Summary!AL$1&amp;"'!$A$1:$S$17"),2,FALSE))),"D/ST",
IF(ISNUMBER(SEARCH("TE",VLOOKUP($A16,INDIRECT("'"&amp;Summary!AL$1&amp;"'!$A$1:$S$17"),2,FALSE))),"TE","")))))</f>
        <v>RB</v>
      </c>
      <c r="AN16" s="2">
        <f ca="1">IF(AM16="","",IF(AM16&lt;&gt;"D/ST",VLOOKUP($A16,INDIRECT("'"&amp;Summary!AL$1&amp;"'!$A$1:$S$17"),19,FALSE),VLOOKUP($A16,INDIRECT("'"&amp;Summary!AL$1&amp;"'!$A$1:$S$17"),12,FALSE)))</f>
        <v>8.6999999999999993</v>
      </c>
      <c r="AO16" s="2">
        <f t="array" aca="1" ref="AO16" ca="1">IF(AM16="","",IF(AM16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16,INDIRECT("'"&amp;Summary!AL$1&amp;"'!$A$1:$A$17"),0)&amp;":$S"&amp;MATCH($A16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16,INDIRECT("'"&amp;Summary!AL$1&amp;"'!$A$1:$A$17"),0)&amp;":$S"&amp;MATCH($A16,INDIRECT("'"&amp;Summary!AL$1&amp;"'!$A$1:$A$17"),0)))))</f>
        <v>0</v>
      </c>
      <c r="AP16" s="3">
        <f t="shared" ca="1" si="22"/>
        <v>0</v>
      </c>
      <c r="AQ16" s="3">
        <f t="shared" ca="1" si="6"/>
        <v>1</v>
      </c>
      <c r="AR16" s="2" t="str">
        <f ca="1">IF(AS16="","",IF(AS16="D/ST",MID(VLOOKUP($A16,INDIRECT("'"&amp;Summary!AR$1&amp;"'!$A$1:$S$17"),2,FALSE),1,FIND(" ",VLOOKUP($A16,INDIRECT("'"&amp;Summary!AR$1&amp;"'!$A$1:$S$17"),2,FALSE))+4),MID(VLOOKUP($A16,INDIRECT("'"&amp;Summary!AR$1&amp;"'!$A$1:$S$17"),2,FALSE),1,FIND(",",VLOOKUP($A16,INDIRECT("'"&amp;Summary!AR$1&amp;"'!$A$1:$S$17"),2,FALSE))-1)))</f>
        <v>Austin Ekeler</v>
      </c>
      <c r="AS16" s="2" t="str">
        <f ca="1">IF(ISNUMBER(SEARCH("QB",VLOOKUP($A16,INDIRECT("'"&amp;Summary!AR$1&amp;"'!$A$1:$S$17"),2,FALSE))),"QB",
IF(ISNUMBER(SEARCH("RB",VLOOKUP($A16,INDIRECT("'"&amp;Summary!AR$1&amp;"'!$A$1:$S$17"),2,FALSE))),"RB",
IF(ISNUMBER(SEARCH("WR",VLOOKUP($A16,INDIRECT("'"&amp;Summary!AR$1&amp;"'!$A$1:$S$17"),2,FALSE))),"WR",
IF(ISNUMBER(SEARCH("D/ST",VLOOKUP($A16,INDIRECT("'"&amp;Summary!AR$1&amp;"'!$A$1:$S$17"),2,FALSE))),"D/ST",
IF(ISNUMBER(SEARCH("TE",VLOOKUP($A16,INDIRECT("'"&amp;Summary!AR$1&amp;"'!$A$1:$S$17"),2,FALSE))),"TE","")))))</f>
        <v>RB</v>
      </c>
      <c r="AT16" s="2">
        <f ca="1">IF(AS16="","",IF(AS16&lt;&gt;"D/ST",VLOOKUP($A16,INDIRECT("'"&amp;Summary!AR$1&amp;"'!$A$1:$S$17"),19,FALSE),VLOOKUP($A16,INDIRECT("'"&amp;Summary!AR$1&amp;"'!$A$1:$S$17"),12,FALSE)))</f>
        <v>2.6</v>
      </c>
      <c r="AU16" s="2">
        <f t="array" aca="1" ref="AU16" ca="1">IF(AS16="","",IF(AS16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16,INDIRECT("'"&amp;Summary!AR$1&amp;"'!$A$1:$A$17"),0)&amp;":$S"&amp;MATCH($A16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16,INDIRECT("'"&amp;Summary!AR$1&amp;"'!$A$1:$A$17"),0)&amp;":$S"&amp;MATCH($A16,INDIRECT("'"&amp;Summary!AR$1&amp;"'!$A$1:$A$17"),0)))))</f>
        <v>0</v>
      </c>
      <c r="AV16" s="3">
        <f t="shared" ca="1" si="23"/>
        <v>0</v>
      </c>
      <c r="AW16" s="3">
        <f t="shared" ca="1" si="7"/>
        <v>1</v>
      </c>
      <c r="AX16" s="2" t="str">
        <f ca="1">IF(AY16="","",IF(AY16="D/ST",MID(VLOOKUP($A16,INDIRECT("'"&amp;Summary!AX$1&amp;"'!$A$1:$S$17"),2,FALSE),1,FIND(" ",VLOOKUP($A16,INDIRECT("'"&amp;Summary!AX$1&amp;"'!$A$1:$S$17"),2,FALSE))+4),MID(VLOOKUP($A16,INDIRECT("'"&amp;Summary!AX$1&amp;"'!$A$1:$S$17"),2,FALSE),1,FIND(",",VLOOKUP($A16,INDIRECT("'"&amp;Summary!AX$1&amp;"'!$A$1:$S$17"),2,FALSE))-1)))</f>
        <v>Eddie Lacy</v>
      </c>
      <c r="AY16" s="2" t="str">
        <f ca="1">IF(ISNUMBER(SEARCH("QB",VLOOKUP($A16,INDIRECT("'"&amp;Summary!AX$1&amp;"'!$A$1:$S$17"),2,FALSE))),"QB",
IF(ISNUMBER(SEARCH("RB",VLOOKUP($A16,INDIRECT("'"&amp;Summary!AX$1&amp;"'!$A$1:$S$17"),2,FALSE))),"RB",
IF(ISNUMBER(SEARCH("WR",VLOOKUP($A16,INDIRECT("'"&amp;Summary!AX$1&amp;"'!$A$1:$S$17"),2,FALSE))),"WR",
IF(ISNUMBER(SEARCH("D/ST",VLOOKUP($A16,INDIRECT("'"&amp;Summary!AX$1&amp;"'!$A$1:$S$17"),2,FALSE))),"D/ST",
IF(ISNUMBER(SEARCH("TE",VLOOKUP($A16,INDIRECT("'"&amp;Summary!AX$1&amp;"'!$A$1:$S$17"),2,FALSE))),"TE","")))))</f>
        <v>RB</v>
      </c>
      <c r="AZ16" s="2">
        <f ca="1">IF(AY16="","",IF(AY16&lt;&gt;"D/ST",VLOOKUP($A16,INDIRECT("'"&amp;Summary!AX$1&amp;"'!$A$1:$S$17"),19,FALSE),VLOOKUP($A16,INDIRECT("'"&amp;Summary!AX$1&amp;"'!$A$1:$S$17"),12,FALSE)))</f>
        <v>3.9</v>
      </c>
      <c r="BA16" s="2">
        <f t="array" aca="1" ref="BA16" ca="1">IF(AY16="","",IF(AY16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16,INDIRECT("'"&amp;Summary!AX$1&amp;"'!$A$1:$A$17"),0)&amp;":$S"&amp;MATCH($A16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16,INDIRECT("'"&amp;Summary!AX$1&amp;"'!$A$1:$A$17"),0)&amp;":$S"&amp;MATCH($A16,INDIRECT("'"&amp;Summary!AX$1&amp;"'!$A$1:$A$17"),0)))))</f>
        <v>0</v>
      </c>
      <c r="BB16" s="3">
        <f t="shared" ca="1" si="24"/>
        <v>0</v>
      </c>
      <c r="BC16" s="3">
        <f t="shared" ca="1" si="8"/>
        <v>1</v>
      </c>
      <c r="BD16" s="2" t="str">
        <f ca="1">IF(BE16="","",IF(BE16="D/ST",MID(VLOOKUP($A16,INDIRECT("'"&amp;Summary!BD$1&amp;"'!$A$1:$S$17"),2,FALSE),1,FIND(" ",VLOOKUP($A16,INDIRECT("'"&amp;Summary!BD$1&amp;"'!$A$1:$S$17"),2,FALSE))+4),MID(VLOOKUP($A16,INDIRECT("'"&amp;Summary!BD$1&amp;"'!$A$1:$S$17"),2,FALSE),1,FIND(",",VLOOKUP($A16,INDIRECT("'"&amp;Summary!BD$1&amp;"'!$A$1:$S$17"),2,FALSE))-1)))</f>
        <v>Darren McFadden</v>
      </c>
      <c r="BE16" s="2" t="str">
        <f ca="1">IF(ISNUMBER(SEARCH("QB",VLOOKUP($A16,INDIRECT("'"&amp;Summary!BD$1&amp;"'!$A$1:$S$17"),2,FALSE))),"QB",
IF(ISNUMBER(SEARCH("RB",VLOOKUP($A16,INDIRECT("'"&amp;Summary!BD$1&amp;"'!$A$1:$S$17"),2,FALSE))),"RB",
IF(ISNUMBER(SEARCH("WR",VLOOKUP($A16,INDIRECT("'"&amp;Summary!BD$1&amp;"'!$A$1:$S$17"),2,FALSE))),"WR",
IF(ISNUMBER(SEARCH("D/ST",VLOOKUP($A16,INDIRECT("'"&amp;Summary!BD$1&amp;"'!$A$1:$S$17"),2,FALSE))),"D/ST",
IF(ISNUMBER(SEARCH("TE",VLOOKUP($A16,INDIRECT("'"&amp;Summary!BD$1&amp;"'!$A$1:$S$17"),2,FALSE))),"TE","")))))</f>
        <v>RB</v>
      </c>
      <c r="BF16" s="2">
        <f ca="1">IF(BE16="","",IF(BE16&lt;&gt;"D/ST",VLOOKUP($A16,INDIRECT("'"&amp;Summary!BD$1&amp;"'!$A$1:$S$17"),19,FALSE),VLOOKUP($A16,INDIRECT("'"&amp;Summary!BD$1&amp;"'!$A$1:$S$17"),12,FALSE)))</f>
        <v>-0.2</v>
      </c>
      <c r="BG16" s="2">
        <f t="array" aca="1" ref="BG16" ca="1">IF(BE16="","",IF(BE16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16,INDIRECT("'"&amp;Summary!BD$1&amp;"'!$A$1:$A$17"),0)&amp;":$S"&amp;MATCH($A16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16,INDIRECT("'"&amp;Summary!BD$1&amp;"'!$A$1:$A$17"),0)&amp;":$S"&amp;MATCH($A16,INDIRECT("'"&amp;Summary!BD$1&amp;"'!$A$1:$A$17"),0)))))</f>
        <v>0</v>
      </c>
      <c r="BH16" s="3">
        <f t="shared" ca="1" si="25"/>
        <v>0</v>
      </c>
      <c r="BI16" s="3">
        <f t="shared" ca="1" si="9"/>
        <v>1</v>
      </c>
      <c r="BJ16" s="2" t="str">
        <f ca="1">IF(BK16="","",IF(BK16="D/ST",MID(VLOOKUP($A16,INDIRECT("'"&amp;Summary!BJ$1&amp;"'!$A$1:$S$17"),2,FALSE),1,FIND(" ",VLOOKUP($A16,INDIRECT("'"&amp;Summary!BJ$1&amp;"'!$A$1:$S$17"),2,FALSE))+4),MID(VLOOKUP($A16,INDIRECT("'"&amp;Summary!BJ$1&amp;"'!$A$1:$S$17"),2,FALSE),1,FIND(",",VLOOKUP($A16,INDIRECT("'"&amp;Summary!BJ$1&amp;"'!$A$1:$S$17"),2,FALSE))-1)))</f>
        <v>Samaje Perine</v>
      </c>
      <c r="BK16" s="2" t="str">
        <f ca="1">IF(ISNUMBER(SEARCH("QB",VLOOKUP($A16,INDIRECT("'"&amp;Summary!BJ$1&amp;"'!$A$1:$S$17"),2,FALSE))),"QB",
IF(ISNUMBER(SEARCH("RB",VLOOKUP($A16,INDIRECT("'"&amp;Summary!BJ$1&amp;"'!$A$1:$S$17"),2,FALSE))),"RB",
IF(ISNUMBER(SEARCH("WR",VLOOKUP($A16,INDIRECT("'"&amp;Summary!BJ$1&amp;"'!$A$1:$S$17"),2,FALSE))),"WR",
IF(ISNUMBER(SEARCH("D/ST",VLOOKUP($A16,INDIRECT("'"&amp;Summary!BJ$1&amp;"'!$A$1:$S$17"),2,FALSE))),"D/ST",
IF(ISNUMBER(SEARCH("TE",VLOOKUP($A16,INDIRECT("'"&amp;Summary!BJ$1&amp;"'!$A$1:$S$17"),2,FALSE))),"TE","")))))</f>
        <v>RB</v>
      </c>
      <c r="BL16" s="2">
        <f ca="1">IF(BK16="","",IF(BK16&lt;&gt;"D/ST",VLOOKUP($A16,INDIRECT("'"&amp;Summary!BJ$1&amp;"'!$A$1:$S$17"),19,FALSE),VLOOKUP($A16,INDIRECT("'"&amp;Summary!BJ$1&amp;"'!$A$1:$S$17"),12,FALSE)))</f>
        <v>19.100000000000001</v>
      </c>
      <c r="BM16" s="2">
        <f t="array" aca="1" ref="BM16" ca="1">IF(BK16="","",IF(BK16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16,INDIRECT("'"&amp;Summary!BJ$1&amp;"'!$A$1:$A$17"),0)&amp;":$S"&amp;MATCH($A16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16,INDIRECT("'"&amp;Summary!BJ$1&amp;"'!$A$1:$A$17"),0)&amp;":$S"&amp;MATCH($A16,INDIRECT("'"&amp;Summary!BJ$1&amp;"'!$A$1:$A$17"),0)))))</f>
        <v>1</v>
      </c>
      <c r="BN16" s="3">
        <f t="shared" ca="1" si="26"/>
        <v>0.31413612565445026</v>
      </c>
      <c r="BO16" s="3">
        <f t="shared" ca="1" si="10"/>
        <v>0.68586387434554974</v>
      </c>
      <c r="BP16" s="2" t="str">
        <f ca="1">IF(BQ16="","",IF(BQ16="D/ST",MID(VLOOKUP($A16,INDIRECT("'"&amp;Summary!BP$1&amp;"'!$A$1:$S$17"),2,FALSE),1,FIND(" ",VLOOKUP($A16,INDIRECT("'"&amp;Summary!BP$1&amp;"'!$A$1:$S$17"),2,FALSE))+4),MID(VLOOKUP($A16,INDIRECT("'"&amp;Summary!BP$1&amp;"'!$A$1:$S$17"),2,FALSE),1,FIND(",",VLOOKUP($A16,INDIRECT("'"&amp;Summary!BP$1&amp;"'!$A$1:$S$17"),2,FALSE))-1)))</f>
        <v>Ty Montgomery</v>
      </c>
      <c r="BQ16" s="2" t="str">
        <f ca="1">IF(ISNUMBER(SEARCH("QB",VLOOKUP($A16,INDIRECT("'"&amp;Summary!BP$1&amp;"'!$A$1:$S$17"),2,FALSE))),"QB",
IF(ISNUMBER(SEARCH("RB",VLOOKUP($A16,INDIRECT("'"&amp;Summary!BP$1&amp;"'!$A$1:$S$17"),2,FALSE))),"RB",
IF(ISNUMBER(SEARCH("WR",VLOOKUP($A16,INDIRECT("'"&amp;Summary!BP$1&amp;"'!$A$1:$S$17"),2,FALSE))),"WR",
IF(ISNUMBER(SEARCH("D/ST",VLOOKUP($A16,INDIRECT("'"&amp;Summary!BP$1&amp;"'!$A$1:$S$17"),2,FALSE))),"D/ST",
IF(ISNUMBER(SEARCH("TE",VLOOKUP($A16,INDIRECT("'"&amp;Summary!BP$1&amp;"'!$A$1:$S$17"),2,FALSE))),"TE","")))))</f>
        <v>RB</v>
      </c>
      <c r="BR16" s="2">
        <f ca="1">IF(BQ16="","",IF(BQ16&lt;&gt;"D/ST",VLOOKUP($A16,INDIRECT("'"&amp;Summary!BP$1&amp;"'!$A$1:$S$17"),19,FALSE),VLOOKUP($A16,INDIRECT("'"&amp;Summary!BP$1&amp;"'!$A$1:$S$17"),12,FALSE)))</f>
        <v>0</v>
      </c>
      <c r="BS16" s="2">
        <f t="array" aca="1" ref="BS16" ca="1">IF(BQ16="","",IF(BQ16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16,INDIRECT("'"&amp;Summary!BP$1&amp;"'!$A$1:$A$17"),0)&amp;":$S"&amp;MATCH($A16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16,INDIRECT("'"&amp;Summary!BP$1&amp;"'!$A$1:$A$17"),0)&amp;":$S"&amp;MATCH($A16,INDIRECT("'"&amp;Summary!BP$1&amp;"'!$A$1:$A$17"),0)))))</f>
        <v>0</v>
      </c>
      <c r="BT16" s="3">
        <f t="shared" ca="1" si="27"/>
        <v>0</v>
      </c>
      <c r="BU16" s="3">
        <f t="shared" ca="1" si="11"/>
        <v>1</v>
      </c>
      <c r="BV16" s="2" t="str">
        <f ca="1">IF(BW16="","",IF(BW16="D/ST",MID(VLOOKUP($A16,INDIRECT("'"&amp;Summary!BV$1&amp;"'!$A$1:$S$17"),2,FALSE),1,FIND(" ",VLOOKUP($A16,INDIRECT("'"&amp;Summary!BV$1&amp;"'!$A$1:$S$17"),2,FALSE))+4),MID(VLOOKUP($A16,INDIRECT("'"&amp;Summary!BV$1&amp;"'!$A$1:$S$17"),2,FALSE),1,FIND(",",VLOOKUP($A16,INDIRECT("'"&amp;Summary!BV$1&amp;"'!$A$1:$S$17"),2,FALSE))-1)))</f>
        <v>Jameis Winston</v>
      </c>
      <c r="BW16" s="2" t="str">
        <f ca="1">IF(ISNUMBER(SEARCH("QB",VLOOKUP($A16,INDIRECT("'"&amp;Summary!BV$1&amp;"'!$A$1:$S$17"),2,FALSE))),"QB",
IF(ISNUMBER(SEARCH("RB",VLOOKUP($A16,INDIRECT("'"&amp;Summary!BV$1&amp;"'!$A$1:$S$17"),2,FALSE))),"RB",
IF(ISNUMBER(SEARCH("WR",VLOOKUP($A16,INDIRECT("'"&amp;Summary!BV$1&amp;"'!$A$1:$S$17"),2,FALSE))),"WR",
IF(ISNUMBER(SEARCH("D/ST",VLOOKUP($A16,INDIRECT("'"&amp;Summary!BV$1&amp;"'!$A$1:$S$17"),2,FALSE))),"D/ST",
IF(ISNUMBER(SEARCH("TE",VLOOKUP($A16,INDIRECT("'"&amp;Summary!BV$1&amp;"'!$A$1:$S$17"),2,FALSE))),"TE","")))))</f>
        <v>QB</v>
      </c>
      <c r="BX16" s="2">
        <f ca="1">IF(BW16="","",IF(BW16&lt;&gt;"D/ST",VLOOKUP($A16,INDIRECT("'"&amp;Summary!BV$1&amp;"'!$A$1:$S$17"),19,FALSE),VLOOKUP($A16,INDIRECT("'"&amp;Summary!BV$1&amp;"'!$A$1:$S$17"),12,FALSE)))</f>
        <v>22.6</v>
      </c>
      <c r="BY16" s="2">
        <f t="array" aca="1" ref="BY16" ca="1">IF(BW16="","",IF(BW16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16,INDIRECT("'"&amp;Summary!BV$1&amp;"'!$A$1:$A$17"),0)&amp;":$S"&amp;MATCH($A16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16,INDIRECT("'"&amp;Summary!BV$1&amp;"'!$A$1:$A$17"),0)&amp;":$S"&amp;MATCH($A16,INDIRECT("'"&amp;Summary!BV$1&amp;"'!$A$1:$A$17"),0)))))</f>
        <v>2</v>
      </c>
      <c r="BZ16" s="3">
        <f t="shared" ca="1" si="28"/>
        <v>0.53097345132743357</v>
      </c>
      <c r="CA16" s="3">
        <f t="shared" ca="1" si="12"/>
        <v>0.46902654867256643</v>
      </c>
      <c r="CB16" s="2" t="str">
        <f ca="1">IF(CC16="","",IF(CC16="D/ST",MID(VLOOKUP($A16,INDIRECT("'"&amp;Summary!CB$1&amp;"'!$A$1:$S$17"),2,FALSE),1,FIND(" ",VLOOKUP($A16,INDIRECT("'"&amp;Summary!CB$1&amp;"'!$A$1:$S$17"),2,FALSE))+4),MID(VLOOKUP($A16,INDIRECT("'"&amp;Summary!CB$1&amp;"'!$A$1:$S$17"),2,FALSE),1,FIND(",",VLOOKUP($A16,INDIRECT("'"&amp;Summary!CB$1&amp;"'!$A$1:$S$17"),2,FALSE))-1)))</f>
        <v>Colts D/ST</v>
      </c>
      <c r="CC16" s="2" t="str">
        <f ca="1">IF(ISNUMBER(SEARCH("QB",VLOOKUP($A16,INDIRECT("'"&amp;Summary!CB$1&amp;"'!$A$1:$S$17"),2,FALSE))),"QB",
IF(ISNUMBER(SEARCH("RB",VLOOKUP($A16,INDIRECT("'"&amp;Summary!CB$1&amp;"'!$A$1:$S$17"),2,FALSE))),"RB",
IF(ISNUMBER(SEARCH("WR",VLOOKUP($A16,INDIRECT("'"&amp;Summary!CB$1&amp;"'!$A$1:$S$17"),2,FALSE))),"WR",
IF(ISNUMBER(SEARCH("D/ST",VLOOKUP($A16,INDIRECT("'"&amp;Summary!CB$1&amp;"'!$A$1:$S$17"),2,FALSE))),"D/ST",
IF(ISNUMBER(SEARCH("TE",VLOOKUP($A16,INDIRECT("'"&amp;Summary!CB$1&amp;"'!$A$1:$S$17"),2,FALSE))),"TE","")))))</f>
        <v>D/ST</v>
      </c>
      <c r="CD16" s="2">
        <f ca="1">IF(CC16="","",IF(CC16&lt;&gt;"D/ST",VLOOKUP($A16,INDIRECT("'"&amp;Summary!CB$1&amp;"'!$A$1:$S$17"),19,FALSE),VLOOKUP($A16,INDIRECT("'"&amp;Summary!CB$1&amp;"'!$A$1:$S$17"),12,FALSE)))</f>
        <v>7</v>
      </c>
      <c r="CE16" s="2">
        <f t="array" aca="1" ref="CE16" ca="1">IF(CC16="","",IF(CC16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16,INDIRECT("'"&amp;Summary!CB$1&amp;"'!$A$1:$A$17"),0)&amp;":$S"&amp;MATCH($A16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16,INDIRECT("'"&amp;Summary!CB$1&amp;"'!$A$1:$A$17"),0)&amp;":$S"&amp;MATCH($A16,INDIRECT("'"&amp;Summary!CB$1&amp;"'!$A$1:$A$17"),0)))))</f>
        <v>0</v>
      </c>
      <c r="CF16" s="3">
        <f t="shared" ca="1" si="29"/>
        <v>0</v>
      </c>
      <c r="CG16" s="3">
        <f t="shared" ca="1" si="13"/>
        <v>1</v>
      </c>
      <c r="CH16" s="2" t="str">
        <f ca="1">IF(CI16="","",IF(CI16="D/ST",MID(VLOOKUP($A16,INDIRECT("'"&amp;Summary!CH$1&amp;"'!$A$1:$S$17"),2,FALSE),1,FIND(" ",VLOOKUP($A16,INDIRECT("'"&amp;Summary!CH$1&amp;"'!$A$1:$S$17"),2,FALSE))+4),MID(VLOOKUP($A16,INDIRECT("'"&amp;Summary!CH$1&amp;"'!$A$1:$S$17"),2,FALSE),1,FIND(",",VLOOKUP($A16,INDIRECT("'"&amp;Summary!CH$1&amp;"'!$A$1:$S$17"),2,FALSE))-1)))</f>
        <v>Giovani Bernard</v>
      </c>
      <c r="CI16" s="2" t="str">
        <f ca="1">IF(ISNUMBER(SEARCH("QB",VLOOKUP($A16,INDIRECT("'"&amp;Summary!CH$1&amp;"'!$A$1:$S$17"),2,FALSE))),"QB",
IF(ISNUMBER(SEARCH("RB",VLOOKUP($A16,INDIRECT("'"&amp;Summary!CH$1&amp;"'!$A$1:$S$17"),2,FALSE))),"RB",
IF(ISNUMBER(SEARCH("WR",VLOOKUP($A16,INDIRECT("'"&amp;Summary!CH$1&amp;"'!$A$1:$S$17"),2,FALSE))),"WR",
IF(ISNUMBER(SEARCH("D/ST",VLOOKUP($A16,INDIRECT("'"&amp;Summary!CH$1&amp;"'!$A$1:$S$17"),2,FALSE))),"D/ST",
IF(ISNUMBER(SEARCH("TE",VLOOKUP($A16,INDIRECT("'"&amp;Summary!CH$1&amp;"'!$A$1:$S$17"),2,FALSE))),"TE","")))))</f>
        <v>RB</v>
      </c>
      <c r="CJ16" s="2">
        <f ca="1">IF(CI16="","",IF(CI16&lt;&gt;"D/ST",VLOOKUP($A16,INDIRECT("'"&amp;Summary!CH$1&amp;"'!$A$1:$S$17"),19,FALSE),VLOOKUP($A16,INDIRECT("'"&amp;Summary!CH$1&amp;"'!$A$1:$S$17"),12,FALSE)))</f>
        <v>11.8</v>
      </c>
      <c r="CK16" s="2">
        <f t="array" aca="1" ref="CK16" ca="1">IF(CI16="","",IF(CI16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16,INDIRECT("'"&amp;Summary!CH$1&amp;"'!$A$1:$A$17"),0)&amp;":$S"&amp;MATCH($A16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16,INDIRECT("'"&amp;Summary!CH$1&amp;"'!$A$1:$A$17"),0)&amp;":$S"&amp;MATCH($A16,INDIRECT("'"&amp;Summary!CH$1&amp;"'!$A$1:$A$17"),0)))))</f>
        <v>1</v>
      </c>
      <c r="CL16" s="3">
        <f t="shared" ca="1" si="30"/>
        <v>0.50847457627118642</v>
      </c>
      <c r="CM16" s="3">
        <f t="shared" ca="1" si="14"/>
        <v>0.49152542372881358</v>
      </c>
      <c r="CN16" s="2" t="str">
        <f ca="1">IF(CO16="","",IF(CO16="D/ST",MID(VLOOKUP($A16,INDIRECT("'"&amp;Summary!CN$1&amp;"'!$A$1:$S$17"),2,FALSE),1,FIND(" ",VLOOKUP($A16,INDIRECT("'"&amp;Summary!CN$1&amp;"'!$A$1:$S$17"),2,FALSE))+4),MID(VLOOKUP($A16,INDIRECT("'"&amp;Summary!CN$1&amp;"'!$A$1:$S$17"),2,FALSE),1,FIND(",",VLOOKUP($A16,INDIRECT("'"&amp;Summary!CN$1&amp;"'!$A$1:$S$17"),2,FALSE))-1)))</f>
        <v>Giovani Bernard</v>
      </c>
      <c r="CO16" s="2" t="str">
        <f ca="1">IF(ISNUMBER(SEARCH("QB",VLOOKUP($A16,INDIRECT("'"&amp;Summary!CN$1&amp;"'!$A$1:$S$17"),2,FALSE))),"QB",
IF(ISNUMBER(SEARCH("RB",VLOOKUP($A16,INDIRECT("'"&amp;Summary!CN$1&amp;"'!$A$1:$S$17"),2,FALSE))),"RB",
IF(ISNUMBER(SEARCH("WR",VLOOKUP($A16,INDIRECT("'"&amp;Summary!CN$1&amp;"'!$A$1:$S$17"),2,FALSE))),"WR",
IF(ISNUMBER(SEARCH("D/ST",VLOOKUP($A16,INDIRECT("'"&amp;Summary!CN$1&amp;"'!$A$1:$S$17"),2,FALSE))),"D/ST",
IF(ISNUMBER(SEARCH("TE",VLOOKUP($A16,INDIRECT("'"&amp;Summary!CN$1&amp;"'!$A$1:$S$17"),2,FALSE))),"TE","")))))</f>
        <v>RB</v>
      </c>
      <c r="CP16" s="2">
        <f ca="1">IF(CO16="","",IF(CO16&lt;&gt;"D/ST",VLOOKUP($A16,INDIRECT("'"&amp;Summary!CN$1&amp;"'!$A$1:$S$17"),19,FALSE),VLOOKUP($A16,INDIRECT("'"&amp;Summary!CN$1&amp;"'!$A$1:$S$17"),12,FALSE)))</f>
        <v>26.3</v>
      </c>
      <c r="CQ16" s="2">
        <f t="array" aca="1" ref="CQ16" ca="1">IF(CO16="","",IF(CO16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16,INDIRECT("'"&amp;Summary!CN$1&amp;"'!$A$1:$A$17"),0)&amp;":$S"&amp;MATCH($A16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16,INDIRECT("'"&amp;Summary!CN$1&amp;"'!$A$1:$A$17"),0)&amp;":$S"&amp;MATCH($A16,INDIRECT("'"&amp;Summary!CN$1&amp;"'!$A$1:$A$17"),0)))))</f>
        <v>1</v>
      </c>
      <c r="CR16" s="3">
        <f t="shared" ca="1" si="31"/>
        <v>0.22813688212927757</v>
      </c>
      <c r="CS16" s="3">
        <f t="shared" ca="1" si="15"/>
        <v>0.77186311787072248</v>
      </c>
    </row>
    <row r="17" spans="1:97" ht="16.25" thickTop="1" thickBot="1" x14ac:dyDescent="0.9">
      <c r="A17" s="2" t="s">
        <v>63</v>
      </c>
      <c r="B17" s="2" t="str">
        <f ca="1">IF(C17="","",IF(C17="D/ST",MID(VLOOKUP($A17,INDIRECT("'"&amp;Summary!B$1&amp;"'!$A$1:$S$17"),2,FALSE),1,FIND(" ",VLOOKUP($A17,INDIRECT("'"&amp;Summary!B$1&amp;"'!$A$1:$S$17"),2,FALSE))+4),MID(VLOOKUP($A17,INDIRECT("'"&amp;Summary!B$1&amp;"'!$A$1:$S$17"),2,FALSE),1,FIND(",",VLOOKUP($A17,INDIRECT("'"&amp;Summary!B$1&amp;"'!$A$1:$S$17"),2,FALSE))-1)))</f>
        <v>Andrew Luck</v>
      </c>
      <c r="C17" s="2" t="str">
        <f ca="1">IF(ISNUMBER(SEARCH("QB",VLOOKUP($A17,INDIRECT("'"&amp;Summary!B$1&amp;"'!$A$1:$S$17"),2,FALSE))),"QB",
IF(ISNUMBER(SEARCH("RB",VLOOKUP($A17,INDIRECT("'"&amp;Summary!B$1&amp;"'!$A$1:$S$17"),2,FALSE))),"RB",
IF(ISNUMBER(SEARCH("WR",VLOOKUP($A17,INDIRECT("'"&amp;Summary!B$1&amp;"'!$A$1:$S$17"),2,FALSE))),"WR",
IF(ISNUMBER(SEARCH("D/ST",VLOOKUP($A17,INDIRECT("'"&amp;Summary!B$1&amp;"'!$A$1:$S$17"),2,FALSE))),"D/ST",
IF(ISNUMBER(SEARCH("TE",VLOOKUP($A17,INDIRECT("'"&amp;Summary!B$1&amp;"'!$A$1:$S$17"),2,FALSE))),"TE","")))))</f>
        <v>QB</v>
      </c>
      <c r="D17" s="2">
        <f ca="1">IF(C17="","",IF(C17&lt;&gt;"D/ST",VLOOKUP($A17,INDIRECT("'"&amp;Summary!B$1&amp;"'!$A$1:$S$17"),19,FALSE),VLOOKUP($A17,INDIRECT("'"&amp;Summary!B$1&amp;"'!$A$1:$S$17"),12,FALSE)))</f>
        <v>0</v>
      </c>
      <c r="E17" s="2">
        <f t="array" aca="1" ref="E17" ca="1">IF(C17="","",IF(C17&lt;&gt;"D/ST",SUMIF(INDIRECT("'"&amp;Summary!B$1&amp;"'!$A$"&amp;SMALL(IF(INDIRECT("'"&amp;Summary!B$1&amp;"'!$A$1:$A$17")="SLOT",ROW(INDIRECT("'"&amp;Summary!B$1&amp;"'!$A$1:$A$17"))-MIN(ROW(INDIRECT("'"&amp;Summary!B$1&amp;"'!$A$1:$A$17")))+1),1)&amp;":$S$"&amp;SMALL(IF(INDIRECT("'"&amp;Summary!B$1&amp;"'!$A$1:$A$17")="SLOT",ROW(INDIRECT("'"&amp;Summary!B$1&amp;"'!$A$1:$A$17"))-MIN(ROW(INDIRECT("'"&amp;Summary!B$1&amp;"'!$A$1:$A$17")))+1),1)),"TD",INDIRECT("'"&amp;Summary!B$1&amp;"'!$A"&amp;MATCH($A17,INDIRECT("'"&amp;Summary!B$1&amp;"'!$A$1:$A$17"),0)&amp;":$S"&amp;MATCH($A17,INDIRECT("'"&amp;Summary!B$1&amp;"'!$A$1:$A$17"),0))),
SUMIF(INDIRECT("'"&amp;Summary!B$1&amp;"'!$A$"&amp;SMALL(IF(INDIRECT("'"&amp;Summary!B$1&amp;"'!$A$1:$A$17")="SLOT",ROW(INDIRECT("'"&amp;Summary!B$1&amp;"'!$A$1:$A$17"))-MIN(ROW(INDIRECT("'"&amp;Summary!B$1&amp;"'!$A$1:$A$17")))+1),2)&amp;":$S$"&amp;SMALL(IF(INDIRECT("'"&amp;Summary!B$1&amp;"'!$A$1:$A$17")="SLOT",ROW(INDIRECT("'"&amp;Summary!B$1&amp;"'!$A$1:$A$17"))-MIN(ROW(INDIRECT("'"&amp;Summary!B$1&amp;"'!$A$1:$A$17")))+1),2)),"TD",INDIRECT("'"&amp;Summary!B$1&amp;"'!$A"&amp;MATCH($A17,INDIRECT("'"&amp;Summary!B$1&amp;"'!$A$1:$A$17"),0)&amp;":$S"&amp;MATCH($A17,INDIRECT("'"&amp;Summary!B$1&amp;"'!$A$1:$A$17"),0)))))</f>
        <v>0</v>
      </c>
      <c r="F17" s="3">
        <f ca="1">IF(B17="","",IF(D17=0,0,E17*6/D17))</f>
        <v>0</v>
      </c>
      <c r="G17" s="3">
        <f ca="1">IF(B17="","",1-F17)</f>
        <v>1</v>
      </c>
      <c r="H17" s="2" t="str">
        <f ca="1">IF(I17="","",IF(I17="D/ST",MID(VLOOKUP($A17,INDIRECT("'"&amp;Summary!H$1&amp;"'!$A$1:$S$17"),2,FALSE),1,FIND(" ",VLOOKUP($A17,INDIRECT("'"&amp;Summary!H$1&amp;"'!$A$1:$S$17"),2,FALSE))+4),MID(VLOOKUP($A17,INDIRECT("'"&amp;Summary!H$1&amp;"'!$A$1:$S$17"),2,FALSE),1,FIND(",",VLOOKUP($A17,INDIRECT("'"&amp;Summary!H$1&amp;"'!$A$1:$S$17"),2,FALSE))-1)))</f>
        <v>Andrew Luck</v>
      </c>
      <c r="I17" s="2" t="str">
        <f ca="1">IF(ISNUMBER(SEARCH("QB",VLOOKUP($A17,INDIRECT("'"&amp;Summary!H$1&amp;"'!$A$1:$S$17"),2,FALSE))),"QB",
IF(ISNUMBER(SEARCH("RB",VLOOKUP($A17,INDIRECT("'"&amp;Summary!H$1&amp;"'!$A$1:$S$17"),2,FALSE))),"RB",
IF(ISNUMBER(SEARCH("WR",VLOOKUP($A17,INDIRECT("'"&amp;Summary!H$1&amp;"'!$A$1:$S$17"),2,FALSE))),"WR",
IF(ISNUMBER(SEARCH("D/ST",VLOOKUP($A17,INDIRECT("'"&amp;Summary!H$1&amp;"'!$A$1:$S$17"),2,FALSE))),"D/ST",
IF(ISNUMBER(SEARCH("TE",VLOOKUP($A17,INDIRECT("'"&amp;Summary!H$1&amp;"'!$A$1:$S$17"),2,FALSE))),"TE","")))))</f>
        <v>QB</v>
      </c>
      <c r="J17" s="2">
        <f ca="1">IF(I17="","",IF(I17&lt;&gt;"D/ST",VLOOKUP($A17,INDIRECT("'"&amp;Summary!H$1&amp;"'!$A$1:$S$17"),19,FALSE),VLOOKUP($A17,INDIRECT("'"&amp;Summary!H$1&amp;"'!$A$1:$S$17"),12,FALSE)))</f>
        <v>0</v>
      </c>
      <c r="K17" s="2">
        <f t="array" aca="1" ref="K17" ca="1">IF(I17="","",IF(I17&lt;&gt;"D/ST",SUMIF(INDIRECT("'"&amp;Summary!H$1&amp;"'!$A$"&amp;SMALL(IF(INDIRECT("'"&amp;Summary!H$1&amp;"'!$A$1:$A$17")="SLOT",ROW(INDIRECT("'"&amp;Summary!H$1&amp;"'!$A$1:$A$17"))-MIN(ROW(INDIRECT("'"&amp;Summary!H$1&amp;"'!$A$1:$A$17")))+1),1)&amp;":$S$"&amp;SMALL(IF(INDIRECT("'"&amp;Summary!H$1&amp;"'!$A$1:$A$17")="SLOT",ROW(INDIRECT("'"&amp;Summary!H$1&amp;"'!$A$1:$A$17"))-MIN(ROW(INDIRECT("'"&amp;Summary!H$1&amp;"'!$A$1:$A$17")))+1),1)),"TD",INDIRECT("'"&amp;Summary!H$1&amp;"'!$A"&amp;MATCH($A17,INDIRECT("'"&amp;Summary!H$1&amp;"'!$A$1:$A$17"),0)&amp;":$S"&amp;MATCH($A17,INDIRECT("'"&amp;Summary!H$1&amp;"'!$A$1:$A$17"),0))),
SUMIF(INDIRECT("'"&amp;Summary!H$1&amp;"'!$A$"&amp;SMALL(IF(INDIRECT("'"&amp;Summary!H$1&amp;"'!$A$1:$A$17")="SLOT",ROW(INDIRECT("'"&amp;Summary!H$1&amp;"'!$A$1:$A$17"))-MIN(ROW(INDIRECT("'"&amp;Summary!H$1&amp;"'!$A$1:$A$17")))+1),2)&amp;":$S$"&amp;SMALL(IF(INDIRECT("'"&amp;Summary!H$1&amp;"'!$A$1:$A$17")="SLOT",ROW(INDIRECT("'"&amp;Summary!H$1&amp;"'!$A$1:$A$17"))-MIN(ROW(INDIRECT("'"&amp;Summary!H$1&amp;"'!$A$1:$A$17")))+1),2)),"TD",INDIRECT("'"&amp;Summary!H$1&amp;"'!$A"&amp;MATCH($A17,INDIRECT("'"&amp;Summary!H$1&amp;"'!$A$1:$A$17"),0)&amp;":$S"&amp;MATCH($A17,INDIRECT("'"&amp;Summary!H$1&amp;"'!$A$1:$A$17"),0)))))</f>
        <v>0</v>
      </c>
      <c r="L17" s="3">
        <f ca="1">IF(H17="","",IF(J17=0,0,K17*6/J17))</f>
        <v>0</v>
      </c>
      <c r="M17" s="3">
        <f ca="1">IF(H17="","",1-L17)</f>
        <v>1</v>
      </c>
      <c r="N17" s="2" t="str">
        <f ca="1">IF(O17="","",IF(O17="D/ST",MID(VLOOKUP($A17,INDIRECT("'"&amp;Summary!N$1&amp;"'!$A$1:$S$17"),2,FALSE),1,FIND(" ",VLOOKUP($A17,INDIRECT("'"&amp;Summary!N$1&amp;"'!$A$1:$S$17"),2,FALSE))+4),MID(VLOOKUP($A17,INDIRECT("'"&amp;Summary!N$1&amp;"'!$A$1:$S$17"),2,FALSE),1,FIND(",",VLOOKUP($A17,INDIRECT("'"&amp;Summary!N$1&amp;"'!$A$1:$S$17"),2,FALSE))-1)))</f>
        <v>Andrew Luck</v>
      </c>
      <c r="O17" s="2" t="str">
        <f ca="1">IF(ISNUMBER(SEARCH("QB",VLOOKUP($A17,INDIRECT("'"&amp;Summary!N$1&amp;"'!$A$1:$S$17"),2,FALSE))),"QB",
IF(ISNUMBER(SEARCH("RB",VLOOKUP($A17,INDIRECT("'"&amp;Summary!N$1&amp;"'!$A$1:$S$17"),2,FALSE))),"RB",
IF(ISNUMBER(SEARCH("WR",VLOOKUP($A17,INDIRECT("'"&amp;Summary!N$1&amp;"'!$A$1:$S$17"),2,FALSE))),"WR",
IF(ISNUMBER(SEARCH("D/ST",VLOOKUP($A17,INDIRECT("'"&amp;Summary!N$1&amp;"'!$A$1:$S$17"),2,FALSE))),"D/ST",
IF(ISNUMBER(SEARCH("TE",VLOOKUP($A17,INDIRECT("'"&amp;Summary!N$1&amp;"'!$A$1:$S$17"),2,FALSE))),"TE","")))))</f>
        <v>QB</v>
      </c>
      <c r="P17" s="2">
        <f ca="1">IF(O17="","",IF(O17&lt;&gt;"D/ST",VLOOKUP($A17,INDIRECT("'"&amp;Summary!N$1&amp;"'!$A$1:$S$17"),19,FALSE),VLOOKUP($A17,INDIRECT("'"&amp;Summary!N$1&amp;"'!$A$1:$S$17"),12,FALSE)))</f>
        <v>0</v>
      </c>
      <c r="Q17" s="2">
        <f t="array" aca="1" ref="Q17" ca="1">IF(O17="","",IF(O17&lt;&gt;"D/ST",SUMIF(INDIRECT("'"&amp;Summary!N$1&amp;"'!$A$"&amp;SMALL(IF(INDIRECT("'"&amp;Summary!N$1&amp;"'!$A$1:$A$17")="SLOT",ROW(INDIRECT("'"&amp;Summary!N$1&amp;"'!$A$1:$A$17"))-MIN(ROW(INDIRECT("'"&amp;Summary!N$1&amp;"'!$A$1:$A$17")))+1),1)&amp;":$S$"&amp;SMALL(IF(INDIRECT("'"&amp;Summary!N$1&amp;"'!$A$1:$A$17")="SLOT",ROW(INDIRECT("'"&amp;Summary!N$1&amp;"'!$A$1:$A$17"))-MIN(ROW(INDIRECT("'"&amp;Summary!N$1&amp;"'!$A$1:$A$17")))+1),1)),"TD",INDIRECT("'"&amp;Summary!N$1&amp;"'!$A"&amp;MATCH($A17,INDIRECT("'"&amp;Summary!N$1&amp;"'!$A$1:$A$17"),0)&amp;":$S"&amp;MATCH($A17,INDIRECT("'"&amp;Summary!N$1&amp;"'!$A$1:$A$17"),0))),
SUMIF(INDIRECT("'"&amp;Summary!N$1&amp;"'!$A$"&amp;SMALL(IF(INDIRECT("'"&amp;Summary!N$1&amp;"'!$A$1:$A$17")="SLOT",ROW(INDIRECT("'"&amp;Summary!N$1&amp;"'!$A$1:$A$17"))-MIN(ROW(INDIRECT("'"&amp;Summary!N$1&amp;"'!$A$1:$A$17")))+1),2)&amp;":$S$"&amp;SMALL(IF(INDIRECT("'"&amp;Summary!N$1&amp;"'!$A$1:$A$17")="SLOT",ROW(INDIRECT("'"&amp;Summary!N$1&amp;"'!$A$1:$A$17"))-MIN(ROW(INDIRECT("'"&amp;Summary!N$1&amp;"'!$A$1:$A$17")))+1),2)),"TD",INDIRECT("'"&amp;Summary!N$1&amp;"'!$A"&amp;MATCH($A17,INDIRECT("'"&amp;Summary!N$1&amp;"'!$A$1:$A$17"),0)&amp;":$S"&amp;MATCH($A17,INDIRECT("'"&amp;Summary!N$1&amp;"'!$A$1:$A$17"),0)))))</f>
        <v>0</v>
      </c>
      <c r="R17" s="3">
        <f ca="1">IF(N17="","",IF(P17=0,0,Q17*6/P17))</f>
        <v>0</v>
      </c>
      <c r="S17" s="3">
        <f ca="1">IF(N17="","",1-R17)</f>
        <v>1</v>
      </c>
      <c r="T17" s="2" t="str">
        <f ca="1">IF(U17="","",IF(U17="D/ST",MID(VLOOKUP($A17,INDIRECT("'"&amp;Summary!T$1&amp;"'!$A$1:$S$17"),2,FALSE),1,FIND(" ",VLOOKUP($A17,INDIRECT("'"&amp;Summary!T$1&amp;"'!$A$1:$S$17"),2,FALSE))+4),MID(VLOOKUP($A17,INDIRECT("'"&amp;Summary!T$1&amp;"'!$A$1:$S$17"),2,FALSE),1,FIND(",",VLOOKUP($A17,INDIRECT("'"&amp;Summary!T$1&amp;"'!$A$1:$S$17"),2,FALSE))-1)))</f>
        <v>Andrew Luck</v>
      </c>
      <c r="U17" s="2" t="str">
        <f ca="1">IF(ISNUMBER(SEARCH("QB",VLOOKUP($A17,INDIRECT("'"&amp;Summary!T$1&amp;"'!$A$1:$S$17"),2,FALSE))),"QB",
IF(ISNUMBER(SEARCH("RB",VLOOKUP($A17,INDIRECT("'"&amp;Summary!T$1&amp;"'!$A$1:$S$17"),2,FALSE))),"RB",
IF(ISNUMBER(SEARCH("WR",VLOOKUP($A17,INDIRECT("'"&amp;Summary!T$1&amp;"'!$A$1:$S$17"),2,FALSE))),"WR",
IF(ISNUMBER(SEARCH("D/ST",VLOOKUP($A17,INDIRECT("'"&amp;Summary!T$1&amp;"'!$A$1:$S$17"),2,FALSE))),"D/ST",
IF(ISNUMBER(SEARCH("TE",VLOOKUP($A17,INDIRECT("'"&amp;Summary!T$1&amp;"'!$A$1:$S$17"),2,FALSE))),"TE","")))))</f>
        <v>QB</v>
      </c>
      <c r="V17" s="2">
        <f ca="1">IF(U17="","",IF(U17&lt;&gt;"D/ST",VLOOKUP($A17,INDIRECT("'"&amp;Summary!T$1&amp;"'!$A$1:$S$17"),19,FALSE),VLOOKUP($A17,INDIRECT("'"&amp;Summary!T$1&amp;"'!$A$1:$S$17"),12,FALSE)))</f>
        <v>0</v>
      </c>
      <c r="W17" s="2">
        <f t="array" aca="1" ref="W17" ca="1">IF(U17="","",IF(U17&lt;&gt;"D/ST",SUMIF(INDIRECT("'"&amp;Summary!T$1&amp;"'!$A$"&amp;SMALL(IF(INDIRECT("'"&amp;Summary!T$1&amp;"'!$A$1:$A$17")="SLOT",ROW(INDIRECT("'"&amp;Summary!T$1&amp;"'!$A$1:$A$17"))-MIN(ROW(INDIRECT("'"&amp;Summary!T$1&amp;"'!$A$1:$A$17")))+1),1)&amp;":$S$"&amp;SMALL(IF(INDIRECT("'"&amp;Summary!T$1&amp;"'!$A$1:$A$17")="SLOT",ROW(INDIRECT("'"&amp;Summary!T$1&amp;"'!$A$1:$A$17"))-MIN(ROW(INDIRECT("'"&amp;Summary!T$1&amp;"'!$A$1:$A$17")))+1),1)),"TD",INDIRECT("'"&amp;Summary!T$1&amp;"'!$A"&amp;MATCH($A17,INDIRECT("'"&amp;Summary!T$1&amp;"'!$A$1:$A$17"),0)&amp;":$S"&amp;MATCH($A17,INDIRECT("'"&amp;Summary!T$1&amp;"'!$A$1:$A$17"),0))),
SUMIF(INDIRECT("'"&amp;Summary!T$1&amp;"'!$A$"&amp;SMALL(IF(INDIRECT("'"&amp;Summary!T$1&amp;"'!$A$1:$A$17")="SLOT",ROW(INDIRECT("'"&amp;Summary!T$1&amp;"'!$A$1:$A$17"))-MIN(ROW(INDIRECT("'"&amp;Summary!T$1&amp;"'!$A$1:$A$17")))+1),2)&amp;":$S$"&amp;SMALL(IF(INDIRECT("'"&amp;Summary!T$1&amp;"'!$A$1:$A$17")="SLOT",ROW(INDIRECT("'"&amp;Summary!T$1&amp;"'!$A$1:$A$17"))-MIN(ROW(INDIRECT("'"&amp;Summary!T$1&amp;"'!$A$1:$A$17")))+1),2)),"TD",INDIRECT("'"&amp;Summary!T$1&amp;"'!$A"&amp;MATCH($A17,INDIRECT("'"&amp;Summary!T$1&amp;"'!$A$1:$A$17"),0)&amp;":$S"&amp;MATCH($A17,INDIRECT("'"&amp;Summary!T$1&amp;"'!$A$1:$A$17"),0)))))</f>
        <v>0</v>
      </c>
      <c r="X17" s="3">
        <f ca="1">IF(T17="","",IF(V17=0,0,W17*6/V17))</f>
        <v>0</v>
      </c>
      <c r="Y17" s="3">
        <f ca="1">IF(T17="","",1-X17)</f>
        <v>1</v>
      </c>
      <c r="Z17" s="2" t="str">
        <f ca="1">IF(AA17="","",IF(AA17="D/ST",MID(VLOOKUP($A17,INDIRECT("'"&amp;Summary!Z$1&amp;"'!$A$1:$S$17"),2,FALSE),1,FIND(" ",VLOOKUP($A17,INDIRECT("'"&amp;Summary!Z$1&amp;"'!$A$1:$S$17"),2,FALSE))+4),MID(VLOOKUP($A17,INDIRECT("'"&amp;Summary!Z$1&amp;"'!$A$1:$S$17"),2,FALSE),1,FIND(",",VLOOKUP($A17,INDIRECT("'"&amp;Summary!Z$1&amp;"'!$A$1:$S$17"),2,FALSE))-1)))</f>
        <v>Andrew Luck</v>
      </c>
      <c r="AA17" s="2" t="str">
        <f ca="1">IF(ISNUMBER(SEARCH("QB",VLOOKUP($A17,INDIRECT("'"&amp;Summary!Z$1&amp;"'!$A$1:$S$17"),2,FALSE))),"QB",
IF(ISNUMBER(SEARCH("RB",VLOOKUP($A17,INDIRECT("'"&amp;Summary!Z$1&amp;"'!$A$1:$S$17"),2,FALSE))),"RB",
IF(ISNUMBER(SEARCH("WR",VLOOKUP($A17,INDIRECT("'"&amp;Summary!Z$1&amp;"'!$A$1:$S$17"),2,FALSE))),"WR",
IF(ISNUMBER(SEARCH("D/ST",VLOOKUP($A17,INDIRECT("'"&amp;Summary!Z$1&amp;"'!$A$1:$S$17"),2,FALSE))),"D/ST",
IF(ISNUMBER(SEARCH("TE",VLOOKUP($A17,INDIRECT("'"&amp;Summary!Z$1&amp;"'!$A$1:$S$17"),2,FALSE))),"TE","")))))</f>
        <v>QB</v>
      </c>
      <c r="AB17" s="2">
        <f ca="1">IF(AA17="","",IF(AA17&lt;&gt;"D/ST",VLOOKUP($A17,INDIRECT("'"&amp;Summary!Z$1&amp;"'!$A$1:$S$17"),19,FALSE),VLOOKUP($A17,INDIRECT("'"&amp;Summary!Z$1&amp;"'!$A$1:$S$17"),12,FALSE)))</f>
        <v>0</v>
      </c>
      <c r="AC17" s="2">
        <f t="array" aca="1" ref="AC17" ca="1">IF(AA17="","",IF(AA17&lt;&gt;"D/ST",SUMIF(INDIRECT("'"&amp;Summary!Z$1&amp;"'!$A$"&amp;SMALL(IF(INDIRECT("'"&amp;Summary!Z$1&amp;"'!$A$1:$A$17")="SLOT",ROW(INDIRECT("'"&amp;Summary!Z$1&amp;"'!$A$1:$A$17"))-MIN(ROW(INDIRECT("'"&amp;Summary!Z$1&amp;"'!$A$1:$A$17")))+1),1)&amp;":$S$"&amp;SMALL(IF(INDIRECT("'"&amp;Summary!Z$1&amp;"'!$A$1:$A$17")="SLOT",ROW(INDIRECT("'"&amp;Summary!Z$1&amp;"'!$A$1:$A$17"))-MIN(ROW(INDIRECT("'"&amp;Summary!Z$1&amp;"'!$A$1:$A$17")))+1),1)),"TD",INDIRECT("'"&amp;Summary!Z$1&amp;"'!$A"&amp;MATCH($A17,INDIRECT("'"&amp;Summary!Z$1&amp;"'!$A$1:$A$17"),0)&amp;":$S"&amp;MATCH($A17,INDIRECT("'"&amp;Summary!Z$1&amp;"'!$A$1:$A$17"),0))),
SUMIF(INDIRECT("'"&amp;Summary!Z$1&amp;"'!$A$"&amp;SMALL(IF(INDIRECT("'"&amp;Summary!Z$1&amp;"'!$A$1:$A$17")="SLOT",ROW(INDIRECT("'"&amp;Summary!Z$1&amp;"'!$A$1:$A$17"))-MIN(ROW(INDIRECT("'"&amp;Summary!Z$1&amp;"'!$A$1:$A$17")))+1),2)&amp;":$S$"&amp;SMALL(IF(INDIRECT("'"&amp;Summary!Z$1&amp;"'!$A$1:$A$17")="SLOT",ROW(INDIRECT("'"&amp;Summary!Z$1&amp;"'!$A$1:$A$17"))-MIN(ROW(INDIRECT("'"&amp;Summary!Z$1&amp;"'!$A$1:$A$17")))+1),2)),"TD",INDIRECT("'"&amp;Summary!Z$1&amp;"'!$A"&amp;MATCH($A17,INDIRECT("'"&amp;Summary!Z$1&amp;"'!$A$1:$A$17"),0)&amp;":$S"&amp;MATCH($A17,INDIRECT("'"&amp;Summary!Z$1&amp;"'!$A$1:$A$17"),0)))))</f>
        <v>0</v>
      </c>
      <c r="AD17" s="3">
        <f ca="1">IF(Z17="","",IF(AB17=0,0,AC17*6/AB17))</f>
        <v>0</v>
      </c>
      <c r="AE17" s="3">
        <f ca="1">IF(Z17="","",1-AD17)</f>
        <v>1</v>
      </c>
      <c r="AF17" s="2" t="str">
        <f ca="1">IF(AG17="","",IF(AG17="D/ST",MID(VLOOKUP($A17,INDIRECT("'"&amp;Summary!AF$1&amp;"'!$A$1:$S$17"),2,FALSE),1,FIND(" ",VLOOKUP($A17,INDIRECT("'"&amp;Summary!AF$1&amp;"'!$A$1:$S$17"),2,FALSE))+4),MID(VLOOKUP($A17,INDIRECT("'"&amp;Summary!AF$1&amp;"'!$A$1:$S$17"),2,FALSE),1,FIND(",",VLOOKUP($A17,INDIRECT("'"&amp;Summary!AF$1&amp;"'!$A$1:$S$17"),2,FALSE))-1)))</f>
        <v>Andrew Luck</v>
      </c>
      <c r="AG17" s="2" t="str">
        <f ca="1">IF(ISNUMBER(SEARCH("QB",VLOOKUP($A17,INDIRECT("'"&amp;Summary!AF$1&amp;"'!$A$1:$S$17"),2,FALSE))),"QB",
IF(ISNUMBER(SEARCH("RB",VLOOKUP($A17,INDIRECT("'"&amp;Summary!AF$1&amp;"'!$A$1:$S$17"),2,FALSE))),"RB",
IF(ISNUMBER(SEARCH("WR",VLOOKUP($A17,INDIRECT("'"&amp;Summary!AF$1&amp;"'!$A$1:$S$17"),2,FALSE))),"WR",
IF(ISNUMBER(SEARCH("D/ST",VLOOKUP($A17,INDIRECT("'"&amp;Summary!AF$1&amp;"'!$A$1:$S$17"),2,FALSE))),"D/ST",
IF(ISNUMBER(SEARCH("TE",VLOOKUP($A17,INDIRECT("'"&amp;Summary!AF$1&amp;"'!$A$1:$S$17"),2,FALSE))),"TE","")))))</f>
        <v>QB</v>
      </c>
      <c r="AH17" s="2">
        <f ca="1">IF(AG17="","",IF(AG17&lt;&gt;"D/ST",VLOOKUP($A17,INDIRECT("'"&amp;Summary!AF$1&amp;"'!$A$1:$S$17"),19,FALSE),VLOOKUP($A17,INDIRECT("'"&amp;Summary!AF$1&amp;"'!$A$1:$S$17"),12,FALSE)))</f>
        <v>0</v>
      </c>
      <c r="AI17" s="2">
        <f t="array" aca="1" ref="AI17" ca="1">IF(AG17="","",IF(AG17&lt;&gt;"D/ST",SUMIF(INDIRECT("'"&amp;Summary!AF$1&amp;"'!$A$"&amp;SMALL(IF(INDIRECT("'"&amp;Summary!AF$1&amp;"'!$A$1:$A$17")="SLOT",ROW(INDIRECT("'"&amp;Summary!AF$1&amp;"'!$A$1:$A$17"))-MIN(ROW(INDIRECT("'"&amp;Summary!AF$1&amp;"'!$A$1:$A$17")))+1),1)&amp;":$S$"&amp;SMALL(IF(INDIRECT("'"&amp;Summary!AF$1&amp;"'!$A$1:$A$17")="SLOT",ROW(INDIRECT("'"&amp;Summary!AF$1&amp;"'!$A$1:$A$17"))-MIN(ROW(INDIRECT("'"&amp;Summary!AF$1&amp;"'!$A$1:$A$17")))+1),1)),"TD",INDIRECT("'"&amp;Summary!AF$1&amp;"'!$A"&amp;MATCH($A17,INDIRECT("'"&amp;Summary!AF$1&amp;"'!$A$1:$A$17"),0)&amp;":$S"&amp;MATCH($A17,INDIRECT("'"&amp;Summary!AF$1&amp;"'!$A$1:$A$17"),0))),
SUMIF(INDIRECT("'"&amp;Summary!AF$1&amp;"'!$A$"&amp;SMALL(IF(INDIRECT("'"&amp;Summary!AF$1&amp;"'!$A$1:$A$17")="SLOT",ROW(INDIRECT("'"&amp;Summary!AF$1&amp;"'!$A$1:$A$17"))-MIN(ROW(INDIRECT("'"&amp;Summary!AF$1&amp;"'!$A$1:$A$17")))+1),2)&amp;":$S$"&amp;SMALL(IF(INDIRECT("'"&amp;Summary!AF$1&amp;"'!$A$1:$A$17")="SLOT",ROW(INDIRECT("'"&amp;Summary!AF$1&amp;"'!$A$1:$A$17"))-MIN(ROW(INDIRECT("'"&amp;Summary!AF$1&amp;"'!$A$1:$A$17")))+1),2)),"TD",INDIRECT("'"&amp;Summary!AF$1&amp;"'!$A"&amp;MATCH($A17,INDIRECT("'"&amp;Summary!AF$1&amp;"'!$A$1:$A$17"),0)&amp;":$S"&amp;MATCH($A17,INDIRECT("'"&amp;Summary!AF$1&amp;"'!$A$1:$A$17"),0)))))</f>
        <v>0</v>
      </c>
      <c r="AJ17" s="3">
        <f ca="1">IF(AF17="","",IF(AH17=0,0,AI17*6/AH17))</f>
        <v>0</v>
      </c>
      <c r="AK17" s="3">
        <f ca="1">IF(AF17="","",1-AJ17)</f>
        <v>1</v>
      </c>
      <c r="AL17" s="2" t="str">
        <f ca="1">IF(AM17="","",IF(AM17="D/ST",MID(VLOOKUP($A17,INDIRECT("'"&amp;Summary!AL$1&amp;"'!$A$1:$S$17"),2,FALSE),1,FIND(" ",VLOOKUP($A17,INDIRECT("'"&amp;Summary!AL$1&amp;"'!$A$1:$S$17"),2,FALSE))+4),MID(VLOOKUP($A17,INDIRECT("'"&amp;Summary!AL$1&amp;"'!$A$1:$S$17"),2,FALSE),1,FIND(",",VLOOKUP($A17,INDIRECT("'"&amp;Summary!AL$1&amp;"'!$A$1:$S$17"),2,FALSE))-1)))</f>
        <v>Andrew Luck</v>
      </c>
      <c r="AM17" s="2" t="str">
        <f ca="1">IF(ISNUMBER(SEARCH("QB",VLOOKUP($A17,INDIRECT("'"&amp;Summary!AL$1&amp;"'!$A$1:$S$17"),2,FALSE))),"QB",
IF(ISNUMBER(SEARCH("RB",VLOOKUP($A17,INDIRECT("'"&amp;Summary!AL$1&amp;"'!$A$1:$S$17"),2,FALSE))),"RB",
IF(ISNUMBER(SEARCH("WR",VLOOKUP($A17,INDIRECT("'"&amp;Summary!AL$1&amp;"'!$A$1:$S$17"),2,FALSE))),"WR",
IF(ISNUMBER(SEARCH("D/ST",VLOOKUP($A17,INDIRECT("'"&amp;Summary!AL$1&amp;"'!$A$1:$S$17"),2,FALSE))),"D/ST",
IF(ISNUMBER(SEARCH("TE",VLOOKUP($A17,INDIRECT("'"&amp;Summary!AL$1&amp;"'!$A$1:$S$17"),2,FALSE))),"TE","")))))</f>
        <v>QB</v>
      </c>
      <c r="AN17" s="2">
        <f ca="1">IF(AM17="","",IF(AM17&lt;&gt;"D/ST",VLOOKUP($A17,INDIRECT("'"&amp;Summary!AL$1&amp;"'!$A$1:$S$17"),19,FALSE),VLOOKUP($A17,INDIRECT("'"&amp;Summary!AL$1&amp;"'!$A$1:$S$17"),12,FALSE)))</f>
        <v>0</v>
      </c>
      <c r="AO17" s="2">
        <f t="array" aca="1" ref="AO17" ca="1">IF(AM17="","",IF(AM17&lt;&gt;"D/ST",SUMIF(INDIRECT("'"&amp;Summary!AL$1&amp;"'!$A$"&amp;SMALL(IF(INDIRECT("'"&amp;Summary!AL$1&amp;"'!$A$1:$A$17")="SLOT",ROW(INDIRECT("'"&amp;Summary!AL$1&amp;"'!$A$1:$A$17"))-MIN(ROW(INDIRECT("'"&amp;Summary!AL$1&amp;"'!$A$1:$A$17")))+1),1)&amp;":$S$"&amp;SMALL(IF(INDIRECT("'"&amp;Summary!AL$1&amp;"'!$A$1:$A$17")="SLOT",ROW(INDIRECT("'"&amp;Summary!AL$1&amp;"'!$A$1:$A$17"))-MIN(ROW(INDIRECT("'"&amp;Summary!AL$1&amp;"'!$A$1:$A$17")))+1),1)),"TD",INDIRECT("'"&amp;Summary!AL$1&amp;"'!$A"&amp;MATCH($A17,INDIRECT("'"&amp;Summary!AL$1&amp;"'!$A$1:$A$17"),0)&amp;":$S"&amp;MATCH($A17,INDIRECT("'"&amp;Summary!AL$1&amp;"'!$A$1:$A$17"),0))),
SUMIF(INDIRECT("'"&amp;Summary!AL$1&amp;"'!$A$"&amp;SMALL(IF(INDIRECT("'"&amp;Summary!AL$1&amp;"'!$A$1:$A$17")="SLOT",ROW(INDIRECT("'"&amp;Summary!AL$1&amp;"'!$A$1:$A$17"))-MIN(ROW(INDIRECT("'"&amp;Summary!AL$1&amp;"'!$A$1:$A$17")))+1),2)&amp;":$S$"&amp;SMALL(IF(INDIRECT("'"&amp;Summary!AL$1&amp;"'!$A$1:$A$17")="SLOT",ROW(INDIRECT("'"&amp;Summary!AL$1&amp;"'!$A$1:$A$17"))-MIN(ROW(INDIRECT("'"&amp;Summary!AL$1&amp;"'!$A$1:$A$17")))+1),2)),"TD",INDIRECT("'"&amp;Summary!AL$1&amp;"'!$A"&amp;MATCH($A17,INDIRECT("'"&amp;Summary!AL$1&amp;"'!$A$1:$A$17"),0)&amp;":$S"&amp;MATCH($A17,INDIRECT("'"&amp;Summary!AL$1&amp;"'!$A$1:$A$17"),0)))))</f>
        <v>0</v>
      </c>
      <c r="AP17" s="3">
        <f ca="1">IF(AL17="","",IF(AN17=0,0,AO17*6/AN17))</f>
        <v>0</v>
      </c>
      <c r="AQ17" s="3">
        <f ca="1">IF(AL17="","",1-AP17)</f>
        <v>1</v>
      </c>
      <c r="AR17" s="2" t="str">
        <f ca="1">IF(AS17="","",IF(AS17="D/ST",MID(VLOOKUP($A17,INDIRECT("'"&amp;Summary!AR$1&amp;"'!$A$1:$S$17"),2,FALSE),1,FIND(" ",VLOOKUP($A17,INDIRECT("'"&amp;Summary!AR$1&amp;"'!$A$1:$S$17"),2,FALSE))+4),MID(VLOOKUP($A17,INDIRECT("'"&amp;Summary!AR$1&amp;"'!$A$1:$S$17"),2,FALSE),1,FIND(",",VLOOKUP($A17,INDIRECT("'"&amp;Summary!AR$1&amp;"'!$A$1:$S$17"),2,FALSE))-1)))</f>
        <v>Charles Clay</v>
      </c>
      <c r="AS17" s="2" t="str">
        <f ca="1">IF(ISNUMBER(SEARCH("QB",VLOOKUP($A17,INDIRECT("'"&amp;Summary!AR$1&amp;"'!$A$1:$S$17"),2,FALSE))),"QB",
IF(ISNUMBER(SEARCH("RB",VLOOKUP($A17,INDIRECT("'"&amp;Summary!AR$1&amp;"'!$A$1:$S$17"),2,FALSE))),"RB",
IF(ISNUMBER(SEARCH("WR",VLOOKUP($A17,INDIRECT("'"&amp;Summary!AR$1&amp;"'!$A$1:$S$17"),2,FALSE))),"WR",
IF(ISNUMBER(SEARCH("D/ST",VLOOKUP($A17,INDIRECT("'"&amp;Summary!AR$1&amp;"'!$A$1:$S$17"),2,FALSE))),"D/ST",
IF(ISNUMBER(SEARCH("TE",VLOOKUP($A17,INDIRECT("'"&amp;Summary!AR$1&amp;"'!$A$1:$S$17"),2,FALSE))),"TE","")))))</f>
        <v>TE</v>
      </c>
      <c r="AT17" s="2">
        <f ca="1">IF(AS17="","",IF(AS17&lt;&gt;"D/ST",VLOOKUP($A17,INDIRECT("'"&amp;Summary!AR$1&amp;"'!$A$1:$S$17"),19,FALSE),VLOOKUP($A17,INDIRECT("'"&amp;Summary!AR$1&amp;"'!$A$1:$S$17"),12,FALSE)))</f>
        <v>0</v>
      </c>
      <c r="AU17" s="2">
        <f t="array" aca="1" ref="AU17" ca="1">IF(AS17="","",IF(AS17&lt;&gt;"D/ST",SUMIF(INDIRECT("'"&amp;Summary!AR$1&amp;"'!$A$"&amp;SMALL(IF(INDIRECT("'"&amp;Summary!AR$1&amp;"'!$A$1:$A$17")="SLOT",ROW(INDIRECT("'"&amp;Summary!AR$1&amp;"'!$A$1:$A$17"))-MIN(ROW(INDIRECT("'"&amp;Summary!AR$1&amp;"'!$A$1:$A$17")))+1),1)&amp;":$S$"&amp;SMALL(IF(INDIRECT("'"&amp;Summary!AR$1&amp;"'!$A$1:$A$17")="SLOT",ROW(INDIRECT("'"&amp;Summary!AR$1&amp;"'!$A$1:$A$17"))-MIN(ROW(INDIRECT("'"&amp;Summary!AR$1&amp;"'!$A$1:$A$17")))+1),1)),"TD",INDIRECT("'"&amp;Summary!AR$1&amp;"'!$A"&amp;MATCH($A17,INDIRECT("'"&amp;Summary!AR$1&amp;"'!$A$1:$A$17"),0)&amp;":$S"&amp;MATCH($A17,INDIRECT("'"&amp;Summary!AR$1&amp;"'!$A$1:$A$17"),0))),
SUMIF(INDIRECT("'"&amp;Summary!AR$1&amp;"'!$A$"&amp;SMALL(IF(INDIRECT("'"&amp;Summary!AR$1&amp;"'!$A$1:$A$17")="SLOT",ROW(INDIRECT("'"&amp;Summary!AR$1&amp;"'!$A$1:$A$17"))-MIN(ROW(INDIRECT("'"&amp;Summary!AR$1&amp;"'!$A$1:$A$17")))+1),2)&amp;":$S$"&amp;SMALL(IF(INDIRECT("'"&amp;Summary!AR$1&amp;"'!$A$1:$A$17")="SLOT",ROW(INDIRECT("'"&amp;Summary!AR$1&amp;"'!$A$1:$A$17"))-MIN(ROW(INDIRECT("'"&amp;Summary!AR$1&amp;"'!$A$1:$A$17")))+1),2)),"TD",INDIRECT("'"&amp;Summary!AR$1&amp;"'!$A"&amp;MATCH($A17,INDIRECT("'"&amp;Summary!AR$1&amp;"'!$A$1:$A$17"),0)&amp;":$S"&amp;MATCH($A17,INDIRECT("'"&amp;Summary!AR$1&amp;"'!$A$1:$A$17"),0)))))</f>
        <v>0</v>
      </c>
      <c r="AV17" s="3">
        <f ca="1">IF(AR17="","",IF(AT17=0,0,AU17*6/AT17))</f>
        <v>0</v>
      </c>
      <c r="AW17" s="3">
        <f ca="1">IF(AR17="","",1-AV17)</f>
        <v>1</v>
      </c>
      <c r="AX17" s="2" t="str">
        <f ca="1">IF(AY17="","",IF(AY17="D/ST",MID(VLOOKUP($A17,INDIRECT("'"&amp;Summary!AX$1&amp;"'!$A$1:$S$17"),2,FALSE),1,FIND(" ",VLOOKUP($A17,INDIRECT("'"&amp;Summary!AX$1&amp;"'!$A$1:$S$17"),2,FALSE))+4),MID(VLOOKUP($A17,INDIRECT("'"&amp;Summary!AX$1&amp;"'!$A$1:$S$17"),2,FALSE),1,FIND(",",VLOOKUP($A17,INDIRECT("'"&amp;Summary!AX$1&amp;"'!$A$1:$S$17"),2,FALSE))-1)))</f>
        <v/>
      </c>
      <c r="AY17" s="2" t="str">
        <f ca="1">IF(ISNUMBER(SEARCH("QB",VLOOKUP($A17,INDIRECT("'"&amp;Summary!AX$1&amp;"'!$A$1:$S$17"),2,FALSE))),"QB",
IF(ISNUMBER(SEARCH("RB",VLOOKUP($A17,INDIRECT("'"&amp;Summary!AX$1&amp;"'!$A$1:$S$17"),2,FALSE))),"RB",
IF(ISNUMBER(SEARCH("WR",VLOOKUP($A17,INDIRECT("'"&amp;Summary!AX$1&amp;"'!$A$1:$S$17"),2,FALSE))),"WR",
IF(ISNUMBER(SEARCH("D/ST",VLOOKUP($A17,INDIRECT("'"&amp;Summary!AX$1&amp;"'!$A$1:$S$17"),2,FALSE))),"D/ST",
IF(ISNUMBER(SEARCH("TE",VLOOKUP($A17,INDIRECT("'"&amp;Summary!AX$1&amp;"'!$A$1:$S$17"),2,FALSE))),"TE","")))))</f>
        <v/>
      </c>
      <c r="AZ17" s="2" t="str">
        <f ca="1">IF(AY17="","",IF(AY17&lt;&gt;"D/ST",VLOOKUP($A17,INDIRECT("'"&amp;Summary!AX$1&amp;"'!$A$1:$S$17"),19,FALSE),VLOOKUP($A17,INDIRECT("'"&amp;Summary!AX$1&amp;"'!$A$1:$S$17"),12,FALSE)))</f>
        <v/>
      </c>
      <c r="BA17" s="2" t="str">
        <f t="array" aca="1" ref="BA17" ca="1">IF(AY17="","",IF(AY17&lt;&gt;"D/ST",SUMIF(INDIRECT("'"&amp;Summary!AX$1&amp;"'!$A$"&amp;SMALL(IF(INDIRECT("'"&amp;Summary!AX$1&amp;"'!$A$1:$A$17")="SLOT",ROW(INDIRECT("'"&amp;Summary!AX$1&amp;"'!$A$1:$A$17"))-MIN(ROW(INDIRECT("'"&amp;Summary!AX$1&amp;"'!$A$1:$A$17")))+1),1)&amp;":$S$"&amp;SMALL(IF(INDIRECT("'"&amp;Summary!AX$1&amp;"'!$A$1:$A$17")="SLOT",ROW(INDIRECT("'"&amp;Summary!AX$1&amp;"'!$A$1:$A$17"))-MIN(ROW(INDIRECT("'"&amp;Summary!AX$1&amp;"'!$A$1:$A$17")))+1),1)),"TD",INDIRECT("'"&amp;Summary!AX$1&amp;"'!$A"&amp;MATCH($A17,INDIRECT("'"&amp;Summary!AX$1&amp;"'!$A$1:$A$17"),0)&amp;":$S"&amp;MATCH($A17,INDIRECT("'"&amp;Summary!AX$1&amp;"'!$A$1:$A$17"),0))),
SUMIF(INDIRECT("'"&amp;Summary!AX$1&amp;"'!$A$"&amp;SMALL(IF(INDIRECT("'"&amp;Summary!AX$1&amp;"'!$A$1:$A$17")="SLOT",ROW(INDIRECT("'"&amp;Summary!AX$1&amp;"'!$A$1:$A$17"))-MIN(ROW(INDIRECT("'"&amp;Summary!AX$1&amp;"'!$A$1:$A$17")))+1),2)&amp;":$S$"&amp;SMALL(IF(INDIRECT("'"&amp;Summary!AX$1&amp;"'!$A$1:$A$17")="SLOT",ROW(INDIRECT("'"&amp;Summary!AX$1&amp;"'!$A$1:$A$17"))-MIN(ROW(INDIRECT("'"&amp;Summary!AX$1&amp;"'!$A$1:$A$17")))+1),2)),"TD",INDIRECT("'"&amp;Summary!AX$1&amp;"'!$A"&amp;MATCH($A17,INDIRECT("'"&amp;Summary!AX$1&amp;"'!$A$1:$A$17"),0)&amp;":$S"&amp;MATCH($A17,INDIRECT("'"&amp;Summary!AX$1&amp;"'!$A$1:$A$17"),0)))))</f>
        <v/>
      </c>
      <c r="BB17" s="3" t="str">
        <f ca="1">IF(AX17="","",IF(AZ17=0,0,BA17*6/AZ17))</f>
        <v/>
      </c>
      <c r="BC17" s="3" t="str">
        <f ca="1">IF(AX17="","",1-BB17)</f>
        <v/>
      </c>
      <c r="BD17" s="2" t="str">
        <f ca="1">IF(BE17="","",IF(BE17="D/ST",MID(VLOOKUP($A17,INDIRECT("'"&amp;Summary!BD$1&amp;"'!$A$1:$S$17"),2,FALSE),1,FIND(" ",VLOOKUP($A17,INDIRECT("'"&amp;Summary!BD$1&amp;"'!$A$1:$S$17"),2,FALSE))+4),MID(VLOOKUP($A17,INDIRECT("'"&amp;Summary!BD$1&amp;"'!$A$1:$S$17"),2,FALSE),1,FIND(",",VLOOKUP($A17,INDIRECT("'"&amp;Summary!BD$1&amp;"'!$A$1:$S$17"),2,FALSE))-1)))</f>
        <v>Greg Olsen</v>
      </c>
      <c r="BE17" s="2" t="str">
        <f ca="1">IF(ISNUMBER(SEARCH("QB",VLOOKUP($A17,INDIRECT("'"&amp;Summary!BD$1&amp;"'!$A$1:$S$17"),2,FALSE))),"QB",
IF(ISNUMBER(SEARCH("RB",VLOOKUP($A17,INDIRECT("'"&amp;Summary!BD$1&amp;"'!$A$1:$S$17"),2,FALSE))),"RB",
IF(ISNUMBER(SEARCH("WR",VLOOKUP($A17,INDIRECT("'"&amp;Summary!BD$1&amp;"'!$A$1:$S$17"),2,FALSE))),"WR",
IF(ISNUMBER(SEARCH("D/ST",VLOOKUP($A17,INDIRECT("'"&amp;Summary!BD$1&amp;"'!$A$1:$S$17"),2,FALSE))),"D/ST",
IF(ISNUMBER(SEARCH("TE",VLOOKUP($A17,INDIRECT("'"&amp;Summary!BD$1&amp;"'!$A$1:$S$17"),2,FALSE))),"TE","")))))</f>
        <v>TE</v>
      </c>
      <c r="BF17" s="2">
        <f ca="1">IF(BE17="","",IF(BE17&lt;&gt;"D/ST",VLOOKUP($A17,INDIRECT("'"&amp;Summary!BD$1&amp;"'!$A$1:$S$17"),19,FALSE),VLOOKUP($A17,INDIRECT("'"&amp;Summary!BD$1&amp;"'!$A$1:$S$17"),12,FALSE)))</f>
        <v>0</v>
      </c>
      <c r="BG17" s="2">
        <f t="array" aca="1" ref="BG17" ca="1">IF(BE17="","",IF(BE17&lt;&gt;"D/ST",SUMIF(INDIRECT("'"&amp;Summary!BD$1&amp;"'!$A$"&amp;SMALL(IF(INDIRECT("'"&amp;Summary!BD$1&amp;"'!$A$1:$A$17")="SLOT",ROW(INDIRECT("'"&amp;Summary!BD$1&amp;"'!$A$1:$A$17"))-MIN(ROW(INDIRECT("'"&amp;Summary!BD$1&amp;"'!$A$1:$A$17")))+1),1)&amp;":$S$"&amp;SMALL(IF(INDIRECT("'"&amp;Summary!BD$1&amp;"'!$A$1:$A$17")="SLOT",ROW(INDIRECT("'"&amp;Summary!BD$1&amp;"'!$A$1:$A$17"))-MIN(ROW(INDIRECT("'"&amp;Summary!BD$1&amp;"'!$A$1:$A$17")))+1),1)),"TD",INDIRECT("'"&amp;Summary!BD$1&amp;"'!$A"&amp;MATCH($A17,INDIRECT("'"&amp;Summary!BD$1&amp;"'!$A$1:$A$17"),0)&amp;":$S"&amp;MATCH($A17,INDIRECT("'"&amp;Summary!BD$1&amp;"'!$A$1:$A$17"),0))),
SUMIF(INDIRECT("'"&amp;Summary!BD$1&amp;"'!$A$"&amp;SMALL(IF(INDIRECT("'"&amp;Summary!BD$1&amp;"'!$A$1:$A$17")="SLOT",ROW(INDIRECT("'"&amp;Summary!BD$1&amp;"'!$A$1:$A$17"))-MIN(ROW(INDIRECT("'"&amp;Summary!BD$1&amp;"'!$A$1:$A$17")))+1),2)&amp;":$S$"&amp;SMALL(IF(INDIRECT("'"&amp;Summary!BD$1&amp;"'!$A$1:$A$17")="SLOT",ROW(INDIRECT("'"&amp;Summary!BD$1&amp;"'!$A$1:$A$17"))-MIN(ROW(INDIRECT("'"&amp;Summary!BD$1&amp;"'!$A$1:$A$17")))+1),2)),"TD",INDIRECT("'"&amp;Summary!BD$1&amp;"'!$A"&amp;MATCH($A17,INDIRECT("'"&amp;Summary!BD$1&amp;"'!$A$1:$A$17"),0)&amp;":$S"&amp;MATCH($A17,INDIRECT("'"&amp;Summary!BD$1&amp;"'!$A$1:$A$17"),0)))))</f>
        <v>0</v>
      </c>
      <c r="BH17" s="3">
        <f ca="1">IF(BD17="","",IF(BF17=0,0,BG17*6/BF17))</f>
        <v>0</v>
      </c>
      <c r="BI17" s="3">
        <f ca="1">IF(BD17="","",1-BH17)</f>
        <v>1</v>
      </c>
      <c r="BJ17" s="2" t="str">
        <f ca="1">IF(BK17="","",IF(BK17="D/ST",MID(VLOOKUP($A17,INDIRECT("'"&amp;Summary!BJ$1&amp;"'!$A$1:$S$17"),2,FALSE),1,FIND(" ",VLOOKUP($A17,INDIRECT("'"&amp;Summary!BJ$1&amp;"'!$A$1:$S$17"),2,FALSE))+4),MID(VLOOKUP($A17,INDIRECT("'"&amp;Summary!BJ$1&amp;"'!$A$1:$S$17"),2,FALSE),1,FIND(",",VLOOKUP($A17,INDIRECT("'"&amp;Summary!BJ$1&amp;"'!$A$1:$S$17"),2,FALSE))-1)))</f>
        <v>Greg Olsen</v>
      </c>
      <c r="BK17" s="2" t="str">
        <f ca="1">IF(ISNUMBER(SEARCH("QB",VLOOKUP($A17,INDIRECT("'"&amp;Summary!BJ$1&amp;"'!$A$1:$S$17"),2,FALSE))),"QB",
IF(ISNUMBER(SEARCH("RB",VLOOKUP($A17,INDIRECT("'"&amp;Summary!BJ$1&amp;"'!$A$1:$S$17"),2,FALSE))),"RB",
IF(ISNUMBER(SEARCH("WR",VLOOKUP($A17,INDIRECT("'"&amp;Summary!BJ$1&amp;"'!$A$1:$S$17"),2,FALSE))),"WR",
IF(ISNUMBER(SEARCH("D/ST",VLOOKUP($A17,INDIRECT("'"&amp;Summary!BJ$1&amp;"'!$A$1:$S$17"),2,FALSE))),"D/ST",
IF(ISNUMBER(SEARCH("TE",VLOOKUP($A17,INDIRECT("'"&amp;Summary!BJ$1&amp;"'!$A$1:$S$17"),2,FALSE))),"TE","")))))</f>
        <v>TE</v>
      </c>
      <c r="BL17" s="2">
        <f ca="1">IF(BK17="","",IF(BK17&lt;&gt;"D/ST",VLOOKUP($A17,INDIRECT("'"&amp;Summary!BJ$1&amp;"'!$A$1:$S$17"),19,FALSE),VLOOKUP($A17,INDIRECT("'"&amp;Summary!BJ$1&amp;"'!$A$1:$S$17"),12,FALSE)))</f>
        <v>0</v>
      </c>
      <c r="BM17" s="2">
        <f t="array" aca="1" ref="BM17" ca="1">IF(BK17="","",IF(BK17&lt;&gt;"D/ST",SUMIF(INDIRECT("'"&amp;Summary!BJ$1&amp;"'!$A$"&amp;SMALL(IF(INDIRECT("'"&amp;Summary!BJ$1&amp;"'!$A$1:$A$17")="SLOT",ROW(INDIRECT("'"&amp;Summary!BJ$1&amp;"'!$A$1:$A$17"))-MIN(ROW(INDIRECT("'"&amp;Summary!BJ$1&amp;"'!$A$1:$A$17")))+1),1)&amp;":$S$"&amp;SMALL(IF(INDIRECT("'"&amp;Summary!BJ$1&amp;"'!$A$1:$A$17")="SLOT",ROW(INDIRECT("'"&amp;Summary!BJ$1&amp;"'!$A$1:$A$17"))-MIN(ROW(INDIRECT("'"&amp;Summary!BJ$1&amp;"'!$A$1:$A$17")))+1),1)),"TD",INDIRECT("'"&amp;Summary!BJ$1&amp;"'!$A"&amp;MATCH($A17,INDIRECT("'"&amp;Summary!BJ$1&amp;"'!$A$1:$A$17"),0)&amp;":$S"&amp;MATCH($A17,INDIRECT("'"&amp;Summary!BJ$1&amp;"'!$A$1:$A$17"),0))),
SUMIF(INDIRECT("'"&amp;Summary!BJ$1&amp;"'!$A$"&amp;SMALL(IF(INDIRECT("'"&amp;Summary!BJ$1&amp;"'!$A$1:$A$17")="SLOT",ROW(INDIRECT("'"&amp;Summary!BJ$1&amp;"'!$A$1:$A$17"))-MIN(ROW(INDIRECT("'"&amp;Summary!BJ$1&amp;"'!$A$1:$A$17")))+1),2)&amp;":$S$"&amp;SMALL(IF(INDIRECT("'"&amp;Summary!BJ$1&amp;"'!$A$1:$A$17")="SLOT",ROW(INDIRECT("'"&amp;Summary!BJ$1&amp;"'!$A$1:$A$17"))-MIN(ROW(INDIRECT("'"&amp;Summary!BJ$1&amp;"'!$A$1:$A$17")))+1),2)),"TD",INDIRECT("'"&amp;Summary!BJ$1&amp;"'!$A"&amp;MATCH($A17,INDIRECT("'"&amp;Summary!BJ$1&amp;"'!$A$1:$A$17"),0)&amp;":$S"&amp;MATCH($A17,INDIRECT("'"&amp;Summary!BJ$1&amp;"'!$A$1:$A$17"),0)))))</f>
        <v>0</v>
      </c>
      <c r="BN17" s="3">
        <f ca="1">IF(BJ17="","",IF(BL17=0,0,BM17*6/BL17))</f>
        <v>0</v>
      </c>
      <c r="BO17" s="3">
        <f ca="1">IF(BJ17="","",1-BN17)</f>
        <v>1</v>
      </c>
      <c r="BP17" s="2" t="str">
        <f ca="1">IF(BQ17="","",IF(BQ17="D/ST",MID(VLOOKUP($A17,INDIRECT("'"&amp;Summary!BP$1&amp;"'!$A$1:$S$17"),2,FALSE),1,FIND(" ",VLOOKUP($A17,INDIRECT("'"&amp;Summary!BP$1&amp;"'!$A$1:$S$17"),2,FALSE))+4),MID(VLOOKUP($A17,INDIRECT("'"&amp;Summary!BP$1&amp;"'!$A$1:$S$17"),2,FALSE),1,FIND(",",VLOOKUP($A17,INDIRECT("'"&amp;Summary!BP$1&amp;"'!$A$1:$S$17"),2,FALSE))-1)))</f>
        <v>Aaron Rodgers</v>
      </c>
      <c r="BQ17" s="2" t="str">
        <f ca="1">IF(ISNUMBER(SEARCH("QB",VLOOKUP($A17,INDIRECT("'"&amp;Summary!BP$1&amp;"'!$A$1:$S$17"),2,FALSE))),"QB",
IF(ISNUMBER(SEARCH("RB",VLOOKUP($A17,INDIRECT("'"&amp;Summary!BP$1&amp;"'!$A$1:$S$17"),2,FALSE))),"RB",
IF(ISNUMBER(SEARCH("WR",VLOOKUP($A17,INDIRECT("'"&amp;Summary!BP$1&amp;"'!$A$1:$S$17"),2,FALSE))),"WR",
IF(ISNUMBER(SEARCH("D/ST",VLOOKUP($A17,INDIRECT("'"&amp;Summary!BP$1&amp;"'!$A$1:$S$17"),2,FALSE))),"D/ST",
IF(ISNUMBER(SEARCH("TE",VLOOKUP($A17,INDIRECT("'"&amp;Summary!BP$1&amp;"'!$A$1:$S$17"),2,FALSE))),"TE","")))))</f>
        <v>QB</v>
      </c>
      <c r="BR17" s="2">
        <f ca="1">IF(BQ17="","",IF(BQ17&lt;&gt;"D/ST",VLOOKUP($A17,INDIRECT("'"&amp;Summary!BP$1&amp;"'!$A$1:$S$17"),19,FALSE),VLOOKUP($A17,INDIRECT("'"&amp;Summary!BP$1&amp;"'!$A$1:$S$17"),12,FALSE)))</f>
        <v>0</v>
      </c>
      <c r="BS17" s="2">
        <f t="array" aca="1" ref="BS17" ca="1">IF(BQ17="","",IF(BQ17&lt;&gt;"D/ST",SUMIF(INDIRECT("'"&amp;Summary!BP$1&amp;"'!$A$"&amp;SMALL(IF(INDIRECT("'"&amp;Summary!BP$1&amp;"'!$A$1:$A$17")="SLOT",ROW(INDIRECT("'"&amp;Summary!BP$1&amp;"'!$A$1:$A$17"))-MIN(ROW(INDIRECT("'"&amp;Summary!BP$1&amp;"'!$A$1:$A$17")))+1),1)&amp;":$S$"&amp;SMALL(IF(INDIRECT("'"&amp;Summary!BP$1&amp;"'!$A$1:$A$17")="SLOT",ROW(INDIRECT("'"&amp;Summary!BP$1&amp;"'!$A$1:$A$17"))-MIN(ROW(INDIRECT("'"&amp;Summary!BP$1&amp;"'!$A$1:$A$17")))+1),1)),"TD",INDIRECT("'"&amp;Summary!BP$1&amp;"'!$A"&amp;MATCH($A17,INDIRECT("'"&amp;Summary!BP$1&amp;"'!$A$1:$A$17"),0)&amp;":$S"&amp;MATCH($A17,INDIRECT("'"&amp;Summary!BP$1&amp;"'!$A$1:$A$17"),0))),
SUMIF(INDIRECT("'"&amp;Summary!BP$1&amp;"'!$A$"&amp;SMALL(IF(INDIRECT("'"&amp;Summary!BP$1&amp;"'!$A$1:$A$17")="SLOT",ROW(INDIRECT("'"&amp;Summary!BP$1&amp;"'!$A$1:$A$17"))-MIN(ROW(INDIRECT("'"&amp;Summary!BP$1&amp;"'!$A$1:$A$17")))+1),2)&amp;":$S$"&amp;SMALL(IF(INDIRECT("'"&amp;Summary!BP$1&amp;"'!$A$1:$A$17")="SLOT",ROW(INDIRECT("'"&amp;Summary!BP$1&amp;"'!$A$1:$A$17"))-MIN(ROW(INDIRECT("'"&amp;Summary!BP$1&amp;"'!$A$1:$A$17")))+1),2)),"TD",INDIRECT("'"&amp;Summary!BP$1&amp;"'!$A"&amp;MATCH($A17,INDIRECT("'"&amp;Summary!BP$1&amp;"'!$A$1:$A$17"),0)&amp;":$S"&amp;MATCH($A17,INDIRECT("'"&amp;Summary!BP$1&amp;"'!$A$1:$A$17"),0)))))</f>
        <v>0</v>
      </c>
      <c r="BT17" s="3">
        <f ca="1">IF(BP17="","",IF(BR17=0,0,BS17*6/BR17))</f>
        <v>0</v>
      </c>
      <c r="BU17" s="3">
        <f ca="1">IF(BP17="","",1-BT17)</f>
        <v>1</v>
      </c>
      <c r="BV17" s="2" t="str">
        <f ca="1">IF(BW17="","",IF(BW17="D/ST",MID(VLOOKUP($A17,INDIRECT("'"&amp;Summary!BV$1&amp;"'!$A$1:$S$17"),2,FALSE),1,FIND(" ",VLOOKUP($A17,INDIRECT("'"&amp;Summary!BV$1&amp;"'!$A$1:$S$17"),2,FALSE))+4),MID(VLOOKUP($A17,INDIRECT("'"&amp;Summary!BV$1&amp;"'!$A$1:$S$17"),2,FALSE),1,FIND(",",VLOOKUP($A17,INDIRECT("'"&amp;Summary!BV$1&amp;"'!$A$1:$S$17"),2,FALSE))-1)))</f>
        <v>Aaron Rodgers</v>
      </c>
      <c r="BW17" s="2" t="str">
        <f ca="1">IF(ISNUMBER(SEARCH("QB",VLOOKUP($A17,INDIRECT("'"&amp;Summary!BV$1&amp;"'!$A$1:$S$17"),2,FALSE))),"QB",
IF(ISNUMBER(SEARCH("RB",VLOOKUP($A17,INDIRECT("'"&amp;Summary!BV$1&amp;"'!$A$1:$S$17"),2,FALSE))),"RB",
IF(ISNUMBER(SEARCH("WR",VLOOKUP($A17,INDIRECT("'"&amp;Summary!BV$1&amp;"'!$A$1:$S$17"),2,FALSE))),"WR",
IF(ISNUMBER(SEARCH("D/ST",VLOOKUP($A17,INDIRECT("'"&amp;Summary!BV$1&amp;"'!$A$1:$S$17"),2,FALSE))),"D/ST",
IF(ISNUMBER(SEARCH("TE",VLOOKUP($A17,INDIRECT("'"&amp;Summary!BV$1&amp;"'!$A$1:$S$17"),2,FALSE))),"TE","")))))</f>
        <v>QB</v>
      </c>
      <c r="BX17" s="2">
        <f ca="1">IF(BW17="","",IF(BW17&lt;&gt;"D/ST",VLOOKUP($A17,INDIRECT("'"&amp;Summary!BV$1&amp;"'!$A$1:$S$17"),19,FALSE),VLOOKUP($A17,INDIRECT("'"&amp;Summary!BV$1&amp;"'!$A$1:$S$17"),12,FALSE)))</f>
        <v>0</v>
      </c>
      <c r="BY17" s="2">
        <f t="array" aca="1" ref="BY17" ca="1">IF(BW17="","",IF(BW17&lt;&gt;"D/ST",SUMIF(INDIRECT("'"&amp;Summary!BV$1&amp;"'!$A$"&amp;SMALL(IF(INDIRECT("'"&amp;Summary!BV$1&amp;"'!$A$1:$A$17")="SLOT",ROW(INDIRECT("'"&amp;Summary!BV$1&amp;"'!$A$1:$A$17"))-MIN(ROW(INDIRECT("'"&amp;Summary!BV$1&amp;"'!$A$1:$A$17")))+1),1)&amp;":$S$"&amp;SMALL(IF(INDIRECT("'"&amp;Summary!BV$1&amp;"'!$A$1:$A$17")="SLOT",ROW(INDIRECT("'"&amp;Summary!BV$1&amp;"'!$A$1:$A$17"))-MIN(ROW(INDIRECT("'"&amp;Summary!BV$1&amp;"'!$A$1:$A$17")))+1),1)),"TD",INDIRECT("'"&amp;Summary!BV$1&amp;"'!$A"&amp;MATCH($A17,INDIRECT("'"&amp;Summary!BV$1&amp;"'!$A$1:$A$17"),0)&amp;":$S"&amp;MATCH($A17,INDIRECT("'"&amp;Summary!BV$1&amp;"'!$A$1:$A$17"),0))),
SUMIF(INDIRECT("'"&amp;Summary!BV$1&amp;"'!$A$"&amp;SMALL(IF(INDIRECT("'"&amp;Summary!BV$1&amp;"'!$A$1:$A$17")="SLOT",ROW(INDIRECT("'"&amp;Summary!BV$1&amp;"'!$A$1:$A$17"))-MIN(ROW(INDIRECT("'"&amp;Summary!BV$1&amp;"'!$A$1:$A$17")))+1),2)&amp;":$S$"&amp;SMALL(IF(INDIRECT("'"&amp;Summary!BV$1&amp;"'!$A$1:$A$17")="SLOT",ROW(INDIRECT("'"&amp;Summary!BV$1&amp;"'!$A$1:$A$17"))-MIN(ROW(INDIRECT("'"&amp;Summary!BV$1&amp;"'!$A$1:$A$17")))+1),2)),"TD",INDIRECT("'"&amp;Summary!BV$1&amp;"'!$A"&amp;MATCH($A17,INDIRECT("'"&amp;Summary!BV$1&amp;"'!$A$1:$A$17"),0)&amp;":$S"&amp;MATCH($A17,INDIRECT("'"&amp;Summary!BV$1&amp;"'!$A$1:$A$17"),0)))))</f>
        <v>0</v>
      </c>
      <c r="BZ17" s="3">
        <f ca="1">IF(BV17="","",IF(BX17=0,0,BY17*6/BX17))</f>
        <v>0</v>
      </c>
      <c r="CA17" s="3">
        <f ca="1">IF(BV17="","",1-BZ17)</f>
        <v>1</v>
      </c>
      <c r="CB17" s="2" t="str">
        <f ca="1">IF(CC17="","",IF(CC17="D/ST",MID(VLOOKUP($A17,INDIRECT("'"&amp;Summary!CB$1&amp;"'!$A$1:$S$17"),2,FALSE),1,FIND(" ",VLOOKUP($A17,INDIRECT("'"&amp;Summary!CB$1&amp;"'!$A$1:$S$17"),2,FALSE))+4),MID(VLOOKUP($A17,INDIRECT("'"&amp;Summary!CB$1&amp;"'!$A$1:$S$17"),2,FALSE),1,FIND(",",VLOOKUP($A17,INDIRECT("'"&amp;Summary!CB$1&amp;"'!$A$1:$S$17"),2,FALSE))-1)))</f>
        <v>Aaron Rodgers</v>
      </c>
      <c r="CC17" s="2" t="str">
        <f ca="1">IF(ISNUMBER(SEARCH("QB",VLOOKUP($A17,INDIRECT("'"&amp;Summary!CB$1&amp;"'!$A$1:$S$17"),2,FALSE))),"QB",
IF(ISNUMBER(SEARCH("RB",VLOOKUP($A17,INDIRECT("'"&amp;Summary!CB$1&amp;"'!$A$1:$S$17"),2,FALSE))),"RB",
IF(ISNUMBER(SEARCH("WR",VLOOKUP($A17,INDIRECT("'"&amp;Summary!CB$1&amp;"'!$A$1:$S$17"),2,FALSE))),"WR",
IF(ISNUMBER(SEARCH("D/ST",VLOOKUP($A17,INDIRECT("'"&amp;Summary!CB$1&amp;"'!$A$1:$S$17"),2,FALSE))),"D/ST",
IF(ISNUMBER(SEARCH("TE",VLOOKUP($A17,INDIRECT("'"&amp;Summary!CB$1&amp;"'!$A$1:$S$17"),2,FALSE))),"TE","")))))</f>
        <v>QB</v>
      </c>
      <c r="CD17" s="2">
        <f ca="1">IF(CC17="","",IF(CC17&lt;&gt;"D/ST",VLOOKUP($A17,INDIRECT("'"&amp;Summary!CB$1&amp;"'!$A$1:$S$17"),19,FALSE),VLOOKUP($A17,INDIRECT("'"&amp;Summary!CB$1&amp;"'!$A$1:$S$17"),12,FALSE)))</f>
        <v>0</v>
      </c>
      <c r="CE17" s="2">
        <f t="array" aca="1" ref="CE17" ca="1">IF(CC17="","",IF(CC17&lt;&gt;"D/ST",SUMIF(INDIRECT("'"&amp;Summary!CB$1&amp;"'!$A$"&amp;SMALL(IF(INDIRECT("'"&amp;Summary!CB$1&amp;"'!$A$1:$A$17")="SLOT",ROW(INDIRECT("'"&amp;Summary!CB$1&amp;"'!$A$1:$A$17"))-MIN(ROW(INDIRECT("'"&amp;Summary!CB$1&amp;"'!$A$1:$A$17")))+1),1)&amp;":$S$"&amp;SMALL(IF(INDIRECT("'"&amp;Summary!CB$1&amp;"'!$A$1:$A$17")="SLOT",ROW(INDIRECT("'"&amp;Summary!CB$1&amp;"'!$A$1:$A$17"))-MIN(ROW(INDIRECT("'"&amp;Summary!CB$1&amp;"'!$A$1:$A$17")))+1),1)),"TD",INDIRECT("'"&amp;Summary!CB$1&amp;"'!$A"&amp;MATCH($A17,INDIRECT("'"&amp;Summary!CB$1&amp;"'!$A$1:$A$17"),0)&amp;":$S"&amp;MATCH($A17,INDIRECT("'"&amp;Summary!CB$1&amp;"'!$A$1:$A$17"),0))),
SUMIF(INDIRECT("'"&amp;Summary!CB$1&amp;"'!$A$"&amp;SMALL(IF(INDIRECT("'"&amp;Summary!CB$1&amp;"'!$A$1:$A$17")="SLOT",ROW(INDIRECT("'"&amp;Summary!CB$1&amp;"'!$A$1:$A$17"))-MIN(ROW(INDIRECT("'"&amp;Summary!CB$1&amp;"'!$A$1:$A$17")))+1),2)&amp;":$S$"&amp;SMALL(IF(INDIRECT("'"&amp;Summary!CB$1&amp;"'!$A$1:$A$17")="SLOT",ROW(INDIRECT("'"&amp;Summary!CB$1&amp;"'!$A$1:$A$17"))-MIN(ROW(INDIRECT("'"&amp;Summary!CB$1&amp;"'!$A$1:$A$17")))+1),2)),"TD",INDIRECT("'"&amp;Summary!CB$1&amp;"'!$A"&amp;MATCH($A17,INDIRECT("'"&amp;Summary!CB$1&amp;"'!$A$1:$A$17"),0)&amp;":$S"&amp;MATCH($A17,INDIRECT("'"&amp;Summary!CB$1&amp;"'!$A$1:$A$17"),0)))))</f>
        <v>0</v>
      </c>
      <c r="CF17" s="3">
        <f ca="1">IF(CB17="","",IF(CD17=0,0,CE17*6/CD17))</f>
        <v>0</v>
      </c>
      <c r="CG17" s="3">
        <f ca="1">IF(CB17="","",1-CF17)</f>
        <v>1</v>
      </c>
      <c r="CH17" s="2" t="str">
        <f ca="1">IF(CI17="","",IF(CI17="D/ST",MID(VLOOKUP($A17,INDIRECT("'"&amp;Summary!CH$1&amp;"'!$A$1:$S$17"),2,FALSE),1,FIND(" ",VLOOKUP($A17,INDIRECT("'"&amp;Summary!CH$1&amp;"'!$A$1:$S$17"),2,FALSE))+4),MID(VLOOKUP($A17,INDIRECT("'"&amp;Summary!CH$1&amp;"'!$A$1:$S$17"),2,FALSE),1,FIND(",",VLOOKUP($A17,INDIRECT("'"&amp;Summary!CH$1&amp;"'!$A$1:$S$17"),2,FALSE))-1)))</f>
        <v/>
      </c>
      <c r="CI17" s="2" t="str">
        <f ca="1">IF(ISNUMBER(SEARCH("QB",VLOOKUP($A17,INDIRECT("'"&amp;Summary!CH$1&amp;"'!$A$1:$S$17"),2,FALSE))),"QB",
IF(ISNUMBER(SEARCH("RB",VLOOKUP($A17,INDIRECT("'"&amp;Summary!CH$1&amp;"'!$A$1:$S$17"),2,FALSE))),"RB",
IF(ISNUMBER(SEARCH("WR",VLOOKUP($A17,INDIRECT("'"&amp;Summary!CH$1&amp;"'!$A$1:$S$17"),2,FALSE))),"WR",
IF(ISNUMBER(SEARCH("D/ST",VLOOKUP($A17,INDIRECT("'"&amp;Summary!CH$1&amp;"'!$A$1:$S$17"),2,FALSE))),"D/ST",
IF(ISNUMBER(SEARCH("TE",VLOOKUP($A17,INDIRECT("'"&amp;Summary!CH$1&amp;"'!$A$1:$S$17"),2,FALSE))),"TE","")))))</f>
        <v/>
      </c>
      <c r="CJ17" s="2" t="str">
        <f ca="1">IF(CI17="","",IF(CI17&lt;&gt;"D/ST",VLOOKUP($A17,INDIRECT("'"&amp;Summary!CH$1&amp;"'!$A$1:$S$17"),19,FALSE),VLOOKUP($A17,INDIRECT("'"&amp;Summary!CH$1&amp;"'!$A$1:$S$17"),12,FALSE)))</f>
        <v/>
      </c>
      <c r="CK17" s="2" t="str">
        <f t="array" aca="1" ref="CK17" ca="1">IF(CI17="","",IF(CI17&lt;&gt;"D/ST",SUMIF(INDIRECT("'"&amp;Summary!CH$1&amp;"'!$A$"&amp;SMALL(IF(INDIRECT("'"&amp;Summary!CH$1&amp;"'!$A$1:$A$17")="SLOT",ROW(INDIRECT("'"&amp;Summary!CH$1&amp;"'!$A$1:$A$17"))-MIN(ROW(INDIRECT("'"&amp;Summary!CH$1&amp;"'!$A$1:$A$17")))+1),1)&amp;":$S$"&amp;SMALL(IF(INDIRECT("'"&amp;Summary!CH$1&amp;"'!$A$1:$A$17")="SLOT",ROW(INDIRECT("'"&amp;Summary!CH$1&amp;"'!$A$1:$A$17"))-MIN(ROW(INDIRECT("'"&amp;Summary!CH$1&amp;"'!$A$1:$A$17")))+1),1)),"TD",INDIRECT("'"&amp;Summary!CH$1&amp;"'!$A"&amp;MATCH($A17,INDIRECT("'"&amp;Summary!CH$1&amp;"'!$A$1:$A$17"),0)&amp;":$S"&amp;MATCH($A17,INDIRECT("'"&amp;Summary!CH$1&amp;"'!$A$1:$A$17"),0))),
SUMIF(INDIRECT("'"&amp;Summary!CH$1&amp;"'!$A$"&amp;SMALL(IF(INDIRECT("'"&amp;Summary!CH$1&amp;"'!$A$1:$A$17")="SLOT",ROW(INDIRECT("'"&amp;Summary!CH$1&amp;"'!$A$1:$A$17"))-MIN(ROW(INDIRECT("'"&amp;Summary!CH$1&amp;"'!$A$1:$A$17")))+1),2)&amp;":$S$"&amp;SMALL(IF(INDIRECT("'"&amp;Summary!CH$1&amp;"'!$A$1:$A$17")="SLOT",ROW(INDIRECT("'"&amp;Summary!CH$1&amp;"'!$A$1:$A$17"))-MIN(ROW(INDIRECT("'"&amp;Summary!CH$1&amp;"'!$A$1:$A$17")))+1),2)),"TD",INDIRECT("'"&amp;Summary!CH$1&amp;"'!$A"&amp;MATCH($A17,INDIRECT("'"&amp;Summary!CH$1&amp;"'!$A$1:$A$17"),0)&amp;":$S"&amp;MATCH($A17,INDIRECT("'"&amp;Summary!CH$1&amp;"'!$A$1:$A$17"),0)))))</f>
        <v/>
      </c>
      <c r="CL17" s="3" t="str">
        <f ca="1">IF(CH17="","",IF(CJ17=0,0,CK17*6/CJ17))</f>
        <v/>
      </c>
      <c r="CM17" s="3" t="str">
        <f ca="1">IF(CH17="","",1-CL17)</f>
        <v/>
      </c>
      <c r="CN17" s="2" t="str">
        <f ca="1">IF(CO17="","",IF(CO17="D/ST",MID(VLOOKUP($A17,INDIRECT("'"&amp;Summary!CN$1&amp;"'!$A$1:$S$17"),2,FALSE),1,FIND(" ",VLOOKUP($A17,INDIRECT("'"&amp;Summary!CN$1&amp;"'!$A$1:$S$17"),2,FALSE))+4),MID(VLOOKUP($A17,INDIRECT("'"&amp;Summary!CN$1&amp;"'!$A$1:$S$17"),2,FALSE),1,FIND(",",VLOOKUP($A17,INDIRECT("'"&amp;Summary!CN$1&amp;"'!$A$1:$S$17"),2,FALSE))-1)))</f>
        <v/>
      </c>
      <c r="CO17" s="2" t="str">
        <f ca="1">IF(ISNUMBER(SEARCH("QB",VLOOKUP($A17,INDIRECT("'"&amp;Summary!CN$1&amp;"'!$A$1:$S$17"),2,FALSE))),"QB",
IF(ISNUMBER(SEARCH("RB",VLOOKUP($A17,INDIRECT("'"&amp;Summary!CN$1&amp;"'!$A$1:$S$17"),2,FALSE))),"RB",
IF(ISNUMBER(SEARCH("WR",VLOOKUP($A17,INDIRECT("'"&amp;Summary!CN$1&amp;"'!$A$1:$S$17"),2,FALSE))),"WR",
IF(ISNUMBER(SEARCH("D/ST",VLOOKUP($A17,INDIRECT("'"&amp;Summary!CN$1&amp;"'!$A$1:$S$17"),2,FALSE))),"D/ST",
IF(ISNUMBER(SEARCH("TE",VLOOKUP($A17,INDIRECT("'"&amp;Summary!CN$1&amp;"'!$A$1:$S$17"),2,FALSE))),"TE","")))))</f>
        <v/>
      </c>
      <c r="CP17" s="2" t="str">
        <f ca="1">IF(CO17="","",IF(CO17&lt;&gt;"D/ST",VLOOKUP($A17,INDIRECT("'"&amp;Summary!CN$1&amp;"'!$A$1:$S$17"),19,FALSE),VLOOKUP($A17,INDIRECT("'"&amp;Summary!CN$1&amp;"'!$A$1:$S$17"),12,FALSE)))</f>
        <v/>
      </c>
      <c r="CQ17" s="2" t="str">
        <f t="array" aca="1" ref="CQ17" ca="1">IF(CO17="","",IF(CO17&lt;&gt;"D/ST",SUMIF(INDIRECT("'"&amp;Summary!CN$1&amp;"'!$A$"&amp;SMALL(IF(INDIRECT("'"&amp;Summary!CN$1&amp;"'!$A$1:$A$17")="SLOT",ROW(INDIRECT("'"&amp;Summary!CN$1&amp;"'!$A$1:$A$17"))-MIN(ROW(INDIRECT("'"&amp;Summary!CN$1&amp;"'!$A$1:$A$17")))+1),1)&amp;":$S$"&amp;SMALL(IF(INDIRECT("'"&amp;Summary!CN$1&amp;"'!$A$1:$A$17")="SLOT",ROW(INDIRECT("'"&amp;Summary!CN$1&amp;"'!$A$1:$A$17"))-MIN(ROW(INDIRECT("'"&amp;Summary!CN$1&amp;"'!$A$1:$A$17")))+1),1)),"TD",INDIRECT("'"&amp;Summary!CN$1&amp;"'!$A"&amp;MATCH($A17,INDIRECT("'"&amp;Summary!CN$1&amp;"'!$A$1:$A$17"),0)&amp;":$S"&amp;MATCH($A17,INDIRECT("'"&amp;Summary!CN$1&amp;"'!$A$1:$A$17"),0))),
SUMIF(INDIRECT("'"&amp;Summary!CN$1&amp;"'!$A$"&amp;SMALL(IF(INDIRECT("'"&amp;Summary!CN$1&amp;"'!$A$1:$A$17")="SLOT",ROW(INDIRECT("'"&amp;Summary!CN$1&amp;"'!$A$1:$A$17"))-MIN(ROW(INDIRECT("'"&amp;Summary!CN$1&amp;"'!$A$1:$A$17")))+1),2)&amp;":$S$"&amp;SMALL(IF(INDIRECT("'"&amp;Summary!CN$1&amp;"'!$A$1:$A$17")="SLOT",ROW(INDIRECT("'"&amp;Summary!CN$1&amp;"'!$A$1:$A$17"))-MIN(ROW(INDIRECT("'"&amp;Summary!CN$1&amp;"'!$A$1:$A$17")))+1),2)),"TD",INDIRECT("'"&amp;Summary!CN$1&amp;"'!$A"&amp;MATCH($A17,INDIRECT("'"&amp;Summary!CN$1&amp;"'!$A$1:$A$17"),0)&amp;":$S"&amp;MATCH($A17,INDIRECT("'"&amp;Summary!CN$1&amp;"'!$A$1:$A$17"),0)))))</f>
        <v/>
      </c>
      <c r="CR17" s="3" t="str">
        <f ca="1">IF(CN17="","",IF(CP17=0,0,CQ17*6/CP17))</f>
        <v/>
      </c>
      <c r="CS17" s="3" t="str">
        <f ca="1">IF(CN17="","",1-CR17)</f>
        <v/>
      </c>
    </row>
    <row r="18" spans="1:97" ht="15.5" thickTop="1" x14ac:dyDescent="0.75">
      <c r="F18" s="4"/>
      <c r="G18" s="4"/>
      <c r="L18" s="4"/>
      <c r="M18" s="4"/>
      <c r="R18" s="4"/>
      <c r="S18" s="4"/>
      <c r="X18" s="4"/>
      <c r="Y18" s="4"/>
      <c r="AD18" s="4"/>
      <c r="AE18" s="4"/>
      <c r="AJ18" s="4"/>
      <c r="AK18" s="4"/>
      <c r="AP18" s="4"/>
      <c r="AQ18" s="4"/>
      <c r="AV18" s="4"/>
      <c r="AW18" s="4"/>
      <c r="BB18" s="4"/>
      <c r="BC18" s="4"/>
      <c r="BH18" s="4"/>
      <c r="BI18" s="4"/>
      <c r="BN18" s="4"/>
      <c r="BO18" s="4"/>
      <c r="BT18" s="4"/>
      <c r="BU18" s="4"/>
      <c r="BZ18" s="4"/>
      <c r="CA18" s="4"/>
      <c r="CF18" s="4"/>
      <c r="CG18" s="4"/>
      <c r="CL18" s="4"/>
      <c r="CM18" s="4"/>
      <c r="CR18" s="4"/>
      <c r="CS18" s="4"/>
    </row>
    <row r="19" spans="1:97" x14ac:dyDescent="0.75">
      <c r="F19" s="4"/>
      <c r="G19" s="4"/>
      <c r="L19" s="4"/>
      <c r="M19" s="4"/>
      <c r="R19" s="4"/>
      <c r="S19" s="4"/>
      <c r="X19" s="4"/>
      <c r="Y19" s="4"/>
      <c r="AD19" s="4"/>
      <c r="AE19" s="4"/>
      <c r="AJ19" s="4"/>
      <c r="AK19" s="4"/>
      <c r="AP19" s="4"/>
      <c r="AQ19" s="4"/>
      <c r="AV19" s="4"/>
      <c r="AW19" s="4"/>
      <c r="BB19" s="4"/>
      <c r="BC19" s="4"/>
      <c r="BF19" s="1">
        <f ca="1">SUM(BF3,BF13,BF14,BF6,BF7,BF9,BF10,BF4)</f>
        <v>90</v>
      </c>
      <c r="BH19" s="4"/>
      <c r="BI19" s="4"/>
      <c r="BN19" s="4"/>
      <c r="BO19" s="4"/>
      <c r="BT19" s="4"/>
      <c r="BU19" s="4"/>
      <c r="BZ19" s="4"/>
      <c r="CA19" s="4"/>
      <c r="CF19" s="4"/>
      <c r="CG19" s="4"/>
      <c r="CL19" s="4"/>
      <c r="CM19" s="4"/>
      <c r="CR19" s="4"/>
      <c r="CS19" s="4"/>
    </row>
    <row r="20" spans="1:97" x14ac:dyDescent="0.75">
      <c r="F20" s="4"/>
      <c r="G20" s="4"/>
      <c r="L20" s="4"/>
      <c r="M20" s="4"/>
      <c r="R20" s="4"/>
      <c r="S20" s="4"/>
      <c r="X20" s="4"/>
      <c r="Y20" s="4"/>
      <c r="AD20" s="4"/>
      <c r="AE20" s="4"/>
      <c r="AJ20" s="4"/>
      <c r="AK20" s="4"/>
      <c r="AP20" s="4"/>
      <c r="AQ20" s="4"/>
      <c r="AV20" s="4"/>
      <c r="AW20" s="4"/>
      <c r="BB20" s="4"/>
      <c r="BC20" s="4"/>
      <c r="BH20" s="4"/>
      <c r="BI20" s="4"/>
      <c r="BN20" s="4"/>
      <c r="BO20" s="4"/>
      <c r="BT20" s="4"/>
      <c r="BU20" s="4"/>
      <c r="BZ20" s="4"/>
      <c r="CA20" s="4"/>
      <c r="CF20" s="4"/>
      <c r="CG20" s="4"/>
      <c r="CL20" s="4"/>
      <c r="CM20" s="4"/>
      <c r="CR20" s="4"/>
      <c r="CS20" s="4"/>
    </row>
  </sheetData>
  <mergeCells count="16">
    <mergeCell ref="AF1:AK1"/>
    <mergeCell ref="B1:G1"/>
    <mergeCell ref="H1:M1"/>
    <mergeCell ref="N1:S1"/>
    <mergeCell ref="T1:Y1"/>
    <mergeCell ref="Z1:AE1"/>
    <mergeCell ref="BV1:CA1"/>
    <mergeCell ref="CB1:CG1"/>
    <mergeCell ref="CH1:CM1"/>
    <mergeCell ref="CN1:CS1"/>
    <mergeCell ref="AL1:AQ1"/>
    <mergeCell ref="AR1:AW1"/>
    <mergeCell ref="AX1:BC1"/>
    <mergeCell ref="BD1:BI1"/>
    <mergeCell ref="BJ1:BO1"/>
    <mergeCell ref="BP1:BU1"/>
  </mergeCells>
  <conditionalFormatting sqref="D3:D17">
    <cfRule type="colorScale" priority="4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7">
    <cfRule type="colorScale" priority="462">
      <colorScale>
        <cfvo type="min"/>
        <cfvo type="max"/>
        <color rgb="FFFCFCFF"/>
        <color rgb="FF63BE7B"/>
      </colorScale>
    </cfRule>
    <cfRule type="colorScale" priority="4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7">
    <cfRule type="colorScale" priority="461">
      <colorScale>
        <cfvo type="min"/>
        <cfvo type="max"/>
        <color rgb="FFFCFCFF"/>
        <color rgb="FF63BE7B"/>
      </colorScale>
    </cfRule>
  </conditionalFormatting>
  <conditionalFormatting sqref="G3:G17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:AZ17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3:BA17">
    <cfRule type="colorScale" priority="157">
      <colorScale>
        <cfvo type="min"/>
        <cfvo type="max"/>
        <color rgb="FFFCFCFF"/>
        <color rgb="FF63BE7B"/>
      </colorScale>
    </cfRule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3:BB17">
    <cfRule type="colorScale" priority="156">
      <colorScale>
        <cfvo type="min"/>
        <cfvo type="max"/>
        <color rgb="FFFCFCFF"/>
        <color rgb="FF63BE7B"/>
      </colorScale>
    </cfRule>
  </conditionalFormatting>
  <conditionalFormatting sqref="BC3:BC17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X3:AX17">
    <cfRule type="expression" dxfId="45" priority="160">
      <formula>ISERROR(MATCH(AX3,AR$3:AR$17,0))</formula>
    </cfRule>
  </conditionalFormatting>
  <conditionalFormatting sqref="AY3:AY10">
    <cfRule type="expression" dxfId="44" priority="161">
      <formula>ISERROR(MATCH(AX3,AR$3:AR$10,0))</formula>
    </cfRule>
  </conditionalFormatting>
  <conditionalFormatting sqref="BF3:BF17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3:BG17">
    <cfRule type="colorScale" priority="101">
      <colorScale>
        <cfvo type="min"/>
        <cfvo type="max"/>
        <color rgb="FFFCFCFF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H3:BH17">
    <cfRule type="colorScale" priority="100">
      <colorScale>
        <cfvo type="min"/>
        <cfvo type="max"/>
        <color rgb="FFFCFCFF"/>
        <color rgb="FF63BE7B"/>
      </colorScale>
    </cfRule>
  </conditionalFormatting>
  <conditionalFormatting sqref="BI3:BI17">
    <cfRule type="colorScale" priority="99">
      <colorScale>
        <cfvo type="min"/>
        <cfvo type="max"/>
        <color rgb="FFFCFCFF"/>
        <color rgb="FF63BE7B"/>
      </colorScale>
    </cfRule>
  </conditionalFormatting>
  <conditionalFormatting sqref="BD3:BD17">
    <cfRule type="expression" dxfId="29" priority="104">
      <formula>ISERROR(MATCH(BD3,AX$3:AX$17,0))</formula>
    </cfRule>
  </conditionalFormatting>
  <conditionalFormatting sqref="BE3:BE10">
    <cfRule type="expression" dxfId="28" priority="105">
      <formula>ISERROR(MATCH(BD3,AX$3:AX$10,0))</formula>
    </cfRule>
  </conditionalFormatting>
  <conditionalFormatting sqref="BL3:BL17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3:BM17">
    <cfRule type="colorScale" priority="94">
      <colorScale>
        <cfvo type="min"/>
        <cfvo type="max"/>
        <color rgb="FFFCFCFF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N3:BN17">
    <cfRule type="colorScale" priority="93">
      <colorScale>
        <cfvo type="min"/>
        <cfvo type="max"/>
        <color rgb="FFFCFCFF"/>
        <color rgb="FF63BE7B"/>
      </colorScale>
    </cfRule>
  </conditionalFormatting>
  <conditionalFormatting sqref="BO3:BO17">
    <cfRule type="colorScale" priority="92">
      <colorScale>
        <cfvo type="min"/>
        <cfvo type="max"/>
        <color rgb="FFFCFCFF"/>
        <color rgb="FF63BE7B"/>
      </colorScale>
    </cfRule>
  </conditionalFormatting>
  <conditionalFormatting sqref="BJ3:BJ17">
    <cfRule type="expression" dxfId="27" priority="97">
      <formula>ISERROR(MATCH(BJ3,BD$3:BD$17,0))</formula>
    </cfRule>
  </conditionalFormatting>
  <conditionalFormatting sqref="BK3:BK10">
    <cfRule type="expression" dxfId="26" priority="98">
      <formula>ISERROR(MATCH(BJ3,BD$3:BD$10,0))</formula>
    </cfRule>
  </conditionalFormatting>
  <conditionalFormatting sqref="BR3:BR17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S3:BS17">
    <cfRule type="colorScale" priority="80">
      <colorScale>
        <cfvo type="min"/>
        <cfvo type="max"/>
        <color rgb="FFFCFCFF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T3:BT17">
    <cfRule type="colorScale" priority="79">
      <colorScale>
        <cfvo type="min"/>
        <cfvo type="max"/>
        <color rgb="FFFCFCFF"/>
        <color rgb="FF63BE7B"/>
      </colorScale>
    </cfRule>
  </conditionalFormatting>
  <conditionalFormatting sqref="BU3:BU17">
    <cfRule type="colorScale" priority="78">
      <colorScale>
        <cfvo type="min"/>
        <cfvo type="max"/>
        <color rgb="FFFCFCFF"/>
        <color rgb="FF63BE7B"/>
      </colorScale>
    </cfRule>
  </conditionalFormatting>
  <conditionalFormatting sqref="BP3:BP17">
    <cfRule type="expression" dxfId="23" priority="83">
      <formula>ISERROR(MATCH(BP3,BJ$3:BJ$17,0))</formula>
    </cfRule>
  </conditionalFormatting>
  <conditionalFormatting sqref="BQ3:BQ10">
    <cfRule type="expression" dxfId="22" priority="84">
      <formula>ISERROR(MATCH(BP3,BJ$3:BJ$10,0))</formula>
    </cfRule>
  </conditionalFormatting>
  <conditionalFormatting sqref="BX3:BX17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Y3:BY17">
    <cfRule type="colorScale" priority="73">
      <colorScale>
        <cfvo type="min"/>
        <cfvo type="max"/>
        <color rgb="FFFCFCFF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Z3:BZ17">
    <cfRule type="colorScale" priority="72">
      <colorScale>
        <cfvo type="min"/>
        <cfvo type="max"/>
        <color rgb="FFFCFCFF"/>
        <color rgb="FF63BE7B"/>
      </colorScale>
    </cfRule>
  </conditionalFormatting>
  <conditionalFormatting sqref="CA3:CA17">
    <cfRule type="colorScale" priority="71">
      <colorScale>
        <cfvo type="min"/>
        <cfvo type="max"/>
        <color rgb="FFFCFCFF"/>
        <color rgb="FF63BE7B"/>
      </colorScale>
    </cfRule>
  </conditionalFormatting>
  <conditionalFormatting sqref="BV3:BV17">
    <cfRule type="expression" dxfId="21" priority="76">
      <formula>ISERROR(MATCH(BV3,BP$3:BP$17,0))</formula>
    </cfRule>
  </conditionalFormatting>
  <conditionalFormatting sqref="BW3:BW10">
    <cfRule type="expression" dxfId="20" priority="77">
      <formula>ISERROR(MATCH(BV3,BP$3:BP$10,0))</formula>
    </cfRule>
  </conditionalFormatting>
  <conditionalFormatting sqref="CD3:CD17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E3:CE17">
    <cfRule type="colorScale" priority="66">
      <colorScale>
        <cfvo type="min"/>
        <cfvo type="max"/>
        <color rgb="FFFCFCFF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F3:CF17">
    <cfRule type="colorScale" priority="65">
      <colorScale>
        <cfvo type="min"/>
        <cfvo type="max"/>
        <color rgb="FFFCFCFF"/>
        <color rgb="FF63BE7B"/>
      </colorScale>
    </cfRule>
  </conditionalFormatting>
  <conditionalFormatting sqref="CG3:CG17">
    <cfRule type="colorScale" priority="64">
      <colorScale>
        <cfvo type="min"/>
        <cfvo type="max"/>
        <color rgb="FFFCFCFF"/>
        <color rgb="FF63BE7B"/>
      </colorScale>
    </cfRule>
  </conditionalFormatting>
  <conditionalFormatting sqref="CB3:CB17">
    <cfRule type="expression" dxfId="19" priority="69">
      <formula>ISERROR(MATCH(CB3,BV$3:BV$17,0))</formula>
    </cfRule>
  </conditionalFormatting>
  <conditionalFormatting sqref="CC3:CC10">
    <cfRule type="expression" dxfId="18" priority="70">
      <formula>ISERROR(MATCH(CB3,BV$3:BV$10,0))</formula>
    </cfRule>
  </conditionalFormatting>
  <conditionalFormatting sqref="CJ3:CJ17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K3:CK17">
    <cfRule type="colorScale" priority="59">
      <colorScale>
        <cfvo type="min"/>
        <cfvo type="max"/>
        <color rgb="FFFCFCFF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L3:CL17">
    <cfRule type="colorScale" priority="58">
      <colorScale>
        <cfvo type="min"/>
        <cfvo type="max"/>
        <color rgb="FFFCFCFF"/>
        <color rgb="FF63BE7B"/>
      </colorScale>
    </cfRule>
  </conditionalFormatting>
  <conditionalFormatting sqref="CM3:CM17">
    <cfRule type="colorScale" priority="57">
      <colorScale>
        <cfvo type="min"/>
        <cfvo type="max"/>
        <color rgb="FFFCFCFF"/>
        <color rgb="FF63BE7B"/>
      </colorScale>
    </cfRule>
  </conditionalFormatting>
  <conditionalFormatting sqref="CH3:CH17">
    <cfRule type="expression" dxfId="17" priority="62">
      <formula>ISERROR(MATCH(CH3,CB$3:CB$17,0))</formula>
    </cfRule>
  </conditionalFormatting>
  <conditionalFormatting sqref="CI3:CI10">
    <cfRule type="expression" dxfId="16" priority="63">
      <formula>ISERROR(MATCH(CH3,CB$3:CB$10,0))</formula>
    </cfRule>
  </conditionalFormatting>
  <conditionalFormatting sqref="CP3:CP17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Q3:CQ17">
    <cfRule type="colorScale" priority="52">
      <colorScale>
        <cfvo type="min"/>
        <cfvo type="max"/>
        <color rgb="FFFCFCFF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R3:CR17">
    <cfRule type="colorScale" priority="51">
      <colorScale>
        <cfvo type="min"/>
        <cfvo type="max"/>
        <color rgb="FFFCFCFF"/>
        <color rgb="FF63BE7B"/>
      </colorScale>
    </cfRule>
  </conditionalFormatting>
  <conditionalFormatting sqref="CS3:CS17">
    <cfRule type="colorScale" priority="50">
      <colorScale>
        <cfvo type="min"/>
        <cfvo type="max"/>
        <color rgb="FFFCFCFF"/>
        <color rgb="FF63BE7B"/>
      </colorScale>
    </cfRule>
  </conditionalFormatting>
  <conditionalFormatting sqref="CN3:CN17">
    <cfRule type="expression" dxfId="15" priority="55">
      <formula>ISERROR(MATCH(CN3,CH$3:CH$17,0))</formula>
    </cfRule>
  </conditionalFormatting>
  <conditionalFormatting sqref="CO3:CO10">
    <cfRule type="expression" dxfId="14" priority="56">
      <formula>ISERROR(MATCH(CN3,CH$3:CH$10,0))</formula>
    </cfRule>
  </conditionalFormatting>
  <conditionalFormatting sqref="AT3:AT17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U3:AU17">
    <cfRule type="colorScale" priority="45">
      <colorScale>
        <cfvo type="min"/>
        <cfvo type="max"/>
        <color rgb="FFFCFCFF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3:AV1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W3:AW1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R3:AR17">
    <cfRule type="expression" dxfId="13" priority="48">
      <formula>ISERROR(MATCH(AR3,AL$3:AL$17,0))</formula>
    </cfRule>
  </conditionalFormatting>
  <conditionalFormatting sqref="AS3:AS10">
    <cfRule type="expression" dxfId="12" priority="49">
      <formula>ISERROR(MATCH(AR3,AL$3:AL$10,0))</formula>
    </cfRule>
  </conditionalFormatting>
  <conditionalFormatting sqref="AN3:AN17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">
    <cfRule type="colorScale" priority="38">
      <colorScale>
        <cfvo type="min"/>
        <cfvo type="max"/>
        <color rgb="FFFCFCFF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P3:AP17">
    <cfRule type="colorScale" priority="37">
      <colorScale>
        <cfvo type="min"/>
        <cfvo type="max"/>
        <color rgb="FFFCFCFF"/>
        <color rgb="FF63BE7B"/>
      </colorScale>
    </cfRule>
  </conditionalFormatting>
  <conditionalFormatting sqref="AQ3:AQ17">
    <cfRule type="colorScale" priority="36">
      <colorScale>
        <cfvo type="min"/>
        <cfvo type="max"/>
        <color rgb="FFFCFCFF"/>
        <color rgb="FF63BE7B"/>
      </colorScale>
    </cfRule>
  </conditionalFormatting>
  <conditionalFormatting sqref="AL3:AL17">
    <cfRule type="expression" dxfId="11" priority="41">
      <formula>ISERROR(MATCH(AL3,AF$3:AF$17,0))</formula>
    </cfRule>
  </conditionalFormatting>
  <conditionalFormatting sqref="AM3:AM10">
    <cfRule type="expression" dxfId="10" priority="42">
      <formula>ISERROR(MATCH(AL3,AF$3:AF$10,0))</formula>
    </cfRule>
  </conditionalFormatting>
  <conditionalFormatting sqref="AH3:AH17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17">
    <cfRule type="colorScale" priority="31">
      <colorScale>
        <cfvo type="min"/>
        <cfvo type="max"/>
        <color rgb="FFFCFCFF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3:AJ17">
    <cfRule type="colorScale" priority="30">
      <colorScale>
        <cfvo type="min"/>
        <cfvo type="max"/>
        <color rgb="FFFCFCFF"/>
        <color rgb="FF63BE7B"/>
      </colorScale>
    </cfRule>
  </conditionalFormatting>
  <conditionalFormatting sqref="AK3:AK1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F3:AF17">
    <cfRule type="expression" dxfId="9" priority="34">
      <formula>ISERROR(MATCH(AF3,Z$3:Z$17,0))</formula>
    </cfRule>
  </conditionalFormatting>
  <conditionalFormatting sqref="AG3:AG10">
    <cfRule type="expression" dxfId="8" priority="35">
      <formula>ISERROR(MATCH(AF3,Z$3:Z$10,0))</formula>
    </cfRule>
  </conditionalFormatting>
  <conditionalFormatting sqref="AB3:AB17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">
    <cfRule type="colorScale" priority="24">
      <colorScale>
        <cfvo type="min"/>
        <cfvo type="max"/>
        <color rgb="FFFCFCFF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E3:AE17">
    <cfRule type="colorScale" priority="22">
      <colorScale>
        <cfvo type="min"/>
        <cfvo type="max"/>
        <color rgb="FFFCFCFF"/>
        <color rgb="FF63BE7B"/>
      </colorScale>
    </cfRule>
  </conditionalFormatting>
  <conditionalFormatting sqref="Z3:Z17">
    <cfRule type="expression" dxfId="7" priority="27">
      <formula>ISERROR(MATCH(Z3,T$3:T$17,0))</formula>
    </cfRule>
  </conditionalFormatting>
  <conditionalFormatting sqref="AA3:AA10">
    <cfRule type="expression" dxfId="6" priority="28">
      <formula>ISERROR(MATCH(Z3,T$3:T$10,0))</formula>
    </cfRule>
  </conditionalFormatting>
  <conditionalFormatting sqref="V3:V17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17">
    <cfRule type="colorScale" priority="17">
      <colorScale>
        <cfvo type="min"/>
        <cfvo type="max"/>
        <color rgb="FFFCFCFF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17">
    <cfRule type="colorScale" priority="16">
      <colorScale>
        <cfvo type="min"/>
        <cfvo type="max"/>
        <color rgb="FFFCFCFF"/>
        <color rgb="FF63BE7B"/>
      </colorScale>
    </cfRule>
  </conditionalFormatting>
  <conditionalFormatting sqref="Y3:Y17">
    <cfRule type="colorScale" priority="15">
      <colorScale>
        <cfvo type="min"/>
        <cfvo type="max"/>
        <color rgb="FFFCFCFF"/>
        <color rgb="FF63BE7B"/>
      </colorScale>
    </cfRule>
  </conditionalFormatting>
  <conditionalFormatting sqref="T3:T17">
    <cfRule type="expression" dxfId="5" priority="20">
      <formula>ISERROR(MATCH(T3,N$3:N$17,0))</formula>
    </cfRule>
  </conditionalFormatting>
  <conditionalFormatting sqref="U3:U10">
    <cfRule type="expression" dxfId="4" priority="21">
      <formula>ISERROR(MATCH(T3,N$3:N$10,0))</formula>
    </cfRule>
  </conditionalFormatting>
  <conditionalFormatting sqref="P3:P17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7">
    <cfRule type="colorScale" priority="10">
      <colorScale>
        <cfvo type="min"/>
        <cfvo type="max"/>
        <color rgb="FFFCFCFF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7">
    <cfRule type="colorScale" priority="9">
      <colorScale>
        <cfvo type="min"/>
        <cfvo type="max"/>
        <color rgb="FFFCFCFF"/>
        <color rgb="FF63BE7B"/>
      </colorScale>
    </cfRule>
  </conditionalFormatting>
  <conditionalFormatting sqref="S3:S17">
    <cfRule type="colorScale" priority="8">
      <colorScale>
        <cfvo type="min"/>
        <cfvo type="max"/>
        <color rgb="FFFCFCFF"/>
        <color rgb="FF63BE7B"/>
      </colorScale>
    </cfRule>
  </conditionalFormatting>
  <conditionalFormatting sqref="N3:N17">
    <cfRule type="expression" dxfId="3" priority="13">
      <formula>ISERROR(MATCH(N3,H$3:H$17,0))</formula>
    </cfRule>
  </conditionalFormatting>
  <conditionalFormatting sqref="O3:O10">
    <cfRule type="expression" dxfId="2" priority="14">
      <formula>ISERROR(MATCH(N3,H$3:H$10,0))</formula>
    </cfRule>
  </conditionalFormatting>
  <conditionalFormatting sqref="J3:J17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7">
    <cfRule type="colorScale" priority="3">
      <colorScale>
        <cfvo type="min"/>
        <cfvo type="max"/>
        <color rgb="FFFCFCFF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">
    <cfRule type="colorScale" priority="2">
      <colorScale>
        <cfvo type="min"/>
        <cfvo type="max"/>
        <color rgb="FFFCFCFF"/>
        <color rgb="FF63BE7B"/>
      </colorScale>
    </cfRule>
  </conditionalFormatting>
  <conditionalFormatting sqref="M3:M17">
    <cfRule type="colorScale" priority="1">
      <colorScale>
        <cfvo type="min"/>
        <cfvo type="max"/>
        <color rgb="FFFCFCFF"/>
        <color rgb="FF63BE7B"/>
      </colorScale>
    </cfRule>
  </conditionalFormatting>
  <conditionalFormatting sqref="H3:H17">
    <cfRule type="expression" dxfId="1" priority="6">
      <formula>ISERROR(MATCH(H3,B$3:B$17,0))</formula>
    </cfRule>
  </conditionalFormatting>
  <conditionalFormatting sqref="I3:I10">
    <cfRule type="expression" dxfId="0" priority="7">
      <formula>ISERROR(MATCH(H3,B$3:B$10,0))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17"/>
  <sheetViews>
    <sheetView workbookViewId="0">
      <selection activeCell="T2" sqref="T2"/>
    </sheetView>
  </sheetViews>
  <sheetFormatPr defaultRowHeight="14.75" x14ac:dyDescent="0.75"/>
  <cols>
    <col min="1" max="1" width="8.7265625" customWidth="1"/>
    <col min="2" max="2" width="27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19" width="6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15</v>
      </c>
      <c r="C2" t="s">
        <v>16</v>
      </c>
      <c r="D2" t="s">
        <v>17</v>
      </c>
      <c r="E2" t="s">
        <v>18</v>
      </c>
      <c r="F2">
        <v>268</v>
      </c>
      <c r="G2">
        <v>1</v>
      </c>
      <c r="H2">
        <v>3</v>
      </c>
      <c r="I2">
        <v>1</v>
      </c>
      <c r="J2">
        <v>2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10.9</v>
      </c>
    </row>
    <row r="3" spans="1:19" x14ac:dyDescent="0.75">
      <c r="A3" t="s">
        <v>19</v>
      </c>
      <c r="B3" t="s">
        <v>20</v>
      </c>
      <c r="C3" t="s">
        <v>21</v>
      </c>
      <c r="D3" t="s">
        <v>22</v>
      </c>
      <c r="E3" t="s">
        <v>23</v>
      </c>
      <c r="F3">
        <v>0</v>
      </c>
      <c r="G3">
        <v>0</v>
      </c>
      <c r="H3">
        <v>0</v>
      </c>
      <c r="I3">
        <v>24</v>
      </c>
      <c r="J3">
        <v>104</v>
      </c>
      <c r="K3">
        <v>0</v>
      </c>
      <c r="L3">
        <v>5</v>
      </c>
      <c r="M3">
        <v>36</v>
      </c>
      <c r="N3">
        <v>0</v>
      </c>
      <c r="O3">
        <v>5</v>
      </c>
      <c r="P3">
        <v>0</v>
      </c>
      <c r="Q3">
        <v>0</v>
      </c>
      <c r="R3">
        <v>0</v>
      </c>
      <c r="S3">
        <v>16.5</v>
      </c>
    </row>
    <row r="4" spans="1:19" x14ac:dyDescent="0.75">
      <c r="A4" t="s">
        <v>24</v>
      </c>
      <c r="B4" t="s">
        <v>25</v>
      </c>
      <c r="C4" t="s">
        <v>26</v>
      </c>
      <c r="D4" t="s">
        <v>27</v>
      </c>
      <c r="E4" t="s">
        <v>23</v>
      </c>
      <c r="F4">
        <v>0</v>
      </c>
      <c r="G4">
        <v>0</v>
      </c>
      <c r="H4">
        <v>0</v>
      </c>
      <c r="I4">
        <v>17</v>
      </c>
      <c r="J4">
        <v>33</v>
      </c>
      <c r="K4">
        <v>0</v>
      </c>
      <c r="L4">
        <v>2</v>
      </c>
      <c r="M4">
        <v>33</v>
      </c>
      <c r="N4">
        <v>0</v>
      </c>
      <c r="O4">
        <v>2</v>
      </c>
      <c r="P4">
        <v>1</v>
      </c>
      <c r="Q4">
        <v>0</v>
      </c>
      <c r="R4">
        <v>0</v>
      </c>
      <c r="S4">
        <v>9.6</v>
      </c>
    </row>
    <row r="5" spans="1:19" x14ac:dyDescent="0.75">
      <c r="A5" t="s">
        <v>28</v>
      </c>
      <c r="B5" t="s">
        <v>29</v>
      </c>
      <c r="C5" t="s">
        <v>30</v>
      </c>
      <c r="D5" t="s">
        <v>31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</v>
      </c>
      <c r="M5">
        <v>14</v>
      </c>
      <c r="N5">
        <v>0</v>
      </c>
      <c r="O5">
        <v>6</v>
      </c>
      <c r="P5">
        <v>0</v>
      </c>
      <c r="Q5">
        <v>0</v>
      </c>
      <c r="R5">
        <v>0</v>
      </c>
      <c r="S5">
        <v>2.4</v>
      </c>
    </row>
    <row r="6" spans="1:19" x14ac:dyDescent="0.75">
      <c r="A6" t="s">
        <v>32</v>
      </c>
      <c r="B6" t="s">
        <v>33</v>
      </c>
      <c r="C6" t="s">
        <v>34</v>
      </c>
      <c r="D6" t="s">
        <v>35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17</v>
      </c>
      <c r="N6">
        <v>0</v>
      </c>
      <c r="O6">
        <v>1</v>
      </c>
      <c r="P6">
        <v>0</v>
      </c>
      <c r="Q6">
        <v>0</v>
      </c>
      <c r="R6">
        <v>0</v>
      </c>
      <c r="S6">
        <v>2.2000000000000002</v>
      </c>
    </row>
    <row r="7" spans="1:19" x14ac:dyDescent="0.75">
      <c r="A7" t="s">
        <v>36</v>
      </c>
      <c r="B7" t="s">
        <v>37</v>
      </c>
      <c r="C7" t="s">
        <v>38</v>
      </c>
      <c r="D7" t="s">
        <v>39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8</v>
      </c>
      <c r="M7">
        <v>93</v>
      </c>
      <c r="N7">
        <v>0</v>
      </c>
      <c r="O7">
        <v>8</v>
      </c>
      <c r="P7">
        <v>0</v>
      </c>
      <c r="Q7">
        <v>0</v>
      </c>
      <c r="R7">
        <v>0</v>
      </c>
      <c r="S7">
        <v>13.3</v>
      </c>
    </row>
    <row r="8" spans="1:19" x14ac:dyDescent="0.75">
      <c r="A8" t="s">
        <v>40</v>
      </c>
      <c r="B8" t="s">
        <v>41</v>
      </c>
      <c r="C8" t="s">
        <v>42</v>
      </c>
      <c r="D8" t="s">
        <v>43</v>
      </c>
      <c r="E8" t="s">
        <v>23</v>
      </c>
      <c r="F8">
        <v>0</v>
      </c>
      <c r="G8">
        <v>0</v>
      </c>
      <c r="H8">
        <v>0</v>
      </c>
      <c r="I8">
        <v>22</v>
      </c>
      <c r="J8">
        <v>127</v>
      </c>
      <c r="K8">
        <v>0</v>
      </c>
      <c r="L8">
        <v>3</v>
      </c>
      <c r="M8">
        <v>10</v>
      </c>
      <c r="N8">
        <v>0</v>
      </c>
      <c r="O8">
        <v>5</v>
      </c>
      <c r="P8">
        <v>0</v>
      </c>
      <c r="Q8">
        <v>0</v>
      </c>
      <c r="R8">
        <v>0</v>
      </c>
      <c r="S8">
        <v>15.2</v>
      </c>
    </row>
    <row r="9" spans="1:19" x14ac:dyDescent="0.75">
      <c r="A9" t="s">
        <v>44</v>
      </c>
      <c r="B9" t="s">
        <v>45</v>
      </c>
      <c r="C9" t="s">
        <v>46</v>
      </c>
      <c r="D9" t="s">
        <v>47</v>
      </c>
      <c r="E9" t="s">
        <v>48</v>
      </c>
      <c r="F9" t="s">
        <v>48</v>
      </c>
      <c r="G9" t="s">
        <v>48</v>
      </c>
      <c r="H9" t="s">
        <v>48</v>
      </c>
      <c r="I9" t="s">
        <v>48</v>
      </c>
      <c r="J9" t="s">
        <v>48</v>
      </c>
      <c r="K9" t="s">
        <v>48</v>
      </c>
      <c r="L9" t="s">
        <v>48</v>
      </c>
      <c r="M9" t="s">
        <v>48</v>
      </c>
      <c r="N9" t="s">
        <v>48</v>
      </c>
      <c r="O9" t="s">
        <v>48</v>
      </c>
      <c r="P9" t="s">
        <v>48</v>
      </c>
      <c r="Q9" t="s">
        <v>48</v>
      </c>
      <c r="R9" t="s">
        <v>48</v>
      </c>
    </row>
    <row r="10" spans="1:19" x14ac:dyDescent="0.75">
      <c r="A10" t="s">
        <v>49</v>
      </c>
      <c r="B10" t="s">
        <v>50</v>
      </c>
      <c r="C10" t="s">
        <v>51</v>
      </c>
      <c r="D10" t="s">
        <v>52</v>
      </c>
      <c r="E10" t="s">
        <v>23</v>
      </c>
      <c r="F10">
        <v>0</v>
      </c>
      <c r="G10">
        <v>0</v>
      </c>
      <c r="H10">
        <v>0</v>
      </c>
      <c r="I10">
        <v>7</v>
      </c>
      <c r="J10">
        <v>22</v>
      </c>
      <c r="K10">
        <v>0</v>
      </c>
      <c r="L10">
        <v>5</v>
      </c>
      <c r="M10">
        <v>17</v>
      </c>
      <c r="N10">
        <v>0</v>
      </c>
      <c r="O10">
        <v>6</v>
      </c>
      <c r="P10">
        <v>0</v>
      </c>
      <c r="Q10">
        <v>0</v>
      </c>
      <c r="R10">
        <v>0</v>
      </c>
      <c r="S10">
        <v>6.4</v>
      </c>
    </row>
    <row r="11" spans="1:19" x14ac:dyDescent="0.75">
      <c r="A11" t="s">
        <v>53</v>
      </c>
      <c r="B11" t="s">
        <v>54</v>
      </c>
      <c r="C11" t="s">
        <v>21</v>
      </c>
      <c r="D11" t="s">
        <v>22</v>
      </c>
      <c r="E11" t="s">
        <v>23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75">
      <c r="A12" t="s">
        <v>55</v>
      </c>
      <c r="B12" t="s">
        <v>56</v>
      </c>
      <c r="C12" t="s">
        <v>38</v>
      </c>
      <c r="D12" t="s">
        <v>39</v>
      </c>
      <c r="E12" t="s">
        <v>23</v>
      </c>
      <c r="F12">
        <v>0</v>
      </c>
      <c r="G12">
        <v>0</v>
      </c>
      <c r="H12">
        <v>0</v>
      </c>
      <c r="I12">
        <v>2</v>
      </c>
      <c r="J12">
        <v>2</v>
      </c>
      <c r="K12">
        <v>0</v>
      </c>
      <c r="L12">
        <v>5</v>
      </c>
      <c r="M12">
        <v>43</v>
      </c>
      <c r="N12">
        <v>0</v>
      </c>
      <c r="O12">
        <v>8</v>
      </c>
      <c r="P12">
        <v>0</v>
      </c>
      <c r="Q12">
        <v>0</v>
      </c>
      <c r="R12">
        <v>0</v>
      </c>
      <c r="S12">
        <v>7</v>
      </c>
    </row>
    <row r="13" spans="1:19" x14ac:dyDescent="0.75">
      <c r="A13" t="s">
        <v>57</v>
      </c>
      <c r="B13" t="s">
        <v>58</v>
      </c>
      <c r="C13" t="s">
        <v>59</v>
      </c>
      <c r="D13" t="s">
        <v>60</v>
      </c>
      <c r="E13" t="s">
        <v>23</v>
      </c>
      <c r="F13">
        <v>0</v>
      </c>
      <c r="G13">
        <v>0</v>
      </c>
      <c r="H13">
        <v>0</v>
      </c>
      <c r="I13">
        <v>10</v>
      </c>
      <c r="J13">
        <v>40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1</v>
      </c>
      <c r="R13">
        <v>0</v>
      </c>
      <c r="S13">
        <v>2</v>
      </c>
    </row>
    <row r="14" spans="1:19" x14ac:dyDescent="0.75">
      <c r="A14" t="s">
        <v>61</v>
      </c>
      <c r="B14" t="s">
        <v>62</v>
      </c>
      <c r="C14" t="s">
        <v>51</v>
      </c>
      <c r="D14" t="s">
        <v>52</v>
      </c>
      <c r="E14" t="s">
        <v>23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4</v>
      </c>
      <c r="M14">
        <v>22</v>
      </c>
      <c r="N14">
        <v>0</v>
      </c>
      <c r="O14">
        <v>8</v>
      </c>
      <c r="P14">
        <v>0</v>
      </c>
      <c r="Q14">
        <v>0</v>
      </c>
      <c r="R14">
        <v>0</v>
      </c>
      <c r="S14">
        <v>4.2</v>
      </c>
    </row>
    <row r="15" spans="1:19" x14ac:dyDescent="0.75">
      <c r="A15" t="s">
        <v>63</v>
      </c>
      <c r="B15" t="s">
        <v>64</v>
      </c>
      <c r="C15" t="s">
        <v>65</v>
      </c>
      <c r="D15" t="s">
        <v>66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73</v>
      </c>
      <c r="C17" t="s">
        <v>74</v>
      </c>
      <c r="D17" t="s">
        <v>75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23</v>
      </c>
      <c r="L17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S17"/>
  <sheetViews>
    <sheetView workbookViewId="0"/>
  </sheetViews>
  <sheetFormatPr defaultRowHeight="14.75" x14ac:dyDescent="0.75"/>
  <cols>
    <col min="1" max="1" width="8.7265625" customWidth="1"/>
    <col min="2" max="2" width="27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76</v>
      </c>
      <c r="C2" t="s">
        <v>77</v>
      </c>
      <c r="D2" t="s">
        <v>78</v>
      </c>
      <c r="E2" t="s">
        <v>79</v>
      </c>
      <c r="F2">
        <v>219</v>
      </c>
      <c r="G2">
        <v>1</v>
      </c>
      <c r="H2">
        <v>1</v>
      </c>
      <c r="I2">
        <v>3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12.9</v>
      </c>
    </row>
    <row r="3" spans="1:19" x14ac:dyDescent="0.75">
      <c r="A3" t="s">
        <v>19</v>
      </c>
      <c r="B3" t="s">
        <v>20</v>
      </c>
      <c r="C3" t="s">
        <v>80</v>
      </c>
      <c r="D3" t="s">
        <v>81</v>
      </c>
      <c r="E3" t="s">
        <v>23</v>
      </c>
      <c r="F3">
        <v>0</v>
      </c>
      <c r="G3">
        <v>0</v>
      </c>
      <c r="H3">
        <v>0</v>
      </c>
      <c r="I3">
        <v>9</v>
      </c>
      <c r="J3">
        <v>8</v>
      </c>
      <c r="K3">
        <v>0</v>
      </c>
      <c r="L3">
        <v>4</v>
      </c>
      <c r="M3">
        <v>14</v>
      </c>
      <c r="N3">
        <v>0</v>
      </c>
      <c r="O3">
        <v>5</v>
      </c>
      <c r="P3">
        <v>0</v>
      </c>
      <c r="Q3">
        <v>0</v>
      </c>
      <c r="R3">
        <v>0</v>
      </c>
      <c r="S3">
        <v>4.2</v>
      </c>
    </row>
    <row r="4" spans="1:19" x14ac:dyDescent="0.75">
      <c r="A4" t="s">
        <v>24</v>
      </c>
      <c r="B4" t="s">
        <v>41</v>
      </c>
      <c r="C4" t="s">
        <v>82</v>
      </c>
      <c r="D4" t="s">
        <v>83</v>
      </c>
      <c r="E4" t="s">
        <v>23</v>
      </c>
      <c r="F4">
        <v>0</v>
      </c>
      <c r="G4">
        <v>0</v>
      </c>
      <c r="H4">
        <v>0</v>
      </c>
      <c r="I4">
        <v>12</v>
      </c>
      <c r="J4">
        <v>64</v>
      </c>
      <c r="K4">
        <v>0</v>
      </c>
      <c r="L4">
        <v>2</v>
      </c>
      <c r="M4">
        <v>0</v>
      </c>
      <c r="N4">
        <v>0</v>
      </c>
      <c r="O4">
        <v>3</v>
      </c>
      <c r="P4">
        <v>0</v>
      </c>
      <c r="Q4">
        <v>0</v>
      </c>
      <c r="R4">
        <v>0</v>
      </c>
      <c r="S4">
        <v>7.4</v>
      </c>
    </row>
    <row r="5" spans="1:19" x14ac:dyDescent="0.75">
      <c r="A5" t="s">
        <v>28</v>
      </c>
      <c r="B5" t="s">
        <v>45</v>
      </c>
      <c r="C5" t="s">
        <v>84</v>
      </c>
      <c r="D5" t="s">
        <v>35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7</v>
      </c>
      <c r="M5">
        <v>93</v>
      </c>
      <c r="N5">
        <v>1</v>
      </c>
      <c r="O5">
        <v>9</v>
      </c>
      <c r="P5">
        <v>0</v>
      </c>
      <c r="Q5">
        <v>0</v>
      </c>
      <c r="R5">
        <v>0</v>
      </c>
      <c r="S5">
        <v>18.8</v>
      </c>
    </row>
    <row r="6" spans="1:19" x14ac:dyDescent="0.75">
      <c r="A6" t="s">
        <v>32</v>
      </c>
      <c r="B6" t="s">
        <v>29</v>
      </c>
      <c r="C6" t="s">
        <v>85</v>
      </c>
      <c r="D6" t="s">
        <v>86</v>
      </c>
      <c r="E6" t="s">
        <v>23</v>
      </c>
      <c r="F6">
        <v>0</v>
      </c>
      <c r="G6">
        <v>0</v>
      </c>
      <c r="H6">
        <v>0</v>
      </c>
      <c r="I6">
        <v>1</v>
      </c>
      <c r="J6">
        <v>7</v>
      </c>
      <c r="K6">
        <v>0</v>
      </c>
      <c r="L6">
        <v>3</v>
      </c>
      <c r="M6">
        <v>91</v>
      </c>
      <c r="N6">
        <v>1</v>
      </c>
      <c r="O6">
        <v>4</v>
      </c>
      <c r="P6">
        <v>0</v>
      </c>
      <c r="Q6">
        <v>0</v>
      </c>
      <c r="R6">
        <v>0</v>
      </c>
      <c r="S6">
        <v>17.3</v>
      </c>
    </row>
    <row r="7" spans="1:19" x14ac:dyDescent="0.75">
      <c r="A7" t="s">
        <v>36</v>
      </c>
      <c r="B7" t="s">
        <v>37</v>
      </c>
      <c r="C7" t="s">
        <v>87</v>
      </c>
      <c r="D7" t="s">
        <v>78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5</v>
      </c>
      <c r="M7">
        <v>97</v>
      </c>
      <c r="N7">
        <v>0</v>
      </c>
      <c r="O7">
        <v>10</v>
      </c>
      <c r="P7">
        <v>0</v>
      </c>
      <c r="Q7">
        <v>0</v>
      </c>
      <c r="R7">
        <v>0</v>
      </c>
      <c r="S7">
        <v>12.2</v>
      </c>
    </row>
    <row r="8" spans="1:19" x14ac:dyDescent="0.75">
      <c r="A8" t="s">
        <v>40</v>
      </c>
      <c r="B8" t="s">
        <v>88</v>
      </c>
      <c r="C8" t="s">
        <v>89</v>
      </c>
      <c r="D8" t="s">
        <v>90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3</v>
      </c>
      <c r="M8">
        <v>24</v>
      </c>
      <c r="N8">
        <v>0</v>
      </c>
      <c r="O8">
        <v>6</v>
      </c>
      <c r="P8">
        <v>0</v>
      </c>
      <c r="Q8">
        <v>0</v>
      </c>
      <c r="R8">
        <v>0</v>
      </c>
      <c r="S8">
        <v>3.9</v>
      </c>
    </row>
    <row r="9" spans="1:19" x14ac:dyDescent="0.75">
      <c r="A9" t="s">
        <v>44</v>
      </c>
      <c r="B9" t="s">
        <v>25</v>
      </c>
      <c r="C9" t="s">
        <v>91</v>
      </c>
      <c r="D9" t="s">
        <v>92</v>
      </c>
      <c r="E9" t="s">
        <v>23</v>
      </c>
      <c r="F9">
        <v>0</v>
      </c>
      <c r="G9">
        <v>0</v>
      </c>
      <c r="H9">
        <v>0</v>
      </c>
      <c r="I9">
        <v>10</v>
      </c>
      <c r="J9">
        <v>37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3.7</v>
      </c>
    </row>
    <row r="10" spans="1:19" x14ac:dyDescent="0.75">
      <c r="A10" t="s">
        <v>49</v>
      </c>
      <c r="B10" t="s">
        <v>50</v>
      </c>
      <c r="C10" t="s">
        <v>93</v>
      </c>
      <c r="D10" t="s">
        <v>94</v>
      </c>
      <c r="E10" t="s">
        <v>23</v>
      </c>
      <c r="F10">
        <v>0</v>
      </c>
      <c r="G10">
        <v>0</v>
      </c>
      <c r="H10">
        <v>0</v>
      </c>
      <c r="I10">
        <v>6</v>
      </c>
      <c r="J10">
        <v>13</v>
      </c>
      <c r="K10">
        <v>0</v>
      </c>
      <c r="L10">
        <v>0</v>
      </c>
      <c r="M10">
        <v>0</v>
      </c>
      <c r="N10">
        <v>0</v>
      </c>
      <c r="O10">
        <v>2</v>
      </c>
      <c r="P10">
        <v>0</v>
      </c>
      <c r="Q10">
        <v>0</v>
      </c>
      <c r="R10">
        <v>0</v>
      </c>
      <c r="S10">
        <v>1.3</v>
      </c>
    </row>
    <row r="11" spans="1:19" x14ac:dyDescent="0.75">
      <c r="A11" t="s">
        <v>53</v>
      </c>
      <c r="B11" t="s">
        <v>95</v>
      </c>
      <c r="C11" t="s">
        <v>77</v>
      </c>
      <c r="D11" t="s">
        <v>78</v>
      </c>
      <c r="E11" t="s">
        <v>23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3</v>
      </c>
      <c r="M11">
        <v>33</v>
      </c>
      <c r="N11">
        <v>0</v>
      </c>
      <c r="O11">
        <v>6</v>
      </c>
      <c r="P11">
        <v>0</v>
      </c>
      <c r="Q11">
        <v>0</v>
      </c>
      <c r="R11">
        <v>0</v>
      </c>
      <c r="S11">
        <v>4.8</v>
      </c>
    </row>
    <row r="12" spans="1:19" x14ac:dyDescent="0.75">
      <c r="A12" t="s">
        <v>55</v>
      </c>
      <c r="B12" t="s">
        <v>96</v>
      </c>
      <c r="C12" t="s">
        <v>97</v>
      </c>
      <c r="D12" t="s">
        <v>98</v>
      </c>
      <c r="E12" t="s">
        <v>23</v>
      </c>
      <c r="F12">
        <v>0</v>
      </c>
      <c r="G12">
        <v>0</v>
      </c>
      <c r="H12">
        <v>0</v>
      </c>
      <c r="I12">
        <v>20</v>
      </c>
      <c r="J12">
        <v>93</v>
      </c>
      <c r="K12">
        <v>0</v>
      </c>
      <c r="L12">
        <v>1</v>
      </c>
      <c r="M12">
        <v>7</v>
      </c>
      <c r="N12">
        <v>0</v>
      </c>
      <c r="O12">
        <v>2</v>
      </c>
      <c r="P12">
        <v>0</v>
      </c>
      <c r="Q12">
        <v>0</v>
      </c>
      <c r="R12">
        <v>0</v>
      </c>
      <c r="S12">
        <v>10.5</v>
      </c>
    </row>
    <row r="13" spans="1:19" x14ac:dyDescent="0.75">
      <c r="A13" t="s">
        <v>57</v>
      </c>
      <c r="B13" t="s">
        <v>99</v>
      </c>
      <c r="C13" t="s">
        <v>100</v>
      </c>
      <c r="D13" t="s">
        <v>101</v>
      </c>
      <c r="E13" t="s">
        <v>23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7</v>
      </c>
      <c r="N13">
        <v>0</v>
      </c>
      <c r="O13">
        <v>3</v>
      </c>
      <c r="P13">
        <v>0</v>
      </c>
      <c r="Q13">
        <v>0</v>
      </c>
      <c r="R13">
        <v>0</v>
      </c>
      <c r="S13">
        <v>1.2</v>
      </c>
    </row>
    <row r="14" spans="1:19" x14ac:dyDescent="0.75">
      <c r="A14" t="s">
        <v>61</v>
      </c>
      <c r="B14" t="s">
        <v>102</v>
      </c>
      <c r="C14" t="s">
        <v>103</v>
      </c>
      <c r="D14" t="s">
        <v>104</v>
      </c>
      <c r="E14" t="s">
        <v>23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2</v>
      </c>
      <c r="M14">
        <v>18</v>
      </c>
      <c r="N14">
        <v>0</v>
      </c>
      <c r="O14">
        <v>7</v>
      </c>
      <c r="P14">
        <v>0</v>
      </c>
      <c r="Q14">
        <v>0</v>
      </c>
      <c r="R14">
        <v>0</v>
      </c>
      <c r="S14">
        <v>2.8</v>
      </c>
    </row>
    <row r="15" spans="1:19" x14ac:dyDescent="0.75">
      <c r="A15" t="s">
        <v>63</v>
      </c>
      <c r="B15" t="s">
        <v>64</v>
      </c>
      <c r="C15" t="s">
        <v>103</v>
      </c>
      <c r="D15" t="s">
        <v>104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105</v>
      </c>
      <c r="C17" t="s">
        <v>106</v>
      </c>
      <c r="D17" t="s">
        <v>107</v>
      </c>
      <c r="E17">
        <v>0</v>
      </c>
      <c r="F17">
        <v>0</v>
      </c>
      <c r="G17">
        <v>2</v>
      </c>
      <c r="H17">
        <v>4</v>
      </c>
      <c r="I17">
        <v>0</v>
      </c>
      <c r="J17">
        <v>0</v>
      </c>
      <c r="K17">
        <v>20</v>
      </c>
      <c r="L1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17"/>
  <sheetViews>
    <sheetView workbookViewId="0">
      <selection activeCell="A9" sqref="A9:XFD9"/>
    </sheetView>
  </sheetViews>
  <sheetFormatPr defaultRowHeight="14.75" x14ac:dyDescent="0.75"/>
  <cols>
    <col min="1" max="1" width="8.7265625" customWidth="1"/>
    <col min="2" max="2" width="27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108</v>
      </c>
      <c r="C2" t="s">
        <v>109</v>
      </c>
      <c r="D2" t="s">
        <v>110</v>
      </c>
      <c r="E2" t="s">
        <v>111</v>
      </c>
      <c r="F2">
        <v>220</v>
      </c>
      <c r="G2">
        <v>1</v>
      </c>
      <c r="H2">
        <v>1</v>
      </c>
      <c r="I2">
        <v>1</v>
      </c>
      <c r="J2">
        <v>9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13.7</v>
      </c>
    </row>
    <row r="3" spans="1:19" x14ac:dyDescent="0.75">
      <c r="A3" t="s">
        <v>19</v>
      </c>
      <c r="B3" t="s">
        <v>20</v>
      </c>
      <c r="C3" t="s">
        <v>112</v>
      </c>
      <c r="D3" t="s">
        <v>113</v>
      </c>
      <c r="E3" t="s">
        <v>23</v>
      </c>
      <c r="F3">
        <v>0</v>
      </c>
      <c r="G3">
        <v>0</v>
      </c>
      <c r="H3">
        <v>0</v>
      </c>
      <c r="I3">
        <v>22</v>
      </c>
      <c r="J3">
        <v>80</v>
      </c>
      <c r="K3">
        <v>1</v>
      </c>
      <c r="L3">
        <v>3</v>
      </c>
      <c r="M3">
        <v>14</v>
      </c>
      <c r="N3">
        <v>0</v>
      </c>
      <c r="O3">
        <v>4</v>
      </c>
      <c r="P3">
        <v>0</v>
      </c>
      <c r="Q3">
        <v>0</v>
      </c>
      <c r="R3">
        <v>0</v>
      </c>
      <c r="S3">
        <v>16.899999999999999</v>
      </c>
    </row>
    <row r="4" spans="1:19" x14ac:dyDescent="0.75">
      <c r="A4" t="s">
        <v>24</v>
      </c>
      <c r="B4" t="s">
        <v>41</v>
      </c>
      <c r="C4" t="s">
        <v>114</v>
      </c>
      <c r="D4" t="s">
        <v>115</v>
      </c>
      <c r="E4" t="s">
        <v>23</v>
      </c>
      <c r="F4">
        <v>0</v>
      </c>
      <c r="G4">
        <v>0</v>
      </c>
      <c r="H4">
        <v>0</v>
      </c>
      <c r="I4">
        <v>27</v>
      </c>
      <c r="J4">
        <v>97</v>
      </c>
      <c r="K4">
        <v>1</v>
      </c>
      <c r="L4">
        <v>5</v>
      </c>
      <c r="M4">
        <v>72</v>
      </c>
      <c r="N4">
        <v>0</v>
      </c>
      <c r="O4">
        <v>5</v>
      </c>
      <c r="P4">
        <v>0</v>
      </c>
      <c r="Q4">
        <v>0</v>
      </c>
      <c r="R4">
        <v>0</v>
      </c>
      <c r="S4">
        <v>25.4</v>
      </c>
    </row>
    <row r="5" spans="1:19" x14ac:dyDescent="0.75">
      <c r="A5" t="s">
        <v>28</v>
      </c>
      <c r="B5" t="s">
        <v>45</v>
      </c>
      <c r="C5" t="s">
        <v>116</v>
      </c>
      <c r="D5" t="s">
        <v>117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7</v>
      </c>
      <c r="M5">
        <v>67</v>
      </c>
      <c r="N5">
        <v>0</v>
      </c>
      <c r="O5">
        <v>12</v>
      </c>
      <c r="P5">
        <v>0</v>
      </c>
      <c r="Q5">
        <v>0</v>
      </c>
      <c r="R5">
        <v>0</v>
      </c>
      <c r="S5">
        <v>10.199999999999999</v>
      </c>
    </row>
    <row r="6" spans="1:19" x14ac:dyDescent="0.75">
      <c r="A6" t="s">
        <v>32</v>
      </c>
      <c r="B6" t="s">
        <v>118</v>
      </c>
      <c r="C6" t="s">
        <v>119</v>
      </c>
      <c r="D6" t="s">
        <v>120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10</v>
      </c>
      <c r="M6">
        <v>105</v>
      </c>
      <c r="N6">
        <v>1</v>
      </c>
      <c r="O6">
        <v>15</v>
      </c>
      <c r="P6">
        <v>0</v>
      </c>
      <c r="Q6">
        <v>0</v>
      </c>
      <c r="R6">
        <v>0</v>
      </c>
      <c r="S6">
        <v>21.5</v>
      </c>
    </row>
    <row r="7" spans="1:19" x14ac:dyDescent="0.75">
      <c r="A7" t="s">
        <v>36</v>
      </c>
      <c r="B7" t="s">
        <v>37</v>
      </c>
      <c r="C7" t="s">
        <v>21</v>
      </c>
      <c r="D7" t="s">
        <v>121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8</v>
      </c>
      <c r="M7">
        <v>55</v>
      </c>
      <c r="N7">
        <v>1</v>
      </c>
      <c r="O7">
        <v>10</v>
      </c>
      <c r="P7">
        <v>0</v>
      </c>
      <c r="Q7">
        <v>1</v>
      </c>
      <c r="R7">
        <v>0</v>
      </c>
      <c r="S7">
        <v>13.5</v>
      </c>
    </row>
    <row r="8" spans="1:19" x14ac:dyDescent="0.75">
      <c r="A8" t="s">
        <v>40</v>
      </c>
      <c r="B8" t="s">
        <v>25</v>
      </c>
      <c r="C8" t="s">
        <v>122</v>
      </c>
      <c r="D8" t="s">
        <v>123</v>
      </c>
      <c r="E8" t="s">
        <v>23</v>
      </c>
      <c r="F8">
        <v>0</v>
      </c>
      <c r="G8">
        <v>0</v>
      </c>
      <c r="H8">
        <v>0</v>
      </c>
      <c r="I8">
        <v>12</v>
      </c>
      <c r="J8">
        <v>44</v>
      </c>
      <c r="K8">
        <v>0</v>
      </c>
      <c r="L8">
        <v>2</v>
      </c>
      <c r="M8">
        <v>10</v>
      </c>
      <c r="N8">
        <v>0</v>
      </c>
      <c r="O8">
        <v>3</v>
      </c>
      <c r="P8">
        <v>0</v>
      </c>
      <c r="Q8">
        <v>0</v>
      </c>
      <c r="R8">
        <v>0</v>
      </c>
      <c r="S8">
        <v>6.4</v>
      </c>
    </row>
    <row r="9" spans="1:19" x14ac:dyDescent="0.75">
      <c r="A9" t="s">
        <v>44</v>
      </c>
      <c r="B9" t="s">
        <v>95</v>
      </c>
      <c r="C9" t="s">
        <v>124</v>
      </c>
      <c r="D9" t="s">
        <v>125</v>
      </c>
      <c r="E9" t="s">
        <v>23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2</v>
      </c>
      <c r="M9">
        <v>17</v>
      </c>
      <c r="N9">
        <v>0</v>
      </c>
      <c r="O9">
        <v>2</v>
      </c>
      <c r="P9">
        <v>0</v>
      </c>
      <c r="Q9">
        <v>0</v>
      </c>
      <c r="R9">
        <v>0</v>
      </c>
      <c r="S9">
        <v>2.7</v>
      </c>
    </row>
    <row r="10" spans="1:19" x14ac:dyDescent="0.75">
      <c r="A10" t="s">
        <v>49</v>
      </c>
      <c r="B10" t="s">
        <v>96</v>
      </c>
      <c r="C10" t="s">
        <v>119</v>
      </c>
      <c r="D10" t="s">
        <v>120</v>
      </c>
      <c r="E10" t="s">
        <v>23</v>
      </c>
      <c r="F10">
        <v>0</v>
      </c>
      <c r="G10">
        <v>0</v>
      </c>
      <c r="H10">
        <v>0</v>
      </c>
      <c r="I10">
        <v>11</v>
      </c>
      <c r="J10">
        <v>34</v>
      </c>
      <c r="K10">
        <v>0</v>
      </c>
      <c r="L10">
        <v>2</v>
      </c>
      <c r="M10">
        <v>18</v>
      </c>
      <c r="N10">
        <v>1</v>
      </c>
      <c r="O10">
        <v>2</v>
      </c>
      <c r="P10">
        <v>0</v>
      </c>
      <c r="Q10">
        <v>0</v>
      </c>
      <c r="R10">
        <v>0</v>
      </c>
      <c r="S10">
        <v>12.2</v>
      </c>
    </row>
    <row r="11" spans="1:19" x14ac:dyDescent="0.75">
      <c r="A11" t="s">
        <v>53</v>
      </c>
      <c r="B11" t="s">
        <v>88</v>
      </c>
      <c r="C11" t="s">
        <v>126</v>
      </c>
      <c r="D11" t="s">
        <v>127</v>
      </c>
      <c r="E11" t="s">
        <v>23</v>
      </c>
      <c r="F11">
        <v>0</v>
      </c>
      <c r="G11">
        <v>0</v>
      </c>
      <c r="H11">
        <v>0</v>
      </c>
      <c r="I11">
        <v>1</v>
      </c>
      <c r="J11">
        <v>15</v>
      </c>
      <c r="K11">
        <v>0</v>
      </c>
      <c r="L11">
        <v>2</v>
      </c>
      <c r="M11">
        <v>44</v>
      </c>
      <c r="N11">
        <v>1</v>
      </c>
      <c r="O11">
        <v>3</v>
      </c>
      <c r="P11">
        <v>0</v>
      </c>
      <c r="Q11">
        <v>0</v>
      </c>
      <c r="R11">
        <v>0</v>
      </c>
      <c r="S11">
        <v>12.9</v>
      </c>
    </row>
    <row r="12" spans="1:19" x14ac:dyDescent="0.75">
      <c r="A12" t="s">
        <v>55</v>
      </c>
      <c r="B12" t="s">
        <v>102</v>
      </c>
      <c r="C12" t="s">
        <v>100</v>
      </c>
      <c r="D12" t="s">
        <v>128</v>
      </c>
      <c r="E12" t="s">
        <v>23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2</v>
      </c>
      <c r="M12">
        <v>44</v>
      </c>
      <c r="N12">
        <v>0</v>
      </c>
      <c r="O12">
        <v>3</v>
      </c>
      <c r="P12">
        <v>0</v>
      </c>
      <c r="Q12">
        <v>0</v>
      </c>
      <c r="R12">
        <v>0</v>
      </c>
      <c r="S12">
        <v>5.4</v>
      </c>
    </row>
    <row r="13" spans="1:19" x14ac:dyDescent="0.75">
      <c r="A13" t="s">
        <v>57</v>
      </c>
      <c r="B13" t="s">
        <v>129</v>
      </c>
      <c r="C13" t="s">
        <v>130</v>
      </c>
      <c r="D13" t="s">
        <v>131</v>
      </c>
      <c r="E13" t="s">
        <v>23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75">
      <c r="A14" t="s">
        <v>61</v>
      </c>
      <c r="B14" t="s">
        <v>54</v>
      </c>
      <c r="C14" t="s">
        <v>112</v>
      </c>
      <c r="D14" t="s">
        <v>113</v>
      </c>
      <c r="E14" t="s">
        <v>23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75">
      <c r="A15" t="s">
        <v>63</v>
      </c>
      <c r="B15" t="s">
        <v>64</v>
      </c>
      <c r="C15" t="s">
        <v>100</v>
      </c>
      <c r="D15" t="s">
        <v>128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132</v>
      </c>
      <c r="C17" t="s">
        <v>51</v>
      </c>
      <c r="D17" t="s">
        <v>133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>
        <v>26</v>
      </c>
      <c r="L17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17"/>
  <sheetViews>
    <sheetView workbookViewId="0"/>
  </sheetViews>
  <sheetFormatPr defaultRowHeight="14.75" x14ac:dyDescent="0.75"/>
  <cols>
    <col min="1" max="1" width="8.7265625" customWidth="1"/>
    <col min="2" max="2" width="27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134</v>
      </c>
      <c r="C2" t="s">
        <v>30</v>
      </c>
      <c r="D2" t="s">
        <v>135</v>
      </c>
      <c r="E2" t="s">
        <v>136</v>
      </c>
      <c r="F2">
        <v>286</v>
      </c>
      <c r="G2">
        <v>4</v>
      </c>
      <c r="H2">
        <v>0</v>
      </c>
      <c r="I2">
        <v>4</v>
      </c>
      <c r="J2">
        <v>29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36.299999999999997</v>
      </c>
    </row>
    <row r="3" spans="1:19" x14ac:dyDescent="0.75">
      <c r="A3" t="s">
        <v>19</v>
      </c>
      <c r="B3" t="s">
        <v>20</v>
      </c>
      <c r="C3" t="s">
        <v>137</v>
      </c>
      <c r="D3" t="s">
        <v>138</v>
      </c>
      <c r="E3" t="s">
        <v>23</v>
      </c>
      <c r="F3">
        <v>0</v>
      </c>
      <c r="G3">
        <v>0</v>
      </c>
      <c r="H3">
        <v>0</v>
      </c>
      <c r="I3">
        <v>21</v>
      </c>
      <c r="J3">
        <v>85</v>
      </c>
      <c r="K3">
        <v>1</v>
      </c>
      <c r="L3">
        <v>4</v>
      </c>
      <c r="M3">
        <v>54</v>
      </c>
      <c r="N3">
        <v>1</v>
      </c>
      <c r="O3">
        <v>5</v>
      </c>
      <c r="P3">
        <v>0</v>
      </c>
      <c r="Q3">
        <v>0</v>
      </c>
      <c r="R3">
        <v>0</v>
      </c>
      <c r="S3">
        <v>27.9</v>
      </c>
    </row>
    <row r="4" spans="1:19" x14ac:dyDescent="0.75">
      <c r="A4" t="s">
        <v>24</v>
      </c>
      <c r="B4" t="s">
        <v>41</v>
      </c>
      <c r="C4" t="s">
        <v>139</v>
      </c>
      <c r="D4" t="s">
        <v>140</v>
      </c>
      <c r="E4" t="s">
        <v>23</v>
      </c>
      <c r="F4">
        <v>0</v>
      </c>
      <c r="G4">
        <v>0</v>
      </c>
      <c r="H4">
        <v>0</v>
      </c>
      <c r="I4">
        <v>13</v>
      </c>
      <c r="J4">
        <v>66</v>
      </c>
      <c r="K4">
        <v>1</v>
      </c>
      <c r="L4">
        <v>1</v>
      </c>
      <c r="M4">
        <v>8</v>
      </c>
      <c r="N4">
        <v>0</v>
      </c>
      <c r="O4">
        <v>3</v>
      </c>
      <c r="P4">
        <v>0</v>
      </c>
      <c r="Q4">
        <v>1</v>
      </c>
      <c r="R4">
        <v>0</v>
      </c>
      <c r="S4">
        <v>11.9</v>
      </c>
    </row>
    <row r="5" spans="1:19" x14ac:dyDescent="0.75">
      <c r="A5" t="s">
        <v>28</v>
      </c>
      <c r="B5" t="s">
        <v>45</v>
      </c>
      <c r="C5" t="s">
        <v>21</v>
      </c>
      <c r="D5" t="s">
        <v>141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5</v>
      </c>
      <c r="M5">
        <v>67</v>
      </c>
      <c r="N5">
        <v>1</v>
      </c>
      <c r="O5">
        <v>10</v>
      </c>
      <c r="P5">
        <v>0</v>
      </c>
      <c r="Q5">
        <v>0</v>
      </c>
      <c r="R5">
        <v>0</v>
      </c>
      <c r="S5">
        <v>15.2</v>
      </c>
    </row>
    <row r="6" spans="1:19" x14ac:dyDescent="0.75">
      <c r="A6" t="s">
        <v>32</v>
      </c>
      <c r="B6" t="s">
        <v>118</v>
      </c>
      <c r="C6" t="s">
        <v>142</v>
      </c>
      <c r="D6" t="s">
        <v>143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3</v>
      </c>
      <c r="M6">
        <v>35</v>
      </c>
      <c r="N6">
        <v>0</v>
      </c>
      <c r="O6">
        <v>3</v>
      </c>
      <c r="P6">
        <v>1</v>
      </c>
      <c r="Q6">
        <v>0</v>
      </c>
      <c r="R6">
        <v>0</v>
      </c>
      <c r="S6">
        <v>7</v>
      </c>
    </row>
    <row r="7" spans="1:19" x14ac:dyDescent="0.75">
      <c r="A7" t="s">
        <v>36</v>
      </c>
      <c r="B7" t="s">
        <v>37</v>
      </c>
      <c r="C7" t="s">
        <v>144</v>
      </c>
      <c r="D7" t="s">
        <v>145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5</v>
      </c>
      <c r="M7">
        <v>81</v>
      </c>
      <c r="N7">
        <v>0</v>
      </c>
      <c r="O7">
        <v>8</v>
      </c>
      <c r="P7">
        <v>0</v>
      </c>
      <c r="Q7">
        <v>0</v>
      </c>
      <c r="R7">
        <v>0</v>
      </c>
      <c r="S7">
        <v>10.6</v>
      </c>
    </row>
    <row r="8" spans="1:19" x14ac:dyDescent="0.75">
      <c r="A8" t="s">
        <v>40</v>
      </c>
      <c r="B8" t="s">
        <v>96</v>
      </c>
      <c r="C8" t="s">
        <v>142</v>
      </c>
      <c r="D8" t="s">
        <v>143</v>
      </c>
      <c r="E8" t="s">
        <v>23</v>
      </c>
      <c r="F8">
        <v>0</v>
      </c>
      <c r="G8">
        <v>0</v>
      </c>
      <c r="H8">
        <v>0</v>
      </c>
      <c r="I8">
        <v>12</v>
      </c>
      <c r="J8">
        <v>42</v>
      </c>
      <c r="K8">
        <v>0</v>
      </c>
      <c r="L8">
        <v>3</v>
      </c>
      <c r="M8">
        <v>24</v>
      </c>
      <c r="N8">
        <v>0</v>
      </c>
      <c r="O8">
        <v>3</v>
      </c>
      <c r="P8">
        <v>0</v>
      </c>
      <c r="Q8">
        <v>0</v>
      </c>
      <c r="R8">
        <v>0</v>
      </c>
      <c r="S8">
        <v>8.1</v>
      </c>
    </row>
    <row r="9" spans="1:19" x14ac:dyDescent="0.75">
      <c r="A9" t="s">
        <v>44</v>
      </c>
      <c r="B9" t="s">
        <v>25</v>
      </c>
      <c r="C9" t="s">
        <v>146</v>
      </c>
      <c r="D9" t="s">
        <v>147</v>
      </c>
      <c r="E9" t="s">
        <v>23</v>
      </c>
      <c r="F9">
        <v>0</v>
      </c>
      <c r="G9">
        <v>0</v>
      </c>
      <c r="H9">
        <v>0</v>
      </c>
      <c r="I9">
        <v>7</v>
      </c>
      <c r="J9">
        <v>20</v>
      </c>
      <c r="K9">
        <v>0</v>
      </c>
      <c r="L9">
        <v>1</v>
      </c>
      <c r="M9">
        <v>7</v>
      </c>
      <c r="N9">
        <v>0</v>
      </c>
      <c r="O9">
        <v>2</v>
      </c>
      <c r="P9">
        <v>0</v>
      </c>
      <c r="Q9">
        <v>0</v>
      </c>
      <c r="R9">
        <v>0</v>
      </c>
      <c r="S9">
        <v>3.2</v>
      </c>
    </row>
    <row r="10" spans="1:19" x14ac:dyDescent="0.75">
      <c r="A10" t="s">
        <v>49</v>
      </c>
      <c r="B10" t="s">
        <v>129</v>
      </c>
      <c r="C10" t="s">
        <v>87</v>
      </c>
      <c r="D10" t="s">
        <v>148</v>
      </c>
      <c r="E10" t="s">
        <v>23</v>
      </c>
      <c r="F10">
        <v>0</v>
      </c>
      <c r="G10">
        <v>0</v>
      </c>
      <c r="H10">
        <v>0</v>
      </c>
      <c r="I10">
        <v>7</v>
      </c>
      <c r="J10">
        <v>23</v>
      </c>
      <c r="K10">
        <v>0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2.2999999999999998</v>
      </c>
    </row>
    <row r="11" spans="1:19" x14ac:dyDescent="0.75">
      <c r="A11" t="s">
        <v>53</v>
      </c>
      <c r="B11" t="s">
        <v>149</v>
      </c>
      <c r="C11" t="s">
        <v>144</v>
      </c>
      <c r="D11" t="s">
        <v>145</v>
      </c>
      <c r="E11" t="s">
        <v>23</v>
      </c>
      <c r="F11">
        <v>0</v>
      </c>
      <c r="G11">
        <v>0</v>
      </c>
      <c r="H11">
        <v>0</v>
      </c>
      <c r="I11">
        <v>10</v>
      </c>
      <c r="J11">
        <v>34</v>
      </c>
      <c r="K11">
        <v>1</v>
      </c>
      <c r="L11">
        <v>4</v>
      </c>
      <c r="M11">
        <v>45</v>
      </c>
      <c r="N11">
        <v>0</v>
      </c>
      <c r="O11">
        <v>6</v>
      </c>
      <c r="P11">
        <v>0</v>
      </c>
      <c r="Q11">
        <v>0</v>
      </c>
      <c r="R11">
        <v>0</v>
      </c>
      <c r="S11">
        <v>15.9</v>
      </c>
    </row>
    <row r="12" spans="1:19" x14ac:dyDescent="0.75">
      <c r="A12" t="s">
        <v>55</v>
      </c>
      <c r="B12" t="s">
        <v>150</v>
      </c>
      <c r="C12" t="s">
        <v>137</v>
      </c>
      <c r="D12" t="s">
        <v>138</v>
      </c>
      <c r="E12" t="s">
        <v>23</v>
      </c>
      <c r="F12">
        <v>0</v>
      </c>
      <c r="G12">
        <v>0</v>
      </c>
      <c r="H12">
        <v>0</v>
      </c>
      <c r="I12">
        <v>2</v>
      </c>
      <c r="J12">
        <v>76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7.6</v>
      </c>
    </row>
    <row r="13" spans="1:19" x14ac:dyDescent="0.75">
      <c r="A13" t="s">
        <v>57</v>
      </c>
      <c r="B13" t="s">
        <v>102</v>
      </c>
      <c r="C13" t="s">
        <v>151</v>
      </c>
      <c r="D13" t="s">
        <v>152</v>
      </c>
      <c r="E13" t="s">
        <v>23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3</v>
      </c>
      <c r="M13">
        <v>30</v>
      </c>
      <c r="N13">
        <v>1</v>
      </c>
      <c r="O13">
        <v>3</v>
      </c>
      <c r="P13">
        <v>0</v>
      </c>
      <c r="Q13">
        <v>0</v>
      </c>
      <c r="R13">
        <v>0</v>
      </c>
      <c r="S13">
        <v>10.5</v>
      </c>
    </row>
    <row r="14" spans="1:19" x14ac:dyDescent="0.75">
      <c r="A14" t="s">
        <v>61</v>
      </c>
      <c r="B14" t="s">
        <v>153</v>
      </c>
      <c r="C14" t="s">
        <v>26</v>
      </c>
      <c r="D14" t="s">
        <v>83</v>
      </c>
      <c r="E14" t="s">
        <v>23</v>
      </c>
      <c r="F14">
        <v>0</v>
      </c>
      <c r="G14">
        <v>0</v>
      </c>
      <c r="H14">
        <v>0</v>
      </c>
      <c r="I14">
        <v>9</v>
      </c>
      <c r="J14">
        <v>82</v>
      </c>
      <c r="K14">
        <v>0</v>
      </c>
      <c r="L14">
        <v>0</v>
      </c>
      <c r="M14">
        <v>0</v>
      </c>
      <c r="N14">
        <v>0</v>
      </c>
      <c r="O14">
        <v>2</v>
      </c>
      <c r="P14">
        <v>0</v>
      </c>
      <c r="Q14">
        <v>1</v>
      </c>
      <c r="R14">
        <v>0</v>
      </c>
      <c r="S14">
        <v>6.2</v>
      </c>
    </row>
    <row r="15" spans="1:19" x14ac:dyDescent="0.75">
      <c r="A15" t="s">
        <v>63</v>
      </c>
      <c r="B15" t="s">
        <v>64</v>
      </c>
      <c r="C15" t="s">
        <v>151</v>
      </c>
      <c r="D15" t="s">
        <v>152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132</v>
      </c>
      <c r="C17" t="s">
        <v>130</v>
      </c>
      <c r="D17" t="s">
        <v>154</v>
      </c>
      <c r="E17">
        <v>0</v>
      </c>
      <c r="F17">
        <v>1</v>
      </c>
      <c r="G17">
        <v>0</v>
      </c>
      <c r="H17">
        <v>3</v>
      </c>
      <c r="I17">
        <v>0</v>
      </c>
      <c r="J17">
        <v>0</v>
      </c>
      <c r="K17">
        <v>10</v>
      </c>
      <c r="L17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S17"/>
  <sheetViews>
    <sheetView workbookViewId="0"/>
  </sheetViews>
  <sheetFormatPr defaultRowHeight="14.75" x14ac:dyDescent="0.75"/>
  <cols>
    <col min="1" max="1" width="8.7265625" customWidth="1"/>
    <col min="2" max="2" width="27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155</v>
      </c>
      <c r="C2" t="s">
        <v>156</v>
      </c>
      <c r="D2" t="s">
        <v>157</v>
      </c>
      <c r="E2" t="s">
        <v>158</v>
      </c>
      <c r="F2">
        <v>261</v>
      </c>
      <c r="G2">
        <v>5</v>
      </c>
      <c r="H2">
        <v>0</v>
      </c>
      <c r="I2">
        <v>3</v>
      </c>
      <c r="J2">
        <v>31</v>
      </c>
      <c r="K2">
        <v>0</v>
      </c>
      <c r="L2">
        <v>0</v>
      </c>
      <c r="M2">
        <v>0</v>
      </c>
      <c r="N2">
        <v>0</v>
      </c>
      <c r="O2">
        <v>0</v>
      </c>
      <c r="P2">
        <v>1</v>
      </c>
      <c r="Q2">
        <v>0</v>
      </c>
      <c r="R2">
        <v>0</v>
      </c>
      <c r="S2">
        <v>45.5</v>
      </c>
    </row>
    <row r="3" spans="1:19" x14ac:dyDescent="0.75">
      <c r="A3" t="s">
        <v>19</v>
      </c>
      <c r="B3" t="s">
        <v>20</v>
      </c>
      <c r="C3" t="s">
        <v>159</v>
      </c>
      <c r="D3" t="s">
        <v>160</v>
      </c>
      <c r="E3" t="s">
        <v>23</v>
      </c>
      <c r="F3">
        <v>0</v>
      </c>
      <c r="G3">
        <v>0</v>
      </c>
      <c r="H3">
        <v>0</v>
      </c>
      <c r="I3">
        <v>29</v>
      </c>
      <c r="J3">
        <v>116</v>
      </c>
      <c r="K3">
        <v>0</v>
      </c>
      <c r="L3">
        <v>1</v>
      </c>
      <c r="M3">
        <v>16</v>
      </c>
      <c r="N3">
        <v>0</v>
      </c>
      <c r="O3">
        <v>2</v>
      </c>
      <c r="P3">
        <v>0</v>
      </c>
      <c r="Q3">
        <v>0</v>
      </c>
      <c r="R3">
        <v>0</v>
      </c>
      <c r="S3">
        <v>13.7</v>
      </c>
    </row>
    <row r="4" spans="1:19" x14ac:dyDescent="0.75">
      <c r="A4" t="s">
        <v>24</v>
      </c>
      <c r="B4" t="s">
        <v>25</v>
      </c>
      <c r="C4" t="s">
        <v>106</v>
      </c>
      <c r="D4" t="s">
        <v>161</v>
      </c>
      <c r="E4" t="s">
        <v>23</v>
      </c>
      <c r="F4">
        <v>0</v>
      </c>
      <c r="G4">
        <v>0</v>
      </c>
      <c r="H4">
        <v>0</v>
      </c>
      <c r="I4">
        <v>16</v>
      </c>
      <c r="J4">
        <v>60</v>
      </c>
      <c r="K4">
        <v>0</v>
      </c>
      <c r="L4">
        <v>2</v>
      </c>
      <c r="M4">
        <v>7</v>
      </c>
      <c r="N4">
        <v>0</v>
      </c>
      <c r="O4">
        <v>3</v>
      </c>
      <c r="P4">
        <v>0</v>
      </c>
      <c r="Q4">
        <v>0</v>
      </c>
      <c r="R4">
        <v>0</v>
      </c>
      <c r="S4">
        <v>7.7</v>
      </c>
    </row>
    <row r="5" spans="1:19" x14ac:dyDescent="0.75">
      <c r="A5" t="s">
        <v>28</v>
      </c>
      <c r="B5" t="s">
        <v>45</v>
      </c>
      <c r="C5" t="s">
        <v>89</v>
      </c>
      <c r="D5" t="s">
        <v>162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5</v>
      </c>
      <c r="M5">
        <v>49</v>
      </c>
      <c r="N5">
        <v>0</v>
      </c>
      <c r="O5">
        <v>8</v>
      </c>
      <c r="P5">
        <v>0</v>
      </c>
      <c r="Q5">
        <v>0</v>
      </c>
      <c r="R5">
        <v>0</v>
      </c>
      <c r="S5">
        <v>7.4</v>
      </c>
    </row>
    <row r="6" spans="1:19" x14ac:dyDescent="0.75">
      <c r="A6" t="s">
        <v>32</v>
      </c>
      <c r="B6" t="s">
        <v>118</v>
      </c>
      <c r="C6" t="s">
        <v>65</v>
      </c>
      <c r="D6" t="s">
        <v>154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4</v>
      </c>
      <c r="M6">
        <v>37</v>
      </c>
      <c r="N6">
        <v>0</v>
      </c>
      <c r="O6">
        <v>8</v>
      </c>
      <c r="P6">
        <v>0</v>
      </c>
      <c r="Q6">
        <v>0</v>
      </c>
      <c r="R6">
        <v>0</v>
      </c>
      <c r="S6">
        <v>5.7</v>
      </c>
    </row>
    <row r="7" spans="1:19" x14ac:dyDescent="0.75">
      <c r="A7" t="s">
        <v>36</v>
      </c>
      <c r="B7" t="s">
        <v>37</v>
      </c>
      <c r="C7" t="s">
        <v>103</v>
      </c>
      <c r="D7" t="s">
        <v>163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6</v>
      </c>
      <c r="M7">
        <v>61</v>
      </c>
      <c r="N7">
        <v>1</v>
      </c>
      <c r="O7">
        <v>12</v>
      </c>
      <c r="P7">
        <v>0</v>
      </c>
      <c r="Q7">
        <v>0</v>
      </c>
      <c r="R7">
        <v>0</v>
      </c>
      <c r="S7">
        <v>15.1</v>
      </c>
    </row>
    <row r="8" spans="1:19" x14ac:dyDescent="0.75">
      <c r="A8" t="s">
        <v>40</v>
      </c>
      <c r="B8" t="s">
        <v>164</v>
      </c>
      <c r="C8" t="s">
        <v>165</v>
      </c>
      <c r="D8" t="s">
        <v>166</v>
      </c>
      <c r="E8" t="s">
        <v>23</v>
      </c>
      <c r="F8">
        <v>0</v>
      </c>
      <c r="G8">
        <v>0</v>
      </c>
      <c r="H8">
        <v>0</v>
      </c>
      <c r="I8">
        <v>12</v>
      </c>
      <c r="J8">
        <v>31</v>
      </c>
      <c r="K8">
        <v>0</v>
      </c>
      <c r="L8">
        <v>2</v>
      </c>
      <c r="M8">
        <v>12</v>
      </c>
      <c r="N8">
        <v>0</v>
      </c>
      <c r="O8">
        <v>2</v>
      </c>
      <c r="P8">
        <v>0</v>
      </c>
      <c r="Q8">
        <v>0</v>
      </c>
      <c r="R8">
        <v>0</v>
      </c>
      <c r="S8">
        <v>5.3</v>
      </c>
    </row>
    <row r="9" spans="1:19" x14ac:dyDescent="0.75">
      <c r="A9" t="s">
        <v>44</v>
      </c>
      <c r="B9" t="s">
        <v>129</v>
      </c>
      <c r="C9" t="s">
        <v>46</v>
      </c>
      <c r="D9" t="s">
        <v>47</v>
      </c>
      <c r="E9" t="s">
        <v>48</v>
      </c>
      <c r="F9" t="s">
        <v>48</v>
      </c>
      <c r="G9" t="s">
        <v>48</v>
      </c>
      <c r="H9" t="s">
        <v>48</v>
      </c>
      <c r="I9" t="s">
        <v>48</v>
      </c>
      <c r="J9" t="s">
        <v>48</v>
      </c>
      <c r="K9" t="s">
        <v>48</v>
      </c>
      <c r="L9" t="s">
        <v>48</v>
      </c>
      <c r="M9" t="s">
        <v>48</v>
      </c>
      <c r="N9" t="s">
        <v>48</v>
      </c>
      <c r="O9" t="s">
        <v>48</v>
      </c>
      <c r="P9" t="s">
        <v>48</v>
      </c>
      <c r="Q9" t="s">
        <v>48</v>
      </c>
      <c r="R9" t="s">
        <v>48</v>
      </c>
    </row>
    <row r="10" spans="1:19" x14ac:dyDescent="0.75">
      <c r="A10" t="s">
        <v>49</v>
      </c>
      <c r="B10" t="s">
        <v>149</v>
      </c>
      <c r="C10" t="s">
        <v>103</v>
      </c>
      <c r="D10" t="s">
        <v>163</v>
      </c>
      <c r="E10" t="s">
        <v>23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75">
      <c r="A11" t="s">
        <v>53</v>
      </c>
      <c r="B11" t="s">
        <v>153</v>
      </c>
      <c r="C11" t="s">
        <v>93</v>
      </c>
      <c r="D11" t="s">
        <v>39</v>
      </c>
      <c r="E11" t="s">
        <v>23</v>
      </c>
      <c r="F11">
        <v>0</v>
      </c>
      <c r="G11">
        <v>0</v>
      </c>
      <c r="H11">
        <v>0</v>
      </c>
      <c r="I11">
        <v>12</v>
      </c>
      <c r="J11">
        <v>55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5.5</v>
      </c>
    </row>
    <row r="12" spans="1:19" x14ac:dyDescent="0.75">
      <c r="A12" t="s">
        <v>55</v>
      </c>
      <c r="B12" t="s">
        <v>150</v>
      </c>
      <c r="C12" t="s">
        <v>159</v>
      </c>
      <c r="D12" t="s">
        <v>160</v>
      </c>
      <c r="E12" t="s">
        <v>23</v>
      </c>
      <c r="F12">
        <v>0</v>
      </c>
      <c r="G12">
        <v>0</v>
      </c>
      <c r="H12">
        <v>0</v>
      </c>
      <c r="I12">
        <v>2</v>
      </c>
      <c r="J12">
        <v>10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1</v>
      </c>
    </row>
    <row r="13" spans="1:19" x14ac:dyDescent="0.75">
      <c r="A13" t="s">
        <v>57</v>
      </c>
      <c r="B13" t="s">
        <v>167</v>
      </c>
      <c r="C13" t="s">
        <v>59</v>
      </c>
      <c r="D13" t="s">
        <v>168</v>
      </c>
      <c r="E13" t="s">
        <v>23</v>
      </c>
      <c r="F13">
        <v>0</v>
      </c>
      <c r="G13">
        <v>0</v>
      </c>
      <c r="H13">
        <v>0</v>
      </c>
      <c r="I13">
        <v>11</v>
      </c>
      <c r="J13">
        <v>57</v>
      </c>
      <c r="K13">
        <v>0</v>
      </c>
      <c r="L13">
        <v>5</v>
      </c>
      <c r="M13">
        <v>25</v>
      </c>
      <c r="N13">
        <v>0</v>
      </c>
      <c r="O13">
        <v>5</v>
      </c>
      <c r="P13">
        <v>0</v>
      </c>
      <c r="Q13">
        <v>0</v>
      </c>
      <c r="R13">
        <v>0</v>
      </c>
      <c r="S13">
        <v>10.7</v>
      </c>
    </row>
    <row r="14" spans="1:19" x14ac:dyDescent="0.75">
      <c r="A14" t="s">
        <v>63</v>
      </c>
      <c r="B14" t="s">
        <v>64</v>
      </c>
      <c r="C14" t="s">
        <v>97</v>
      </c>
      <c r="D14" t="s">
        <v>169</v>
      </c>
      <c r="E14" t="s">
        <v>23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75">
      <c r="A15" t="s">
        <v>0</v>
      </c>
      <c r="B15" t="s">
        <v>1</v>
      </c>
      <c r="C15" t="s">
        <v>2</v>
      </c>
      <c r="D15" t="s">
        <v>3</v>
      </c>
      <c r="E15" t="s">
        <v>6</v>
      </c>
      <c r="F15" t="s">
        <v>7</v>
      </c>
      <c r="G15" t="s">
        <v>67</v>
      </c>
      <c r="H15" t="s">
        <v>68</v>
      </c>
      <c r="I15" t="s">
        <v>69</v>
      </c>
      <c r="J15" t="s">
        <v>70</v>
      </c>
      <c r="K15" t="s">
        <v>71</v>
      </c>
      <c r="L15" t="s">
        <v>13</v>
      </c>
    </row>
    <row r="16" spans="1:19" x14ac:dyDescent="0.75">
      <c r="A16" t="s">
        <v>72</v>
      </c>
      <c r="B16" t="s">
        <v>170</v>
      </c>
      <c r="C16" t="s">
        <v>171</v>
      </c>
      <c r="D16" t="s">
        <v>172</v>
      </c>
      <c r="E16">
        <v>0</v>
      </c>
      <c r="F16">
        <v>2</v>
      </c>
      <c r="G16">
        <v>1</v>
      </c>
      <c r="H16">
        <v>1</v>
      </c>
      <c r="I16">
        <v>0</v>
      </c>
      <c r="J16">
        <v>0</v>
      </c>
      <c r="K16">
        <v>20</v>
      </c>
      <c r="L16">
        <v>6</v>
      </c>
    </row>
    <row r="17" spans="1:11" x14ac:dyDescent="0.75">
      <c r="A17" t="s">
        <v>61</v>
      </c>
      <c r="B17" t="s">
        <v>132</v>
      </c>
      <c r="C17" t="s">
        <v>46</v>
      </c>
      <c r="D17" t="s">
        <v>48</v>
      </c>
      <c r="E17" t="s">
        <v>48</v>
      </c>
      <c r="F17" t="s">
        <v>48</v>
      </c>
      <c r="G17" t="s">
        <v>48</v>
      </c>
      <c r="H17" t="s">
        <v>48</v>
      </c>
      <c r="I17" t="s">
        <v>48</v>
      </c>
      <c r="J17" t="s">
        <v>48</v>
      </c>
      <c r="K17" t="s">
        <v>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S17"/>
  <sheetViews>
    <sheetView topLeftCell="A4"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174</v>
      </c>
      <c r="D2" t="s">
        <v>175</v>
      </c>
      <c r="E2" t="s">
        <v>176</v>
      </c>
      <c r="F2">
        <v>248</v>
      </c>
      <c r="G2">
        <v>1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13.9</v>
      </c>
    </row>
    <row r="3" spans="1:19" x14ac:dyDescent="0.75">
      <c r="A3" t="s">
        <v>19</v>
      </c>
      <c r="B3" t="s">
        <v>25</v>
      </c>
      <c r="C3" t="s">
        <v>34</v>
      </c>
      <c r="D3" t="s">
        <v>177</v>
      </c>
      <c r="E3" t="s">
        <v>23</v>
      </c>
      <c r="F3">
        <v>0</v>
      </c>
      <c r="G3">
        <v>0</v>
      </c>
      <c r="H3">
        <v>0</v>
      </c>
      <c r="I3">
        <v>12</v>
      </c>
      <c r="J3">
        <v>58</v>
      </c>
      <c r="K3">
        <v>0</v>
      </c>
      <c r="L3">
        <v>2</v>
      </c>
      <c r="M3">
        <v>15</v>
      </c>
      <c r="N3">
        <v>0</v>
      </c>
      <c r="O3">
        <v>2</v>
      </c>
      <c r="P3">
        <v>0</v>
      </c>
      <c r="Q3">
        <v>0</v>
      </c>
      <c r="R3">
        <v>0</v>
      </c>
      <c r="S3">
        <v>8.3000000000000007</v>
      </c>
    </row>
    <row r="4" spans="1:19" x14ac:dyDescent="0.75">
      <c r="A4" t="s">
        <v>24</v>
      </c>
      <c r="B4" t="s">
        <v>178</v>
      </c>
      <c r="C4" t="s">
        <v>89</v>
      </c>
      <c r="D4" t="s">
        <v>179</v>
      </c>
      <c r="E4" t="s">
        <v>23</v>
      </c>
      <c r="F4">
        <v>0</v>
      </c>
      <c r="G4">
        <v>0</v>
      </c>
      <c r="H4">
        <v>0</v>
      </c>
      <c r="I4">
        <v>10</v>
      </c>
      <c r="J4">
        <v>22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2.2000000000000002</v>
      </c>
    </row>
    <row r="5" spans="1:19" x14ac:dyDescent="0.75">
      <c r="A5" t="s">
        <v>28</v>
      </c>
      <c r="B5" t="s">
        <v>45</v>
      </c>
      <c r="C5" t="s">
        <v>112</v>
      </c>
      <c r="D5" t="s">
        <v>180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3</v>
      </c>
      <c r="M5">
        <v>95</v>
      </c>
      <c r="N5">
        <v>1</v>
      </c>
      <c r="O5">
        <v>8</v>
      </c>
      <c r="P5">
        <v>0</v>
      </c>
      <c r="Q5">
        <v>0</v>
      </c>
      <c r="R5">
        <v>0</v>
      </c>
      <c r="S5">
        <v>17</v>
      </c>
    </row>
    <row r="6" spans="1:19" x14ac:dyDescent="0.75">
      <c r="A6" t="s">
        <v>32</v>
      </c>
      <c r="B6" t="s">
        <v>181</v>
      </c>
      <c r="C6" t="s">
        <v>174</v>
      </c>
      <c r="D6" t="s">
        <v>175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6</v>
      </c>
      <c r="M6">
        <v>72</v>
      </c>
      <c r="N6">
        <v>0</v>
      </c>
      <c r="O6">
        <v>7</v>
      </c>
      <c r="P6">
        <v>0</v>
      </c>
      <c r="Q6">
        <v>0</v>
      </c>
      <c r="R6">
        <v>0</v>
      </c>
      <c r="S6">
        <v>10.199999999999999</v>
      </c>
    </row>
    <row r="7" spans="1:19" x14ac:dyDescent="0.75">
      <c r="A7" t="s">
        <v>36</v>
      </c>
      <c r="B7" t="s">
        <v>182</v>
      </c>
      <c r="C7" t="s">
        <v>89</v>
      </c>
      <c r="D7" t="s">
        <v>179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8</v>
      </c>
      <c r="M7">
        <v>46</v>
      </c>
      <c r="N7">
        <v>1</v>
      </c>
      <c r="O7">
        <v>11</v>
      </c>
      <c r="P7">
        <v>0</v>
      </c>
      <c r="Q7">
        <v>1</v>
      </c>
      <c r="R7">
        <v>0</v>
      </c>
      <c r="S7">
        <v>12.6</v>
      </c>
    </row>
    <row r="8" spans="1:19" x14ac:dyDescent="0.75">
      <c r="A8" t="s">
        <v>40</v>
      </c>
      <c r="B8" t="s">
        <v>183</v>
      </c>
      <c r="C8" t="s">
        <v>174</v>
      </c>
      <c r="D8" t="s">
        <v>175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4</v>
      </c>
      <c r="M8">
        <v>39</v>
      </c>
      <c r="N8">
        <v>0</v>
      </c>
      <c r="O8">
        <v>8</v>
      </c>
      <c r="P8">
        <v>0</v>
      </c>
      <c r="Q8">
        <v>0</v>
      </c>
      <c r="R8">
        <v>0</v>
      </c>
      <c r="S8">
        <v>5.9</v>
      </c>
    </row>
    <row r="9" spans="1:19" x14ac:dyDescent="0.75">
      <c r="A9" t="s">
        <v>44</v>
      </c>
      <c r="B9" t="s">
        <v>20</v>
      </c>
      <c r="C9" t="s">
        <v>46</v>
      </c>
      <c r="D9" t="s">
        <v>47</v>
      </c>
      <c r="E9" t="s">
        <v>48</v>
      </c>
      <c r="F9" t="s">
        <v>48</v>
      </c>
      <c r="G9" t="s">
        <v>48</v>
      </c>
      <c r="H9" t="s">
        <v>48</v>
      </c>
      <c r="I9" t="s">
        <v>48</v>
      </c>
      <c r="J9" t="s">
        <v>48</v>
      </c>
      <c r="K9" t="s">
        <v>48</v>
      </c>
      <c r="L9" t="s">
        <v>48</v>
      </c>
      <c r="M9" t="s">
        <v>48</v>
      </c>
      <c r="N9" t="s">
        <v>48</v>
      </c>
      <c r="O9" t="s">
        <v>48</v>
      </c>
      <c r="P9" t="s">
        <v>48</v>
      </c>
      <c r="Q9" t="s">
        <v>48</v>
      </c>
      <c r="R9" t="s">
        <v>48</v>
      </c>
    </row>
    <row r="10" spans="1:19" x14ac:dyDescent="0.75">
      <c r="A10" t="s">
        <v>49</v>
      </c>
      <c r="B10" t="s">
        <v>118</v>
      </c>
      <c r="C10" t="s">
        <v>46</v>
      </c>
      <c r="D10" t="s">
        <v>47</v>
      </c>
      <c r="E10" t="s">
        <v>48</v>
      </c>
      <c r="F10" t="s">
        <v>48</v>
      </c>
      <c r="G10" t="s">
        <v>48</v>
      </c>
      <c r="H10" t="s">
        <v>48</v>
      </c>
      <c r="I10" t="s">
        <v>48</v>
      </c>
      <c r="J10" t="s">
        <v>48</v>
      </c>
      <c r="K10" t="s">
        <v>48</v>
      </c>
      <c r="L10" t="s">
        <v>48</v>
      </c>
      <c r="M10" t="s">
        <v>48</v>
      </c>
      <c r="N10" t="s">
        <v>48</v>
      </c>
      <c r="O10" t="s">
        <v>48</v>
      </c>
      <c r="P10" t="s">
        <v>48</v>
      </c>
      <c r="Q10" t="s">
        <v>48</v>
      </c>
      <c r="R10" t="s">
        <v>48</v>
      </c>
    </row>
    <row r="11" spans="1:19" x14ac:dyDescent="0.75">
      <c r="A11" t="s">
        <v>53</v>
      </c>
      <c r="B11" t="s">
        <v>129</v>
      </c>
      <c r="C11" t="s">
        <v>97</v>
      </c>
      <c r="D11" t="s">
        <v>145</v>
      </c>
      <c r="E11" t="s">
        <v>23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75">
      <c r="A12" t="s">
        <v>55</v>
      </c>
      <c r="B12" t="s">
        <v>54</v>
      </c>
      <c r="C12" t="s">
        <v>46</v>
      </c>
      <c r="D12" t="s">
        <v>47</v>
      </c>
      <c r="E12" t="s">
        <v>48</v>
      </c>
      <c r="F12" t="s">
        <v>48</v>
      </c>
      <c r="G12" t="s">
        <v>48</v>
      </c>
      <c r="H12" t="s">
        <v>48</v>
      </c>
      <c r="I12" t="s">
        <v>48</v>
      </c>
      <c r="J12" t="s">
        <v>48</v>
      </c>
      <c r="K12" t="s">
        <v>48</v>
      </c>
      <c r="L12" t="s">
        <v>48</v>
      </c>
      <c r="M12" t="s">
        <v>48</v>
      </c>
      <c r="N12" t="s">
        <v>48</v>
      </c>
      <c r="O12" t="s">
        <v>48</v>
      </c>
      <c r="P12" t="s">
        <v>48</v>
      </c>
      <c r="Q12" t="s">
        <v>48</v>
      </c>
      <c r="R12" t="s">
        <v>48</v>
      </c>
    </row>
    <row r="13" spans="1:19" x14ac:dyDescent="0.75">
      <c r="A13" t="s">
        <v>57</v>
      </c>
      <c r="B13" t="s">
        <v>150</v>
      </c>
      <c r="C13" t="s">
        <v>46</v>
      </c>
      <c r="D13" t="s">
        <v>47</v>
      </c>
      <c r="E13" t="s">
        <v>48</v>
      </c>
      <c r="F13" t="s">
        <v>48</v>
      </c>
      <c r="G13" t="s">
        <v>48</v>
      </c>
      <c r="H13" t="s">
        <v>48</v>
      </c>
      <c r="I13" t="s">
        <v>48</v>
      </c>
      <c r="J13" t="s">
        <v>48</v>
      </c>
      <c r="K13" t="s">
        <v>48</v>
      </c>
      <c r="L13" t="s">
        <v>48</v>
      </c>
      <c r="M13" t="s">
        <v>48</v>
      </c>
      <c r="N13" t="s">
        <v>48</v>
      </c>
      <c r="O13" t="s">
        <v>48</v>
      </c>
      <c r="P13" t="s">
        <v>48</v>
      </c>
      <c r="Q13" t="s">
        <v>48</v>
      </c>
      <c r="R13" t="s">
        <v>48</v>
      </c>
    </row>
    <row r="14" spans="1:19" x14ac:dyDescent="0.75">
      <c r="A14" t="s">
        <v>61</v>
      </c>
      <c r="B14" t="s">
        <v>184</v>
      </c>
      <c r="C14" t="s">
        <v>46</v>
      </c>
      <c r="D14" t="s">
        <v>47</v>
      </c>
      <c r="E14" t="s">
        <v>48</v>
      </c>
      <c r="F14" t="s">
        <v>48</v>
      </c>
      <c r="G14" t="s">
        <v>48</v>
      </c>
      <c r="H14" t="s">
        <v>48</v>
      </c>
      <c r="I14" t="s">
        <v>48</v>
      </c>
      <c r="J14" t="s">
        <v>48</v>
      </c>
      <c r="K14" t="s">
        <v>48</v>
      </c>
      <c r="L14" t="s">
        <v>48</v>
      </c>
      <c r="M14" t="s">
        <v>48</v>
      </c>
      <c r="N14" t="s">
        <v>48</v>
      </c>
      <c r="O14" t="s">
        <v>48</v>
      </c>
      <c r="P14" t="s">
        <v>48</v>
      </c>
      <c r="Q14" t="s">
        <v>48</v>
      </c>
      <c r="R14" t="s">
        <v>48</v>
      </c>
    </row>
    <row r="15" spans="1:19" x14ac:dyDescent="0.75">
      <c r="A15" t="s">
        <v>63</v>
      </c>
      <c r="B15" t="s">
        <v>64</v>
      </c>
      <c r="C15" t="s">
        <v>119</v>
      </c>
      <c r="D15" t="s">
        <v>185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132</v>
      </c>
      <c r="C17" t="s">
        <v>21</v>
      </c>
      <c r="D17" t="s">
        <v>186</v>
      </c>
      <c r="E17">
        <v>0</v>
      </c>
      <c r="F17">
        <v>0</v>
      </c>
      <c r="G17">
        <v>0</v>
      </c>
      <c r="H17">
        <v>3</v>
      </c>
      <c r="I17">
        <v>0</v>
      </c>
      <c r="J17">
        <v>1</v>
      </c>
      <c r="K17">
        <v>17</v>
      </c>
      <c r="L17"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187</v>
      </c>
      <c r="D2" t="s">
        <v>188</v>
      </c>
      <c r="E2" t="s">
        <v>189</v>
      </c>
      <c r="F2">
        <v>233</v>
      </c>
      <c r="G2">
        <v>1</v>
      </c>
      <c r="H2">
        <v>0</v>
      </c>
      <c r="I2">
        <v>3</v>
      </c>
      <c r="J2">
        <v>37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19</v>
      </c>
    </row>
    <row r="3" spans="1:19" x14ac:dyDescent="0.75">
      <c r="A3" t="s">
        <v>19</v>
      </c>
      <c r="B3" t="s">
        <v>20</v>
      </c>
      <c r="C3" t="s">
        <v>124</v>
      </c>
      <c r="D3" t="s">
        <v>190</v>
      </c>
      <c r="E3" t="s">
        <v>23</v>
      </c>
      <c r="F3">
        <v>0</v>
      </c>
      <c r="G3">
        <v>0</v>
      </c>
      <c r="H3">
        <v>0</v>
      </c>
      <c r="I3">
        <v>26</v>
      </c>
      <c r="J3">
        <v>147</v>
      </c>
      <c r="K3">
        <v>2</v>
      </c>
      <c r="L3">
        <v>1</v>
      </c>
      <c r="M3">
        <v>72</v>
      </c>
      <c r="N3">
        <v>1</v>
      </c>
      <c r="O3">
        <v>3</v>
      </c>
      <c r="P3">
        <v>0</v>
      </c>
      <c r="Q3">
        <v>0</v>
      </c>
      <c r="R3">
        <v>0</v>
      </c>
      <c r="S3">
        <v>40.4</v>
      </c>
    </row>
    <row r="4" spans="1:19" x14ac:dyDescent="0.75">
      <c r="A4" t="s">
        <v>24</v>
      </c>
      <c r="B4" t="s">
        <v>191</v>
      </c>
      <c r="C4" t="s">
        <v>122</v>
      </c>
      <c r="D4" t="s">
        <v>192</v>
      </c>
      <c r="E4" t="s">
        <v>23</v>
      </c>
      <c r="F4">
        <v>0</v>
      </c>
      <c r="G4">
        <v>0</v>
      </c>
      <c r="H4">
        <v>0</v>
      </c>
      <c r="I4">
        <v>17</v>
      </c>
      <c r="J4">
        <v>47</v>
      </c>
      <c r="K4">
        <v>1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8.6999999999999993</v>
      </c>
    </row>
    <row r="5" spans="1:19" x14ac:dyDescent="0.75">
      <c r="A5" t="s">
        <v>28</v>
      </c>
      <c r="B5" t="s">
        <v>45</v>
      </c>
      <c r="C5" t="s">
        <v>51</v>
      </c>
      <c r="D5" t="s">
        <v>193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7</v>
      </c>
      <c r="M5">
        <v>88</v>
      </c>
      <c r="N5">
        <v>1</v>
      </c>
      <c r="O5">
        <v>10</v>
      </c>
      <c r="P5">
        <v>0</v>
      </c>
      <c r="Q5">
        <v>0</v>
      </c>
      <c r="R5">
        <v>0</v>
      </c>
      <c r="S5">
        <v>18.3</v>
      </c>
    </row>
    <row r="6" spans="1:19" x14ac:dyDescent="0.75">
      <c r="A6" t="s">
        <v>32</v>
      </c>
      <c r="B6" t="s">
        <v>181</v>
      </c>
      <c r="C6" t="s">
        <v>187</v>
      </c>
      <c r="D6" t="s">
        <v>188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</v>
      </c>
      <c r="M6">
        <v>99</v>
      </c>
      <c r="N6">
        <v>1</v>
      </c>
      <c r="O6">
        <v>13</v>
      </c>
      <c r="P6">
        <v>0</v>
      </c>
      <c r="Q6">
        <v>0</v>
      </c>
      <c r="R6">
        <v>0</v>
      </c>
      <c r="S6">
        <v>20.399999999999999</v>
      </c>
    </row>
    <row r="7" spans="1:19" x14ac:dyDescent="0.75">
      <c r="A7" t="s">
        <v>36</v>
      </c>
      <c r="B7" t="s">
        <v>182</v>
      </c>
      <c r="C7" t="s">
        <v>194</v>
      </c>
      <c r="D7" t="s">
        <v>123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3</v>
      </c>
      <c r="M7">
        <v>21</v>
      </c>
      <c r="N7">
        <v>1</v>
      </c>
      <c r="O7">
        <v>5</v>
      </c>
      <c r="P7">
        <v>0</v>
      </c>
      <c r="Q7">
        <v>0</v>
      </c>
      <c r="R7">
        <v>0</v>
      </c>
      <c r="S7">
        <v>9.6</v>
      </c>
    </row>
    <row r="8" spans="1:19" x14ac:dyDescent="0.75">
      <c r="A8" t="s">
        <v>40</v>
      </c>
      <c r="B8" t="s">
        <v>118</v>
      </c>
      <c r="C8" t="s">
        <v>195</v>
      </c>
      <c r="D8" t="s">
        <v>196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9</v>
      </c>
      <c r="M8">
        <v>92</v>
      </c>
      <c r="N8">
        <v>1</v>
      </c>
      <c r="O8">
        <v>12</v>
      </c>
      <c r="P8">
        <v>0</v>
      </c>
      <c r="Q8">
        <v>0</v>
      </c>
      <c r="R8">
        <v>0</v>
      </c>
      <c r="S8">
        <v>19.7</v>
      </c>
    </row>
    <row r="9" spans="1:19" x14ac:dyDescent="0.75">
      <c r="A9" t="s">
        <v>44</v>
      </c>
      <c r="B9" t="s">
        <v>25</v>
      </c>
      <c r="C9" t="s">
        <v>197</v>
      </c>
      <c r="D9" t="s">
        <v>198</v>
      </c>
      <c r="E9" t="s">
        <v>23</v>
      </c>
      <c r="F9">
        <v>0</v>
      </c>
      <c r="G9">
        <v>0</v>
      </c>
      <c r="H9">
        <v>0</v>
      </c>
      <c r="I9">
        <v>17</v>
      </c>
      <c r="J9">
        <v>35</v>
      </c>
      <c r="K9">
        <v>0</v>
      </c>
      <c r="L9">
        <v>4</v>
      </c>
      <c r="M9">
        <v>36</v>
      </c>
      <c r="N9">
        <v>0</v>
      </c>
      <c r="O9">
        <v>6</v>
      </c>
      <c r="P9">
        <v>0</v>
      </c>
      <c r="Q9">
        <v>0</v>
      </c>
      <c r="R9">
        <v>0</v>
      </c>
      <c r="S9">
        <v>9.1</v>
      </c>
    </row>
    <row r="10" spans="1:19" x14ac:dyDescent="0.75">
      <c r="A10" t="s">
        <v>49</v>
      </c>
      <c r="B10" t="s">
        <v>129</v>
      </c>
      <c r="C10" t="s">
        <v>199</v>
      </c>
      <c r="D10" t="s">
        <v>200</v>
      </c>
      <c r="E10" t="s">
        <v>23</v>
      </c>
      <c r="F10">
        <v>0</v>
      </c>
      <c r="G10">
        <v>0</v>
      </c>
      <c r="H10">
        <v>0</v>
      </c>
      <c r="I10">
        <v>7</v>
      </c>
      <c r="J10">
        <v>16</v>
      </c>
      <c r="K10">
        <v>0</v>
      </c>
      <c r="L10">
        <v>2</v>
      </c>
      <c r="M10">
        <v>14</v>
      </c>
      <c r="N10">
        <v>0</v>
      </c>
      <c r="O10">
        <v>2</v>
      </c>
      <c r="P10">
        <v>0</v>
      </c>
      <c r="Q10">
        <v>0</v>
      </c>
      <c r="R10">
        <v>0</v>
      </c>
      <c r="S10">
        <v>4</v>
      </c>
    </row>
    <row r="11" spans="1:19" x14ac:dyDescent="0.75">
      <c r="A11" t="s">
        <v>53</v>
      </c>
      <c r="B11" t="s">
        <v>184</v>
      </c>
      <c r="C11" t="s">
        <v>195</v>
      </c>
      <c r="D11" t="s">
        <v>196</v>
      </c>
      <c r="E11" t="s">
        <v>23</v>
      </c>
      <c r="F11">
        <v>0</v>
      </c>
      <c r="G11">
        <v>0</v>
      </c>
      <c r="H11">
        <v>0</v>
      </c>
      <c r="I11">
        <v>11</v>
      </c>
      <c r="J11">
        <v>36</v>
      </c>
      <c r="K11">
        <v>0</v>
      </c>
      <c r="L11">
        <v>1</v>
      </c>
      <c r="M11">
        <v>16</v>
      </c>
      <c r="N11">
        <v>0</v>
      </c>
      <c r="O11">
        <v>2</v>
      </c>
      <c r="P11">
        <v>0</v>
      </c>
      <c r="Q11">
        <v>1</v>
      </c>
      <c r="R11">
        <v>0</v>
      </c>
      <c r="S11">
        <v>3.7</v>
      </c>
    </row>
    <row r="12" spans="1:19" x14ac:dyDescent="0.75">
      <c r="A12" t="s">
        <v>55</v>
      </c>
      <c r="B12" t="s">
        <v>201</v>
      </c>
      <c r="C12" t="s">
        <v>202</v>
      </c>
      <c r="D12" t="s">
        <v>203</v>
      </c>
      <c r="E12" t="s">
        <v>23</v>
      </c>
      <c r="F12">
        <v>0</v>
      </c>
      <c r="G12">
        <v>0</v>
      </c>
      <c r="H12">
        <v>0</v>
      </c>
      <c r="I12">
        <v>9</v>
      </c>
      <c r="J12">
        <v>35</v>
      </c>
      <c r="K12">
        <v>0</v>
      </c>
      <c r="L12">
        <v>3</v>
      </c>
      <c r="M12">
        <v>13</v>
      </c>
      <c r="N12">
        <v>0</v>
      </c>
      <c r="O12">
        <v>3</v>
      </c>
      <c r="P12">
        <v>0</v>
      </c>
      <c r="Q12">
        <v>0</v>
      </c>
      <c r="R12">
        <v>0</v>
      </c>
      <c r="S12">
        <v>6.3</v>
      </c>
    </row>
    <row r="13" spans="1:19" x14ac:dyDescent="0.75">
      <c r="A13" t="s">
        <v>57</v>
      </c>
      <c r="B13" t="s">
        <v>149</v>
      </c>
      <c r="C13" t="s">
        <v>77</v>
      </c>
      <c r="D13" t="s">
        <v>204</v>
      </c>
      <c r="E13" t="s">
        <v>23</v>
      </c>
      <c r="F13">
        <v>0</v>
      </c>
      <c r="G13">
        <v>0</v>
      </c>
      <c r="H13">
        <v>0</v>
      </c>
      <c r="I13">
        <v>8</v>
      </c>
      <c r="J13">
        <v>25</v>
      </c>
      <c r="K13">
        <v>0</v>
      </c>
      <c r="L13">
        <v>2</v>
      </c>
      <c r="M13">
        <v>14</v>
      </c>
      <c r="N13">
        <v>0</v>
      </c>
      <c r="O13">
        <v>2</v>
      </c>
      <c r="P13">
        <v>0</v>
      </c>
      <c r="Q13">
        <v>0</v>
      </c>
      <c r="R13">
        <v>0</v>
      </c>
      <c r="S13">
        <v>4.9000000000000004</v>
      </c>
    </row>
    <row r="14" spans="1:19" x14ac:dyDescent="0.75">
      <c r="A14" t="s">
        <v>61</v>
      </c>
      <c r="B14" t="s">
        <v>205</v>
      </c>
      <c r="C14" t="s">
        <v>206</v>
      </c>
      <c r="D14" t="s">
        <v>207</v>
      </c>
      <c r="E14" t="s">
        <v>23</v>
      </c>
      <c r="F14">
        <v>0</v>
      </c>
      <c r="G14">
        <v>0</v>
      </c>
      <c r="H14">
        <v>0</v>
      </c>
      <c r="I14">
        <v>13</v>
      </c>
      <c r="J14">
        <v>76</v>
      </c>
      <c r="K14">
        <v>0</v>
      </c>
      <c r="L14">
        <v>1</v>
      </c>
      <c r="M14">
        <v>6</v>
      </c>
      <c r="N14">
        <v>0</v>
      </c>
      <c r="O14">
        <v>1</v>
      </c>
      <c r="P14">
        <v>0</v>
      </c>
      <c r="Q14">
        <v>0</v>
      </c>
      <c r="R14">
        <v>0</v>
      </c>
      <c r="S14">
        <v>8.6999999999999993</v>
      </c>
    </row>
    <row r="15" spans="1:19" x14ac:dyDescent="0.75">
      <c r="A15" t="s">
        <v>63</v>
      </c>
      <c r="B15" t="s">
        <v>64</v>
      </c>
      <c r="C15" t="s">
        <v>74</v>
      </c>
      <c r="D15" t="s">
        <v>208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132</v>
      </c>
      <c r="C17" t="s">
        <v>144</v>
      </c>
      <c r="D17" t="s">
        <v>209</v>
      </c>
      <c r="E17">
        <v>0</v>
      </c>
      <c r="F17">
        <v>0</v>
      </c>
      <c r="G17">
        <v>0</v>
      </c>
      <c r="H17">
        <v>3</v>
      </c>
      <c r="I17">
        <v>0</v>
      </c>
      <c r="J17">
        <v>0</v>
      </c>
      <c r="K17">
        <v>21</v>
      </c>
      <c r="L17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109</v>
      </c>
      <c r="D2" t="s">
        <v>210</v>
      </c>
      <c r="E2" t="s">
        <v>211</v>
      </c>
      <c r="F2">
        <v>254</v>
      </c>
      <c r="G2">
        <v>2</v>
      </c>
      <c r="H2">
        <v>0</v>
      </c>
      <c r="I2">
        <v>6</v>
      </c>
      <c r="J2">
        <v>17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2</v>
      </c>
      <c r="R2">
        <v>0</v>
      </c>
      <c r="S2">
        <v>19.899999999999999</v>
      </c>
    </row>
    <row r="3" spans="1:19" x14ac:dyDescent="0.75">
      <c r="A3" t="s">
        <v>19</v>
      </c>
      <c r="B3" t="s">
        <v>20</v>
      </c>
      <c r="C3" t="s">
        <v>38</v>
      </c>
      <c r="D3" t="s">
        <v>212</v>
      </c>
      <c r="E3" t="s">
        <v>23</v>
      </c>
      <c r="F3">
        <v>0</v>
      </c>
      <c r="G3">
        <v>0</v>
      </c>
      <c r="H3">
        <v>0</v>
      </c>
      <c r="I3">
        <v>33</v>
      </c>
      <c r="J3">
        <v>150</v>
      </c>
      <c r="K3">
        <v>2</v>
      </c>
      <c r="L3">
        <v>1</v>
      </c>
      <c r="M3">
        <v>4</v>
      </c>
      <c r="N3">
        <v>0</v>
      </c>
      <c r="O3">
        <v>2</v>
      </c>
      <c r="P3">
        <v>0</v>
      </c>
      <c r="Q3">
        <v>1</v>
      </c>
      <c r="R3">
        <v>0</v>
      </c>
      <c r="S3">
        <v>25.9</v>
      </c>
    </row>
    <row r="4" spans="1:19" x14ac:dyDescent="0.75">
      <c r="A4" t="s">
        <v>24</v>
      </c>
      <c r="B4" t="s">
        <v>205</v>
      </c>
      <c r="C4" t="s">
        <v>59</v>
      </c>
      <c r="D4" t="s">
        <v>213</v>
      </c>
      <c r="E4" t="s">
        <v>23</v>
      </c>
      <c r="F4">
        <v>0</v>
      </c>
      <c r="G4">
        <v>0</v>
      </c>
      <c r="H4">
        <v>0</v>
      </c>
      <c r="I4">
        <v>15</v>
      </c>
      <c r="J4">
        <v>44</v>
      </c>
      <c r="K4">
        <v>0</v>
      </c>
      <c r="L4">
        <v>2</v>
      </c>
      <c r="M4">
        <v>10</v>
      </c>
      <c r="N4">
        <v>0</v>
      </c>
      <c r="O4">
        <v>2</v>
      </c>
      <c r="P4">
        <v>0</v>
      </c>
      <c r="Q4">
        <v>0</v>
      </c>
      <c r="R4">
        <v>0</v>
      </c>
      <c r="S4">
        <v>6.4</v>
      </c>
    </row>
    <row r="5" spans="1:19" x14ac:dyDescent="0.75">
      <c r="A5" t="s">
        <v>28</v>
      </c>
      <c r="B5" t="s">
        <v>45</v>
      </c>
      <c r="C5" t="s">
        <v>214</v>
      </c>
      <c r="D5" t="s">
        <v>215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5</v>
      </c>
      <c r="M5">
        <v>60</v>
      </c>
      <c r="N5">
        <v>0</v>
      </c>
      <c r="O5">
        <v>10</v>
      </c>
      <c r="P5">
        <v>0</v>
      </c>
      <c r="Q5">
        <v>0</v>
      </c>
      <c r="R5">
        <v>0</v>
      </c>
      <c r="S5">
        <v>8.5</v>
      </c>
    </row>
    <row r="6" spans="1:19" x14ac:dyDescent="0.75">
      <c r="A6" t="s">
        <v>32</v>
      </c>
      <c r="B6" t="s">
        <v>181</v>
      </c>
      <c r="C6" t="s">
        <v>109</v>
      </c>
      <c r="D6" t="s">
        <v>210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3</v>
      </c>
      <c r="M6">
        <v>74</v>
      </c>
      <c r="N6">
        <v>0</v>
      </c>
      <c r="O6">
        <v>6</v>
      </c>
      <c r="P6">
        <v>0</v>
      </c>
      <c r="Q6">
        <v>0</v>
      </c>
      <c r="R6">
        <v>0</v>
      </c>
      <c r="S6">
        <v>8.9</v>
      </c>
    </row>
    <row r="7" spans="1:19" x14ac:dyDescent="0.75">
      <c r="A7" t="s">
        <v>36</v>
      </c>
      <c r="B7" t="s">
        <v>182</v>
      </c>
      <c r="C7" t="s">
        <v>206</v>
      </c>
      <c r="D7" t="s">
        <v>216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5</v>
      </c>
      <c r="M7">
        <v>28</v>
      </c>
      <c r="N7">
        <v>0</v>
      </c>
      <c r="O7">
        <v>5</v>
      </c>
      <c r="P7">
        <v>0</v>
      </c>
      <c r="Q7">
        <v>0</v>
      </c>
      <c r="R7">
        <v>0</v>
      </c>
      <c r="S7">
        <v>5.3</v>
      </c>
    </row>
    <row r="8" spans="1:19" x14ac:dyDescent="0.75">
      <c r="A8" t="s">
        <v>40</v>
      </c>
      <c r="B8" t="s">
        <v>118</v>
      </c>
      <c r="C8" t="s">
        <v>217</v>
      </c>
      <c r="D8" t="s">
        <v>218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6</v>
      </c>
      <c r="M8">
        <v>54</v>
      </c>
      <c r="N8">
        <v>0</v>
      </c>
      <c r="O8">
        <v>10</v>
      </c>
      <c r="P8">
        <v>0</v>
      </c>
      <c r="Q8">
        <v>0</v>
      </c>
      <c r="R8">
        <v>0</v>
      </c>
      <c r="S8">
        <v>8.4</v>
      </c>
    </row>
    <row r="9" spans="1:19" x14ac:dyDescent="0.75">
      <c r="A9" t="s">
        <v>44</v>
      </c>
      <c r="B9" t="s">
        <v>25</v>
      </c>
      <c r="C9" t="s">
        <v>85</v>
      </c>
      <c r="D9" t="s">
        <v>219</v>
      </c>
      <c r="E9" t="s">
        <v>23</v>
      </c>
      <c r="F9">
        <v>0</v>
      </c>
      <c r="G9">
        <v>0</v>
      </c>
      <c r="H9">
        <v>0</v>
      </c>
      <c r="I9">
        <v>11</v>
      </c>
      <c r="J9">
        <v>64</v>
      </c>
      <c r="K9">
        <v>1</v>
      </c>
      <c r="L9">
        <v>4</v>
      </c>
      <c r="M9">
        <v>54</v>
      </c>
      <c r="N9">
        <v>0</v>
      </c>
      <c r="O9">
        <v>6</v>
      </c>
      <c r="P9">
        <v>0</v>
      </c>
      <c r="Q9">
        <v>1</v>
      </c>
      <c r="R9">
        <v>0</v>
      </c>
      <c r="S9">
        <v>17.8</v>
      </c>
    </row>
    <row r="10" spans="1:19" x14ac:dyDescent="0.75">
      <c r="A10" t="s">
        <v>49</v>
      </c>
      <c r="B10" t="s">
        <v>129</v>
      </c>
      <c r="C10" t="s">
        <v>220</v>
      </c>
      <c r="D10" t="s">
        <v>221</v>
      </c>
      <c r="E10" t="s">
        <v>23</v>
      </c>
      <c r="F10">
        <v>0</v>
      </c>
      <c r="G10">
        <v>0</v>
      </c>
      <c r="H10">
        <v>0</v>
      </c>
      <c r="I10">
        <v>8</v>
      </c>
      <c r="J10">
        <v>19</v>
      </c>
      <c r="K10">
        <v>1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7.9</v>
      </c>
    </row>
    <row r="11" spans="1:19" x14ac:dyDescent="0.75">
      <c r="A11" t="s">
        <v>53</v>
      </c>
      <c r="B11" t="s">
        <v>184</v>
      </c>
      <c r="C11" t="s">
        <v>217</v>
      </c>
      <c r="D11" t="s">
        <v>218</v>
      </c>
      <c r="E11" t="s">
        <v>23</v>
      </c>
      <c r="F11">
        <v>0</v>
      </c>
      <c r="G11">
        <v>0</v>
      </c>
      <c r="H11">
        <v>0</v>
      </c>
      <c r="I11">
        <v>6</v>
      </c>
      <c r="J11">
        <v>-1</v>
      </c>
      <c r="K11">
        <v>0</v>
      </c>
      <c r="L11">
        <v>0</v>
      </c>
      <c r="M11">
        <v>0</v>
      </c>
      <c r="N11">
        <v>0</v>
      </c>
      <c r="O11">
        <v>1</v>
      </c>
      <c r="P11">
        <v>0</v>
      </c>
      <c r="Q11">
        <v>0</v>
      </c>
      <c r="R11">
        <v>0</v>
      </c>
      <c r="S11">
        <v>-0.1</v>
      </c>
    </row>
    <row r="12" spans="1:19" x14ac:dyDescent="0.75">
      <c r="A12" t="s">
        <v>55</v>
      </c>
      <c r="B12" t="s">
        <v>201</v>
      </c>
      <c r="C12" t="s">
        <v>46</v>
      </c>
      <c r="D12" t="s">
        <v>47</v>
      </c>
      <c r="E12" t="s">
        <v>48</v>
      </c>
      <c r="F12" t="s">
        <v>48</v>
      </c>
      <c r="G12" t="s">
        <v>48</v>
      </c>
      <c r="H12" t="s">
        <v>48</v>
      </c>
      <c r="I12" t="s">
        <v>48</v>
      </c>
      <c r="J12" t="s">
        <v>48</v>
      </c>
      <c r="K12" t="s">
        <v>48</v>
      </c>
      <c r="L12" t="s">
        <v>48</v>
      </c>
      <c r="M12" t="s">
        <v>48</v>
      </c>
      <c r="N12" t="s">
        <v>48</v>
      </c>
      <c r="O12" t="s">
        <v>48</v>
      </c>
      <c r="P12" t="s">
        <v>48</v>
      </c>
      <c r="Q12" t="s">
        <v>48</v>
      </c>
      <c r="R12" t="s">
        <v>48</v>
      </c>
    </row>
    <row r="13" spans="1:19" x14ac:dyDescent="0.75">
      <c r="A13" t="s">
        <v>57</v>
      </c>
      <c r="B13" t="s">
        <v>149</v>
      </c>
      <c r="C13" t="s">
        <v>97</v>
      </c>
      <c r="D13" t="s">
        <v>222</v>
      </c>
      <c r="E13" t="s">
        <v>23</v>
      </c>
      <c r="F13">
        <v>0</v>
      </c>
      <c r="G13">
        <v>0</v>
      </c>
      <c r="H13">
        <v>0</v>
      </c>
      <c r="I13">
        <v>1</v>
      </c>
      <c r="J13">
        <v>5</v>
      </c>
      <c r="K13">
        <v>0</v>
      </c>
      <c r="L13">
        <v>1</v>
      </c>
      <c r="M13">
        <v>9</v>
      </c>
      <c r="N13">
        <v>0</v>
      </c>
      <c r="O13">
        <v>2</v>
      </c>
      <c r="P13">
        <v>0</v>
      </c>
      <c r="Q13">
        <v>0</v>
      </c>
      <c r="R13">
        <v>0</v>
      </c>
      <c r="S13">
        <v>1.9</v>
      </c>
    </row>
    <row r="14" spans="1:19" x14ac:dyDescent="0.75">
      <c r="A14" t="s">
        <v>61</v>
      </c>
      <c r="B14" t="s">
        <v>223</v>
      </c>
      <c r="C14" t="s">
        <v>187</v>
      </c>
      <c r="D14" t="s">
        <v>224</v>
      </c>
      <c r="E14" t="s">
        <v>23</v>
      </c>
      <c r="F14">
        <v>0</v>
      </c>
      <c r="G14">
        <v>0</v>
      </c>
      <c r="H14">
        <v>0</v>
      </c>
      <c r="I14">
        <v>2</v>
      </c>
      <c r="J14">
        <v>8</v>
      </c>
      <c r="K14">
        <v>0</v>
      </c>
      <c r="L14">
        <v>1</v>
      </c>
      <c r="M14">
        <v>13</v>
      </c>
      <c r="N14">
        <v>0</v>
      </c>
      <c r="O14">
        <v>1</v>
      </c>
      <c r="P14">
        <v>0</v>
      </c>
      <c r="Q14">
        <v>0</v>
      </c>
      <c r="R14">
        <v>0</v>
      </c>
      <c r="S14">
        <v>2.6</v>
      </c>
    </row>
    <row r="15" spans="1:19" x14ac:dyDescent="0.75">
      <c r="A15" t="s">
        <v>63</v>
      </c>
      <c r="B15" t="s">
        <v>225</v>
      </c>
      <c r="C15" t="s">
        <v>130</v>
      </c>
      <c r="D15" t="s">
        <v>226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132</v>
      </c>
      <c r="C17" t="s">
        <v>87</v>
      </c>
      <c r="D17" t="s">
        <v>227</v>
      </c>
      <c r="E17">
        <v>0</v>
      </c>
      <c r="F17">
        <v>1</v>
      </c>
      <c r="G17">
        <v>1</v>
      </c>
      <c r="H17">
        <v>1</v>
      </c>
      <c r="I17">
        <v>0</v>
      </c>
      <c r="J17">
        <v>0</v>
      </c>
      <c r="K17">
        <v>23</v>
      </c>
      <c r="L17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  <col min="153" max="153" width="6.7265625" customWidth="1"/>
    <col min="154" max="154" width="18.7265625" customWidth="1"/>
    <col min="155" max="155" width="5.7265625" customWidth="1"/>
    <col min="156" max="156" width="11.7265625" customWidth="1"/>
    <col min="157" max="158" width="5.7265625" customWidth="1"/>
    <col min="159" max="159" width="4.7265625" customWidth="1"/>
    <col min="160" max="160" width="5.7265625" customWidth="1"/>
    <col min="161" max="161" width="6.7265625" customWidth="1"/>
    <col min="162" max="162" width="5.7265625" customWidth="1"/>
    <col min="163" max="163" width="4.7265625" customWidth="1"/>
    <col min="164" max="165" width="5.7265625" customWidth="1"/>
    <col min="166" max="166" width="4.7265625" customWidth="1"/>
    <col min="167" max="168" width="5.7265625" customWidth="1"/>
    <col min="169" max="169" width="6.7265625" customWidth="1"/>
    <col min="170" max="170" width="4.7265625" customWidth="1"/>
    <col min="171" max="171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126</v>
      </c>
      <c r="D2" t="s">
        <v>175</v>
      </c>
      <c r="E2" t="s">
        <v>228</v>
      </c>
      <c r="F2">
        <v>313</v>
      </c>
      <c r="G2">
        <v>2</v>
      </c>
      <c r="H2">
        <v>1</v>
      </c>
      <c r="I2">
        <v>1</v>
      </c>
      <c r="J2">
        <v>-1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22.4</v>
      </c>
    </row>
    <row r="3" spans="1:19" x14ac:dyDescent="0.75">
      <c r="A3" t="s">
        <v>19</v>
      </c>
      <c r="B3" t="s">
        <v>20</v>
      </c>
      <c r="C3" t="s">
        <v>156</v>
      </c>
      <c r="D3" t="s">
        <v>113</v>
      </c>
      <c r="E3" t="s">
        <v>23</v>
      </c>
      <c r="F3">
        <v>0</v>
      </c>
      <c r="G3">
        <v>0</v>
      </c>
      <c r="H3">
        <v>0</v>
      </c>
      <c r="I3">
        <v>27</v>
      </c>
      <c r="J3">
        <v>93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15.3</v>
      </c>
    </row>
    <row r="4" spans="1:19" x14ac:dyDescent="0.75">
      <c r="A4" t="s">
        <v>24</v>
      </c>
      <c r="B4" t="s">
        <v>153</v>
      </c>
      <c r="C4" t="s">
        <v>119</v>
      </c>
      <c r="D4" t="s">
        <v>229</v>
      </c>
      <c r="E4" t="s">
        <v>23</v>
      </c>
      <c r="F4">
        <v>0</v>
      </c>
      <c r="G4">
        <v>0</v>
      </c>
      <c r="H4">
        <v>0</v>
      </c>
      <c r="I4">
        <v>13</v>
      </c>
      <c r="J4">
        <v>43</v>
      </c>
      <c r="K4">
        <v>0</v>
      </c>
      <c r="L4">
        <v>1</v>
      </c>
      <c r="M4">
        <v>3</v>
      </c>
      <c r="N4">
        <v>0</v>
      </c>
      <c r="O4">
        <v>1</v>
      </c>
      <c r="P4">
        <v>0</v>
      </c>
      <c r="Q4">
        <v>0</v>
      </c>
      <c r="R4">
        <v>0</v>
      </c>
      <c r="S4">
        <v>5.0999999999999996</v>
      </c>
    </row>
    <row r="5" spans="1:19" x14ac:dyDescent="0.75">
      <c r="A5" t="s">
        <v>28</v>
      </c>
      <c r="B5" t="s">
        <v>45</v>
      </c>
      <c r="C5" t="s">
        <v>230</v>
      </c>
      <c r="D5" t="s">
        <v>231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13</v>
      </c>
      <c r="N5">
        <v>0</v>
      </c>
      <c r="O5">
        <v>6</v>
      </c>
      <c r="P5">
        <v>0</v>
      </c>
      <c r="Q5">
        <v>0</v>
      </c>
      <c r="R5">
        <v>0</v>
      </c>
      <c r="S5">
        <v>1.8</v>
      </c>
    </row>
    <row r="6" spans="1:19" x14ac:dyDescent="0.75">
      <c r="A6" t="s">
        <v>32</v>
      </c>
      <c r="B6" t="s">
        <v>181</v>
      </c>
      <c r="C6" t="s">
        <v>126</v>
      </c>
      <c r="D6" t="s">
        <v>175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6</v>
      </c>
      <c r="M6">
        <v>118</v>
      </c>
      <c r="N6">
        <v>0</v>
      </c>
      <c r="O6">
        <v>12</v>
      </c>
      <c r="P6">
        <v>0</v>
      </c>
      <c r="Q6">
        <v>0</v>
      </c>
      <c r="R6">
        <v>0</v>
      </c>
      <c r="S6">
        <v>14.8</v>
      </c>
    </row>
    <row r="7" spans="1:19" x14ac:dyDescent="0.75">
      <c r="A7" t="s">
        <v>36</v>
      </c>
      <c r="B7" t="s">
        <v>182</v>
      </c>
      <c r="C7" t="s">
        <v>232</v>
      </c>
      <c r="D7" t="s">
        <v>233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2</v>
      </c>
      <c r="M7">
        <v>20</v>
      </c>
      <c r="N7">
        <v>0</v>
      </c>
      <c r="O7">
        <v>2</v>
      </c>
      <c r="P7">
        <v>0</v>
      </c>
      <c r="Q7">
        <v>0</v>
      </c>
      <c r="R7">
        <v>0</v>
      </c>
      <c r="S7">
        <v>3</v>
      </c>
    </row>
    <row r="8" spans="1:19" x14ac:dyDescent="0.75">
      <c r="A8" t="s">
        <v>40</v>
      </c>
      <c r="B8" t="s">
        <v>118</v>
      </c>
      <c r="C8" t="s">
        <v>77</v>
      </c>
      <c r="D8" t="s">
        <v>161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7</v>
      </c>
      <c r="M8">
        <v>108</v>
      </c>
      <c r="N8">
        <v>1</v>
      </c>
      <c r="O8">
        <v>13</v>
      </c>
      <c r="P8">
        <v>0</v>
      </c>
      <c r="Q8">
        <v>0</v>
      </c>
      <c r="R8">
        <v>0</v>
      </c>
      <c r="S8">
        <v>20.3</v>
      </c>
    </row>
    <row r="9" spans="1:19" x14ac:dyDescent="0.75">
      <c r="A9" t="s">
        <v>44</v>
      </c>
      <c r="B9" t="s">
        <v>25</v>
      </c>
      <c r="C9" t="s">
        <v>46</v>
      </c>
      <c r="D9" t="s">
        <v>47</v>
      </c>
      <c r="E9" t="s">
        <v>48</v>
      </c>
      <c r="F9" t="s">
        <v>48</v>
      </c>
      <c r="G9" t="s">
        <v>48</v>
      </c>
      <c r="H9" t="s">
        <v>48</v>
      </c>
      <c r="I9" t="s">
        <v>48</v>
      </c>
      <c r="J9" t="s">
        <v>48</v>
      </c>
      <c r="K9" t="s">
        <v>48</v>
      </c>
      <c r="L9" t="s">
        <v>48</v>
      </c>
      <c r="M9" t="s">
        <v>48</v>
      </c>
      <c r="N9" t="s">
        <v>48</v>
      </c>
      <c r="O9" t="s">
        <v>48</v>
      </c>
      <c r="P9" t="s">
        <v>48</v>
      </c>
      <c r="Q9" t="s">
        <v>48</v>
      </c>
      <c r="R9" t="s">
        <v>48</v>
      </c>
    </row>
    <row r="10" spans="1:19" x14ac:dyDescent="0.75">
      <c r="A10" t="s">
        <v>49</v>
      </c>
      <c r="B10" t="s">
        <v>201</v>
      </c>
      <c r="C10" t="s">
        <v>137</v>
      </c>
      <c r="D10" t="s">
        <v>234</v>
      </c>
      <c r="E10" t="s">
        <v>23</v>
      </c>
      <c r="F10">
        <v>0</v>
      </c>
      <c r="G10">
        <v>0</v>
      </c>
      <c r="H10">
        <v>0</v>
      </c>
      <c r="I10">
        <v>16</v>
      </c>
      <c r="J10">
        <v>71</v>
      </c>
      <c r="K10">
        <v>0</v>
      </c>
      <c r="L10">
        <v>2</v>
      </c>
      <c r="M10">
        <v>8</v>
      </c>
      <c r="N10">
        <v>0</v>
      </c>
      <c r="O10">
        <v>2</v>
      </c>
      <c r="P10">
        <v>0</v>
      </c>
      <c r="Q10">
        <v>0</v>
      </c>
      <c r="R10">
        <v>0</v>
      </c>
      <c r="S10">
        <v>8.9</v>
      </c>
    </row>
    <row r="11" spans="1:19" x14ac:dyDescent="0.75">
      <c r="A11" t="s">
        <v>53</v>
      </c>
      <c r="B11" t="s">
        <v>205</v>
      </c>
      <c r="C11" t="s">
        <v>46</v>
      </c>
      <c r="D11" t="s">
        <v>47</v>
      </c>
      <c r="E11" t="s">
        <v>48</v>
      </c>
      <c r="F11" t="s">
        <v>48</v>
      </c>
      <c r="G11" t="s">
        <v>48</v>
      </c>
      <c r="H11" t="s">
        <v>48</v>
      </c>
      <c r="I11" t="s">
        <v>48</v>
      </c>
      <c r="J11" t="s">
        <v>48</v>
      </c>
      <c r="K11" t="s">
        <v>48</v>
      </c>
      <c r="L11" t="s">
        <v>48</v>
      </c>
      <c r="M11" t="s">
        <v>48</v>
      </c>
      <c r="N11" t="s">
        <v>48</v>
      </c>
      <c r="O11" t="s">
        <v>48</v>
      </c>
      <c r="P11" t="s">
        <v>48</v>
      </c>
      <c r="Q11" t="s">
        <v>48</v>
      </c>
      <c r="R11" t="s">
        <v>48</v>
      </c>
    </row>
    <row r="12" spans="1:19" x14ac:dyDescent="0.75">
      <c r="A12" t="s">
        <v>55</v>
      </c>
      <c r="B12" t="s">
        <v>150</v>
      </c>
      <c r="C12" t="s">
        <v>156</v>
      </c>
      <c r="D12" t="s">
        <v>113</v>
      </c>
      <c r="E12" t="s">
        <v>23</v>
      </c>
      <c r="F12">
        <v>0</v>
      </c>
      <c r="G12">
        <v>0</v>
      </c>
      <c r="H12">
        <v>0</v>
      </c>
      <c r="I12">
        <v>1</v>
      </c>
      <c r="J12">
        <v>11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1.1000000000000001</v>
      </c>
    </row>
    <row r="13" spans="1:19" x14ac:dyDescent="0.75">
      <c r="A13" t="s">
        <v>57</v>
      </c>
      <c r="B13" t="s">
        <v>235</v>
      </c>
      <c r="C13" t="s">
        <v>130</v>
      </c>
      <c r="D13" t="s">
        <v>236</v>
      </c>
      <c r="E13" t="s">
        <v>23</v>
      </c>
      <c r="F13">
        <v>0</v>
      </c>
      <c r="G13">
        <v>0</v>
      </c>
      <c r="H13">
        <v>0</v>
      </c>
      <c r="I13">
        <v>9</v>
      </c>
      <c r="J13">
        <v>69</v>
      </c>
      <c r="K13">
        <v>0</v>
      </c>
      <c r="L13">
        <v>6</v>
      </c>
      <c r="M13">
        <v>35</v>
      </c>
      <c r="N13">
        <v>0</v>
      </c>
      <c r="O13">
        <v>7</v>
      </c>
      <c r="P13">
        <v>1</v>
      </c>
      <c r="Q13">
        <v>1</v>
      </c>
      <c r="R13">
        <v>0</v>
      </c>
      <c r="S13">
        <v>13.4</v>
      </c>
    </row>
    <row r="14" spans="1:19" x14ac:dyDescent="0.75">
      <c r="A14" t="s">
        <v>61</v>
      </c>
      <c r="B14" t="s">
        <v>237</v>
      </c>
      <c r="C14" t="s">
        <v>77</v>
      </c>
      <c r="D14" t="s">
        <v>161</v>
      </c>
      <c r="E14" t="s">
        <v>23</v>
      </c>
      <c r="F14">
        <v>0</v>
      </c>
      <c r="G14">
        <v>0</v>
      </c>
      <c r="H14">
        <v>0</v>
      </c>
      <c r="I14">
        <v>6</v>
      </c>
      <c r="J14">
        <v>20</v>
      </c>
      <c r="K14">
        <v>0</v>
      </c>
      <c r="L14">
        <v>1</v>
      </c>
      <c r="M14">
        <v>14</v>
      </c>
      <c r="N14">
        <v>0</v>
      </c>
      <c r="O14">
        <v>1</v>
      </c>
      <c r="P14">
        <v>0</v>
      </c>
      <c r="Q14">
        <v>0</v>
      </c>
      <c r="R14">
        <v>0</v>
      </c>
      <c r="S14">
        <v>3.9</v>
      </c>
    </row>
    <row r="15" spans="1:19" x14ac:dyDescent="0.75">
      <c r="A15" t="s">
        <v>63</v>
      </c>
      <c r="B15" t="s">
        <v>238</v>
      </c>
      <c r="C15" t="s">
        <v>48</v>
      </c>
      <c r="D15" t="s">
        <v>48</v>
      </c>
      <c r="E15" t="s">
        <v>48</v>
      </c>
      <c r="F15" t="s">
        <v>48</v>
      </c>
      <c r="G15" t="s">
        <v>48</v>
      </c>
      <c r="H15" t="s">
        <v>48</v>
      </c>
      <c r="I15" t="s">
        <v>48</v>
      </c>
      <c r="J15" t="s">
        <v>48</v>
      </c>
      <c r="K15" t="s">
        <v>48</v>
      </c>
      <c r="L15" t="s">
        <v>48</v>
      </c>
      <c r="M15" t="s">
        <v>48</v>
      </c>
      <c r="N15" t="s">
        <v>48</v>
      </c>
      <c r="O15" t="s">
        <v>48</v>
      </c>
      <c r="P15" t="s">
        <v>48</v>
      </c>
      <c r="Q15" t="s">
        <v>48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132</v>
      </c>
      <c r="C17" t="s">
        <v>199</v>
      </c>
      <c r="D17" t="s">
        <v>239</v>
      </c>
      <c r="E17">
        <v>1</v>
      </c>
      <c r="F17">
        <v>0</v>
      </c>
      <c r="G17">
        <v>1</v>
      </c>
      <c r="H17">
        <v>2</v>
      </c>
      <c r="I17">
        <v>0</v>
      </c>
      <c r="J17">
        <v>0</v>
      </c>
      <c r="K17">
        <v>51</v>
      </c>
      <c r="L17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  <col min="153" max="153" width="6.7265625" customWidth="1"/>
    <col min="154" max="154" width="18.7265625" customWidth="1"/>
    <col min="155" max="155" width="5.7265625" customWidth="1"/>
    <col min="156" max="156" width="11.7265625" customWidth="1"/>
    <col min="157" max="158" width="5.7265625" customWidth="1"/>
    <col min="159" max="159" width="4.7265625" customWidth="1"/>
    <col min="160" max="160" width="5.7265625" customWidth="1"/>
    <col min="161" max="161" width="6.7265625" customWidth="1"/>
    <col min="162" max="162" width="5.7265625" customWidth="1"/>
    <col min="163" max="163" width="4.7265625" customWidth="1"/>
    <col min="164" max="165" width="5.7265625" customWidth="1"/>
    <col min="166" max="166" width="4.7265625" customWidth="1"/>
    <col min="167" max="168" width="5.7265625" customWidth="1"/>
    <col min="169" max="169" width="6.7265625" customWidth="1"/>
    <col min="170" max="170" width="4.7265625" customWidth="1"/>
    <col min="171" max="171" width="5.7265625" customWidth="1"/>
    <col min="172" max="172" width="6.7265625" customWidth="1"/>
    <col min="173" max="173" width="18.7265625" customWidth="1"/>
    <col min="174" max="174" width="5.7265625" customWidth="1"/>
    <col min="175" max="175" width="11.7265625" customWidth="1"/>
    <col min="176" max="177" width="5.7265625" customWidth="1"/>
    <col min="178" max="178" width="4.7265625" customWidth="1"/>
    <col min="179" max="179" width="5.7265625" customWidth="1"/>
    <col min="180" max="180" width="6.7265625" customWidth="1"/>
    <col min="181" max="181" width="5.7265625" customWidth="1"/>
    <col min="182" max="182" width="4.7265625" customWidth="1"/>
    <col min="183" max="184" width="5.7265625" customWidth="1"/>
    <col min="185" max="185" width="4.7265625" customWidth="1"/>
    <col min="186" max="187" width="5.7265625" customWidth="1"/>
    <col min="188" max="188" width="6.7265625" customWidth="1"/>
    <col min="189" max="189" width="4.7265625" customWidth="1"/>
    <col min="190" max="190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220</v>
      </c>
      <c r="D2" t="s">
        <v>240</v>
      </c>
      <c r="E2" t="s">
        <v>241</v>
      </c>
      <c r="F2">
        <v>215</v>
      </c>
      <c r="G2">
        <v>2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18.600000000000001</v>
      </c>
    </row>
    <row r="3" spans="1:19" x14ac:dyDescent="0.75">
      <c r="A3" t="s">
        <v>19</v>
      </c>
      <c r="B3" t="s">
        <v>201</v>
      </c>
      <c r="C3" t="s">
        <v>124</v>
      </c>
      <c r="D3" t="s">
        <v>242</v>
      </c>
      <c r="E3" t="s">
        <v>23</v>
      </c>
      <c r="F3">
        <v>0</v>
      </c>
      <c r="G3">
        <v>0</v>
      </c>
      <c r="H3">
        <v>0</v>
      </c>
      <c r="I3">
        <v>14</v>
      </c>
      <c r="J3">
        <v>70</v>
      </c>
      <c r="K3">
        <v>0</v>
      </c>
      <c r="L3">
        <v>2</v>
      </c>
      <c r="M3">
        <v>18</v>
      </c>
      <c r="N3">
        <v>0</v>
      </c>
      <c r="O3">
        <v>2</v>
      </c>
      <c r="P3">
        <v>1</v>
      </c>
      <c r="Q3">
        <v>0</v>
      </c>
      <c r="R3">
        <v>0</v>
      </c>
      <c r="S3">
        <v>11.8</v>
      </c>
    </row>
    <row r="4" spans="1:19" x14ac:dyDescent="0.75">
      <c r="A4" t="s">
        <v>24</v>
      </c>
      <c r="B4" t="s">
        <v>150</v>
      </c>
      <c r="C4" t="s">
        <v>243</v>
      </c>
      <c r="D4" t="s">
        <v>244</v>
      </c>
      <c r="E4" t="s">
        <v>23</v>
      </c>
      <c r="F4">
        <v>0</v>
      </c>
      <c r="G4">
        <v>0</v>
      </c>
      <c r="H4">
        <v>0</v>
      </c>
      <c r="I4">
        <v>11</v>
      </c>
      <c r="J4">
        <v>53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5.3</v>
      </c>
    </row>
    <row r="5" spans="1:19" x14ac:dyDescent="0.75">
      <c r="A5" t="s">
        <v>28</v>
      </c>
      <c r="B5" t="s">
        <v>118</v>
      </c>
      <c r="C5" t="s">
        <v>112</v>
      </c>
      <c r="D5" t="s">
        <v>245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5</v>
      </c>
      <c r="M5">
        <v>95</v>
      </c>
      <c r="N5">
        <v>0</v>
      </c>
      <c r="O5">
        <v>6</v>
      </c>
      <c r="P5">
        <v>0</v>
      </c>
      <c r="Q5">
        <v>0</v>
      </c>
      <c r="R5">
        <v>0</v>
      </c>
      <c r="S5">
        <v>12</v>
      </c>
    </row>
    <row r="6" spans="1:19" x14ac:dyDescent="0.75">
      <c r="A6" t="s">
        <v>32</v>
      </c>
      <c r="B6" t="s">
        <v>181</v>
      </c>
      <c r="C6" t="s">
        <v>220</v>
      </c>
      <c r="D6" t="s">
        <v>240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6</v>
      </c>
      <c r="M6">
        <v>57</v>
      </c>
      <c r="N6">
        <v>0</v>
      </c>
      <c r="O6">
        <v>8</v>
      </c>
      <c r="P6">
        <v>0</v>
      </c>
      <c r="Q6">
        <v>0</v>
      </c>
      <c r="R6">
        <v>0</v>
      </c>
      <c r="S6">
        <v>8.6999999999999993</v>
      </c>
    </row>
    <row r="7" spans="1:19" x14ac:dyDescent="0.75">
      <c r="A7" t="s">
        <v>36</v>
      </c>
      <c r="B7" t="s">
        <v>246</v>
      </c>
      <c r="C7" t="s">
        <v>247</v>
      </c>
      <c r="D7" t="s">
        <v>175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7</v>
      </c>
      <c r="N7">
        <v>0</v>
      </c>
      <c r="O7">
        <v>2</v>
      </c>
      <c r="P7">
        <v>0</v>
      </c>
      <c r="Q7">
        <v>0</v>
      </c>
      <c r="R7">
        <v>0</v>
      </c>
      <c r="S7">
        <v>1.2</v>
      </c>
    </row>
    <row r="8" spans="1:19" x14ac:dyDescent="0.75">
      <c r="A8" t="s">
        <v>40</v>
      </c>
      <c r="B8" t="s">
        <v>182</v>
      </c>
      <c r="C8" t="s">
        <v>248</v>
      </c>
      <c r="D8" t="s">
        <v>249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6</v>
      </c>
      <c r="M8">
        <v>67</v>
      </c>
      <c r="N8">
        <v>0</v>
      </c>
      <c r="O8">
        <v>9</v>
      </c>
      <c r="P8">
        <v>0</v>
      </c>
      <c r="Q8">
        <v>0</v>
      </c>
      <c r="R8">
        <v>0</v>
      </c>
      <c r="S8">
        <v>9.6999999999999993</v>
      </c>
    </row>
    <row r="9" spans="1:19" x14ac:dyDescent="0.75">
      <c r="A9" t="s">
        <v>44</v>
      </c>
      <c r="B9" t="s">
        <v>20</v>
      </c>
      <c r="C9" t="s">
        <v>243</v>
      </c>
      <c r="D9" t="s">
        <v>244</v>
      </c>
      <c r="E9" t="s">
        <v>23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75">
      <c r="A10" t="s">
        <v>49</v>
      </c>
      <c r="B10" t="s">
        <v>45</v>
      </c>
      <c r="C10" t="s">
        <v>106</v>
      </c>
      <c r="D10" t="s">
        <v>250</v>
      </c>
      <c r="E10" t="s">
        <v>23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75">
      <c r="A11" t="s">
        <v>53</v>
      </c>
      <c r="B11" t="s">
        <v>25</v>
      </c>
      <c r="C11" t="s">
        <v>16</v>
      </c>
      <c r="D11" t="s">
        <v>251</v>
      </c>
      <c r="E11" t="s">
        <v>23</v>
      </c>
      <c r="F11">
        <v>0</v>
      </c>
      <c r="G11">
        <v>0</v>
      </c>
      <c r="H11">
        <v>0</v>
      </c>
      <c r="I11">
        <v>16</v>
      </c>
      <c r="J11">
        <v>90</v>
      </c>
      <c r="K11">
        <v>1</v>
      </c>
      <c r="L11">
        <v>1</v>
      </c>
      <c r="M11">
        <v>5</v>
      </c>
      <c r="N11">
        <v>0</v>
      </c>
      <c r="O11">
        <v>2</v>
      </c>
      <c r="P11">
        <v>0</v>
      </c>
      <c r="Q11">
        <v>0</v>
      </c>
      <c r="R11">
        <v>0</v>
      </c>
      <c r="S11">
        <v>16</v>
      </c>
    </row>
    <row r="12" spans="1:19" x14ac:dyDescent="0.75">
      <c r="A12" t="s">
        <v>55</v>
      </c>
      <c r="B12" t="s">
        <v>235</v>
      </c>
      <c r="C12" t="s">
        <v>126</v>
      </c>
      <c r="D12" t="s">
        <v>252</v>
      </c>
      <c r="E12" t="s">
        <v>23</v>
      </c>
      <c r="F12">
        <v>0</v>
      </c>
      <c r="G12">
        <v>0</v>
      </c>
      <c r="H12">
        <v>0</v>
      </c>
      <c r="I12">
        <v>7</v>
      </c>
      <c r="J12">
        <v>82</v>
      </c>
      <c r="K12">
        <v>1</v>
      </c>
      <c r="L12">
        <v>2</v>
      </c>
      <c r="M12">
        <v>10</v>
      </c>
      <c r="N12">
        <v>0</v>
      </c>
      <c r="O12">
        <v>2</v>
      </c>
      <c r="P12">
        <v>0</v>
      </c>
      <c r="Q12">
        <v>0</v>
      </c>
      <c r="R12">
        <v>0</v>
      </c>
      <c r="S12">
        <v>16.2</v>
      </c>
    </row>
    <row r="13" spans="1:19" x14ac:dyDescent="0.75">
      <c r="A13" t="s">
        <v>57</v>
      </c>
      <c r="B13" t="s">
        <v>253</v>
      </c>
      <c r="C13" t="s">
        <v>243</v>
      </c>
      <c r="D13" t="s">
        <v>244</v>
      </c>
      <c r="E13" t="s">
        <v>23</v>
      </c>
      <c r="F13">
        <v>0</v>
      </c>
      <c r="G13">
        <v>0</v>
      </c>
      <c r="H13">
        <v>0</v>
      </c>
      <c r="I13">
        <v>3</v>
      </c>
      <c r="J13">
        <v>14</v>
      </c>
      <c r="K13">
        <v>0</v>
      </c>
      <c r="L13">
        <v>4</v>
      </c>
      <c r="M13">
        <v>15</v>
      </c>
      <c r="N13">
        <v>0</v>
      </c>
      <c r="O13">
        <v>6</v>
      </c>
      <c r="P13">
        <v>0</v>
      </c>
      <c r="Q13">
        <v>0</v>
      </c>
      <c r="R13">
        <v>0</v>
      </c>
      <c r="S13">
        <v>4.9000000000000004</v>
      </c>
    </row>
    <row r="14" spans="1:19" x14ac:dyDescent="0.75">
      <c r="A14" t="s">
        <v>61</v>
      </c>
      <c r="B14" t="s">
        <v>54</v>
      </c>
      <c r="C14" t="s">
        <v>243</v>
      </c>
      <c r="D14" t="s">
        <v>244</v>
      </c>
      <c r="E14" t="s">
        <v>23</v>
      </c>
      <c r="F14">
        <v>0</v>
      </c>
      <c r="G14">
        <v>0</v>
      </c>
      <c r="H14">
        <v>0</v>
      </c>
      <c r="I14">
        <v>1</v>
      </c>
      <c r="J14">
        <v>-2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-0.2</v>
      </c>
    </row>
    <row r="15" spans="1:19" x14ac:dyDescent="0.75">
      <c r="A15" t="s">
        <v>63</v>
      </c>
      <c r="B15" t="s">
        <v>254</v>
      </c>
      <c r="C15" t="s">
        <v>174</v>
      </c>
      <c r="D15" t="s">
        <v>255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132</v>
      </c>
      <c r="C17" t="s">
        <v>89</v>
      </c>
      <c r="D17" t="s">
        <v>256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K17">
        <v>41</v>
      </c>
      <c r="L17">
        <v>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  <col min="153" max="153" width="6.7265625" customWidth="1"/>
    <col min="154" max="154" width="18.7265625" customWidth="1"/>
    <col min="155" max="155" width="5.7265625" customWidth="1"/>
    <col min="156" max="156" width="11.7265625" customWidth="1"/>
    <col min="157" max="158" width="5.7265625" customWidth="1"/>
    <col min="159" max="159" width="4.7265625" customWidth="1"/>
    <col min="160" max="160" width="5.7265625" customWidth="1"/>
    <col min="161" max="161" width="6.7265625" customWidth="1"/>
    <col min="162" max="162" width="5.7265625" customWidth="1"/>
    <col min="163" max="163" width="4.7265625" customWidth="1"/>
    <col min="164" max="165" width="5.7265625" customWidth="1"/>
    <col min="166" max="166" width="4.7265625" customWidth="1"/>
    <col min="167" max="168" width="5.7265625" customWidth="1"/>
    <col min="169" max="169" width="6.7265625" customWidth="1"/>
    <col min="170" max="170" width="4.7265625" customWidth="1"/>
    <col min="171" max="171" width="5.7265625" customWidth="1"/>
    <col min="172" max="172" width="6.7265625" customWidth="1"/>
    <col min="173" max="173" width="18.7265625" customWidth="1"/>
    <col min="174" max="174" width="5.7265625" customWidth="1"/>
    <col min="175" max="175" width="11.7265625" customWidth="1"/>
    <col min="176" max="177" width="5.7265625" customWidth="1"/>
    <col min="178" max="178" width="4.7265625" customWidth="1"/>
    <col min="179" max="179" width="5.7265625" customWidth="1"/>
    <col min="180" max="180" width="6.7265625" customWidth="1"/>
    <col min="181" max="181" width="5.7265625" customWidth="1"/>
    <col min="182" max="182" width="4.7265625" customWidth="1"/>
    <col min="183" max="184" width="5.7265625" customWidth="1"/>
    <col min="185" max="185" width="4.7265625" customWidth="1"/>
    <col min="186" max="187" width="5.7265625" customWidth="1"/>
    <col min="188" max="188" width="6.7265625" customWidth="1"/>
    <col min="189" max="189" width="4.7265625" customWidth="1"/>
    <col min="190" max="190" width="5.7265625" customWidth="1"/>
    <col min="191" max="191" width="6.7265625" customWidth="1"/>
    <col min="192" max="192" width="18.7265625" customWidth="1"/>
    <col min="193" max="193" width="5.7265625" customWidth="1"/>
    <col min="194" max="194" width="11.7265625" customWidth="1"/>
    <col min="195" max="196" width="5.7265625" customWidth="1"/>
    <col min="197" max="197" width="4.7265625" customWidth="1"/>
    <col min="198" max="198" width="5.7265625" customWidth="1"/>
    <col min="199" max="199" width="6.7265625" customWidth="1"/>
    <col min="200" max="200" width="5.7265625" customWidth="1"/>
    <col min="201" max="201" width="4.7265625" customWidth="1"/>
    <col min="202" max="203" width="5.7265625" customWidth="1"/>
    <col min="204" max="204" width="4.7265625" customWidth="1"/>
    <col min="205" max="206" width="5.7265625" customWidth="1"/>
    <col min="207" max="207" width="6.7265625" customWidth="1"/>
    <col min="208" max="208" width="4.7265625" customWidth="1"/>
    <col min="209" max="209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151</v>
      </c>
      <c r="D2" t="s">
        <v>257</v>
      </c>
      <c r="E2" t="s">
        <v>258</v>
      </c>
      <c r="F2">
        <v>195</v>
      </c>
      <c r="G2">
        <v>2</v>
      </c>
      <c r="H2">
        <v>0</v>
      </c>
      <c r="I2">
        <v>3</v>
      </c>
      <c r="J2">
        <v>12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21</v>
      </c>
    </row>
    <row r="3" spans="1:19" x14ac:dyDescent="0.75">
      <c r="A3" t="s">
        <v>19</v>
      </c>
      <c r="B3" t="s">
        <v>201</v>
      </c>
      <c r="C3" t="s">
        <v>156</v>
      </c>
      <c r="D3" t="s">
        <v>98</v>
      </c>
      <c r="E3" t="s">
        <v>23</v>
      </c>
      <c r="F3">
        <v>0</v>
      </c>
      <c r="G3">
        <v>0</v>
      </c>
      <c r="H3">
        <v>0</v>
      </c>
      <c r="I3">
        <v>20</v>
      </c>
      <c r="J3">
        <v>74</v>
      </c>
      <c r="K3">
        <v>1</v>
      </c>
      <c r="L3">
        <v>2</v>
      </c>
      <c r="M3">
        <v>16</v>
      </c>
      <c r="N3">
        <v>0</v>
      </c>
      <c r="O3">
        <v>4</v>
      </c>
      <c r="P3">
        <v>0</v>
      </c>
      <c r="Q3">
        <v>0</v>
      </c>
      <c r="R3">
        <v>0</v>
      </c>
      <c r="S3">
        <v>16</v>
      </c>
    </row>
    <row r="4" spans="1:19" x14ac:dyDescent="0.75">
      <c r="A4" t="s">
        <v>24</v>
      </c>
      <c r="B4" t="s">
        <v>235</v>
      </c>
      <c r="C4" t="s">
        <v>114</v>
      </c>
      <c r="D4" t="s">
        <v>259</v>
      </c>
      <c r="E4" t="s">
        <v>23</v>
      </c>
      <c r="F4">
        <v>0</v>
      </c>
      <c r="G4">
        <v>0</v>
      </c>
      <c r="H4">
        <v>0</v>
      </c>
      <c r="I4">
        <v>7</v>
      </c>
      <c r="J4">
        <v>4</v>
      </c>
      <c r="K4">
        <v>0</v>
      </c>
      <c r="L4">
        <v>1</v>
      </c>
      <c r="M4">
        <v>10</v>
      </c>
      <c r="N4">
        <v>0</v>
      </c>
      <c r="O4">
        <v>3</v>
      </c>
      <c r="P4">
        <v>0</v>
      </c>
      <c r="Q4">
        <v>0</v>
      </c>
      <c r="R4">
        <v>0</v>
      </c>
      <c r="S4">
        <v>1.9</v>
      </c>
    </row>
    <row r="5" spans="1:19" x14ac:dyDescent="0.75">
      <c r="A5" t="s">
        <v>28</v>
      </c>
      <c r="B5" t="s">
        <v>118</v>
      </c>
      <c r="C5" t="s">
        <v>206</v>
      </c>
      <c r="D5" t="s">
        <v>260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</v>
      </c>
      <c r="M5">
        <v>40</v>
      </c>
      <c r="N5">
        <v>1</v>
      </c>
      <c r="O5">
        <v>6</v>
      </c>
      <c r="P5">
        <v>0</v>
      </c>
      <c r="Q5">
        <v>0</v>
      </c>
      <c r="R5">
        <v>0</v>
      </c>
      <c r="S5">
        <v>11</v>
      </c>
    </row>
    <row r="6" spans="1:19" x14ac:dyDescent="0.75">
      <c r="A6" t="s">
        <v>32</v>
      </c>
      <c r="B6" t="s">
        <v>181</v>
      </c>
      <c r="C6" t="s">
        <v>151</v>
      </c>
      <c r="D6" t="s">
        <v>257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5</v>
      </c>
      <c r="M6">
        <v>71</v>
      </c>
      <c r="N6">
        <v>0</v>
      </c>
      <c r="O6">
        <v>10</v>
      </c>
      <c r="P6">
        <v>0</v>
      </c>
      <c r="Q6">
        <v>0</v>
      </c>
      <c r="R6">
        <v>0</v>
      </c>
      <c r="S6">
        <v>9.6</v>
      </c>
    </row>
    <row r="7" spans="1:19" x14ac:dyDescent="0.75">
      <c r="A7" t="s">
        <v>36</v>
      </c>
      <c r="B7" t="s">
        <v>261</v>
      </c>
      <c r="C7" t="s">
        <v>194</v>
      </c>
      <c r="D7" t="s">
        <v>262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12</v>
      </c>
      <c r="N7">
        <v>0</v>
      </c>
      <c r="O7">
        <v>3</v>
      </c>
      <c r="P7">
        <v>0</v>
      </c>
      <c r="Q7">
        <v>0</v>
      </c>
      <c r="R7">
        <v>0</v>
      </c>
      <c r="S7">
        <v>1.7</v>
      </c>
    </row>
    <row r="8" spans="1:19" x14ac:dyDescent="0.75">
      <c r="A8" t="s">
        <v>40</v>
      </c>
      <c r="B8" t="s">
        <v>45</v>
      </c>
      <c r="C8" t="s">
        <v>194</v>
      </c>
      <c r="D8" t="s">
        <v>262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5</v>
      </c>
      <c r="M8">
        <v>92</v>
      </c>
      <c r="N8">
        <v>0</v>
      </c>
      <c r="O8">
        <v>10</v>
      </c>
      <c r="P8">
        <v>0</v>
      </c>
      <c r="Q8">
        <v>0</v>
      </c>
      <c r="R8">
        <v>0</v>
      </c>
      <c r="S8">
        <v>11.7</v>
      </c>
    </row>
    <row r="9" spans="1:19" x14ac:dyDescent="0.75">
      <c r="A9" t="s">
        <v>44</v>
      </c>
      <c r="B9" t="s">
        <v>20</v>
      </c>
      <c r="C9" t="s">
        <v>263</v>
      </c>
      <c r="D9" t="s">
        <v>264</v>
      </c>
      <c r="E9" t="s">
        <v>23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75">
      <c r="A10" t="s">
        <v>49</v>
      </c>
      <c r="B10" t="s">
        <v>25</v>
      </c>
      <c r="C10" t="s">
        <v>74</v>
      </c>
      <c r="D10" t="s">
        <v>265</v>
      </c>
      <c r="E10" t="s">
        <v>23</v>
      </c>
      <c r="F10">
        <v>0</v>
      </c>
      <c r="G10">
        <v>0</v>
      </c>
      <c r="H10">
        <v>0</v>
      </c>
      <c r="I10">
        <v>11</v>
      </c>
      <c r="J10">
        <v>18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1.8</v>
      </c>
    </row>
    <row r="11" spans="1:19" x14ac:dyDescent="0.75">
      <c r="A11" t="s">
        <v>53</v>
      </c>
      <c r="B11" t="s">
        <v>150</v>
      </c>
      <c r="C11" t="s">
        <v>263</v>
      </c>
      <c r="D11" t="s">
        <v>264</v>
      </c>
      <c r="E11" t="s">
        <v>23</v>
      </c>
      <c r="F11">
        <v>0</v>
      </c>
      <c r="G11">
        <v>0</v>
      </c>
      <c r="H11">
        <v>0</v>
      </c>
      <c r="I11">
        <v>17</v>
      </c>
      <c r="J11">
        <v>91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9.1</v>
      </c>
    </row>
    <row r="12" spans="1:19" x14ac:dyDescent="0.75">
      <c r="A12" t="s">
        <v>55</v>
      </c>
      <c r="B12" t="s">
        <v>253</v>
      </c>
      <c r="C12" t="s">
        <v>263</v>
      </c>
      <c r="D12" t="s">
        <v>264</v>
      </c>
      <c r="E12" t="s">
        <v>23</v>
      </c>
      <c r="F12">
        <v>0</v>
      </c>
      <c r="G12">
        <v>0</v>
      </c>
      <c r="H12">
        <v>0</v>
      </c>
      <c r="I12">
        <v>8</v>
      </c>
      <c r="J12">
        <v>11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1.1000000000000001</v>
      </c>
    </row>
    <row r="13" spans="1:19" x14ac:dyDescent="0.75">
      <c r="A13" t="s">
        <v>57</v>
      </c>
      <c r="B13" t="s">
        <v>182</v>
      </c>
      <c r="C13" t="s">
        <v>46</v>
      </c>
      <c r="D13" t="s">
        <v>47</v>
      </c>
      <c r="E13" t="s">
        <v>48</v>
      </c>
      <c r="F13" t="s">
        <v>48</v>
      </c>
      <c r="G13" t="s">
        <v>48</v>
      </c>
      <c r="H13" t="s">
        <v>48</v>
      </c>
      <c r="I13" t="s">
        <v>48</v>
      </c>
      <c r="J13" t="s">
        <v>48</v>
      </c>
      <c r="K13" t="s">
        <v>48</v>
      </c>
      <c r="L13" t="s">
        <v>48</v>
      </c>
      <c r="M13" t="s">
        <v>48</v>
      </c>
      <c r="N13" t="s">
        <v>48</v>
      </c>
      <c r="O13" t="s">
        <v>48</v>
      </c>
      <c r="P13" t="s">
        <v>48</v>
      </c>
      <c r="Q13" t="s">
        <v>48</v>
      </c>
      <c r="R13" t="s">
        <v>48</v>
      </c>
    </row>
    <row r="14" spans="1:19" x14ac:dyDescent="0.75">
      <c r="A14" t="s">
        <v>61</v>
      </c>
      <c r="B14" t="s">
        <v>266</v>
      </c>
      <c r="C14" t="s">
        <v>230</v>
      </c>
      <c r="D14" t="s">
        <v>260</v>
      </c>
      <c r="E14" t="s">
        <v>23</v>
      </c>
      <c r="F14">
        <v>0</v>
      </c>
      <c r="G14">
        <v>0</v>
      </c>
      <c r="H14">
        <v>0</v>
      </c>
      <c r="I14">
        <v>23</v>
      </c>
      <c r="J14">
        <v>117</v>
      </c>
      <c r="K14">
        <v>1</v>
      </c>
      <c r="L14">
        <v>1</v>
      </c>
      <c r="M14">
        <v>9</v>
      </c>
      <c r="N14">
        <v>0</v>
      </c>
      <c r="O14">
        <v>2</v>
      </c>
      <c r="P14">
        <v>0</v>
      </c>
      <c r="Q14">
        <v>0</v>
      </c>
      <c r="R14">
        <v>0</v>
      </c>
      <c r="S14">
        <v>19.100000000000001</v>
      </c>
    </row>
    <row r="15" spans="1:19" x14ac:dyDescent="0.75">
      <c r="A15" t="s">
        <v>63</v>
      </c>
      <c r="B15" t="s">
        <v>254</v>
      </c>
      <c r="C15" t="s">
        <v>46</v>
      </c>
      <c r="D15" t="s">
        <v>47</v>
      </c>
      <c r="E15" t="s">
        <v>48</v>
      </c>
      <c r="F15" t="s">
        <v>48</v>
      </c>
      <c r="G15" t="s">
        <v>48</v>
      </c>
      <c r="H15" t="s">
        <v>48</v>
      </c>
      <c r="I15" t="s">
        <v>48</v>
      </c>
      <c r="J15" t="s">
        <v>48</v>
      </c>
      <c r="K15" t="s">
        <v>48</v>
      </c>
      <c r="L15" t="s">
        <v>48</v>
      </c>
      <c r="M15" t="s">
        <v>48</v>
      </c>
      <c r="N15" t="s">
        <v>48</v>
      </c>
      <c r="O15" t="s">
        <v>48</v>
      </c>
      <c r="P15" t="s">
        <v>48</v>
      </c>
      <c r="Q15" t="s">
        <v>48</v>
      </c>
      <c r="R15" t="s">
        <v>48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132</v>
      </c>
      <c r="C17" t="s">
        <v>146</v>
      </c>
      <c r="D17" t="s">
        <v>175</v>
      </c>
      <c r="E17">
        <v>0</v>
      </c>
      <c r="F17">
        <v>0</v>
      </c>
      <c r="G17">
        <v>0</v>
      </c>
      <c r="H17">
        <v>2</v>
      </c>
      <c r="I17">
        <v>0</v>
      </c>
      <c r="J17">
        <v>1</v>
      </c>
      <c r="K17">
        <v>20</v>
      </c>
      <c r="L17">
        <v>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  <col min="153" max="153" width="6.7265625" customWidth="1"/>
    <col min="154" max="154" width="18.7265625" customWidth="1"/>
    <col min="155" max="155" width="5.7265625" customWidth="1"/>
    <col min="156" max="156" width="11.7265625" customWidth="1"/>
    <col min="157" max="158" width="5.7265625" customWidth="1"/>
    <col min="159" max="159" width="4.7265625" customWidth="1"/>
    <col min="160" max="160" width="5.7265625" customWidth="1"/>
    <col min="161" max="161" width="6.7265625" customWidth="1"/>
    <col min="162" max="162" width="5.7265625" customWidth="1"/>
    <col min="163" max="163" width="4.7265625" customWidth="1"/>
    <col min="164" max="165" width="5.7265625" customWidth="1"/>
    <col min="166" max="166" width="4.7265625" customWidth="1"/>
    <col min="167" max="168" width="5.7265625" customWidth="1"/>
    <col min="169" max="169" width="6.7265625" customWidth="1"/>
    <col min="170" max="170" width="4.7265625" customWidth="1"/>
    <col min="171" max="171" width="5.7265625" customWidth="1"/>
    <col min="172" max="172" width="6.7265625" customWidth="1"/>
    <col min="173" max="173" width="18.7265625" customWidth="1"/>
    <col min="174" max="174" width="5.7265625" customWidth="1"/>
    <col min="175" max="175" width="11.7265625" customWidth="1"/>
    <col min="176" max="177" width="5.7265625" customWidth="1"/>
    <col min="178" max="178" width="4.7265625" customWidth="1"/>
    <col min="179" max="179" width="5.7265625" customWidth="1"/>
    <col min="180" max="180" width="6.7265625" customWidth="1"/>
    <col min="181" max="181" width="5.7265625" customWidth="1"/>
    <col min="182" max="182" width="4.7265625" customWidth="1"/>
    <col min="183" max="184" width="5.7265625" customWidth="1"/>
    <col min="185" max="185" width="4.7265625" customWidth="1"/>
    <col min="186" max="187" width="5.7265625" customWidth="1"/>
    <col min="188" max="188" width="6.7265625" customWidth="1"/>
    <col min="189" max="189" width="4.7265625" customWidth="1"/>
    <col min="190" max="190" width="5.7265625" customWidth="1"/>
    <col min="191" max="191" width="6.7265625" customWidth="1"/>
    <col min="192" max="192" width="18.7265625" customWidth="1"/>
    <col min="193" max="193" width="5.7265625" customWidth="1"/>
    <col min="194" max="194" width="11.7265625" customWidth="1"/>
    <col min="195" max="196" width="5.7265625" customWidth="1"/>
    <col min="197" max="197" width="4.7265625" customWidth="1"/>
    <col min="198" max="198" width="5.7265625" customWidth="1"/>
    <col min="199" max="199" width="6.7265625" customWidth="1"/>
    <col min="200" max="200" width="5.7265625" customWidth="1"/>
    <col min="201" max="201" width="4.7265625" customWidth="1"/>
    <col min="202" max="203" width="5.7265625" customWidth="1"/>
    <col min="204" max="204" width="4.7265625" customWidth="1"/>
    <col min="205" max="206" width="5.7265625" customWidth="1"/>
    <col min="207" max="207" width="6.7265625" customWidth="1"/>
    <col min="208" max="208" width="4.7265625" customWidth="1"/>
    <col min="209" max="209" width="5.7265625" customWidth="1"/>
    <col min="210" max="210" width="6.7265625" customWidth="1"/>
    <col min="211" max="211" width="18.7265625" customWidth="1"/>
    <col min="212" max="212" width="5.7265625" customWidth="1"/>
    <col min="213" max="213" width="11.7265625" customWidth="1"/>
    <col min="214" max="215" width="5.7265625" customWidth="1"/>
    <col min="216" max="216" width="4.7265625" customWidth="1"/>
    <col min="217" max="217" width="5.7265625" customWidth="1"/>
    <col min="218" max="218" width="6.7265625" customWidth="1"/>
    <col min="219" max="219" width="5.7265625" customWidth="1"/>
    <col min="220" max="220" width="4.7265625" customWidth="1"/>
    <col min="221" max="222" width="5.7265625" customWidth="1"/>
    <col min="223" max="223" width="4.7265625" customWidth="1"/>
    <col min="224" max="225" width="5.7265625" customWidth="1"/>
    <col min="226" max="226" width="6.7265625" customWidth="1"/>
    <col min="227" max="227" width="4.7265625" customWidth="1"/>
    <col min="228" max="228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114</v>
      </c>
      <c r="D2" t="s">
        <v>267</v>
      </c>
      <c r="E2" t="s">
        <v>268</v>
      </c>
      <c r="F2">
        <v>317</v>
      </c>
      <c r="G2">
        <v>1</v>
      </c>
      <c r="H2">
        <v>0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18.8</v>
      </c>
    </row>
    <row r="3" spans="1:19" x14ac:dyDescent="0.75">
      <c r="A3" t="s">
        <v>19</v>
      </c>
      <c r="B3" t="s">
        <v>150</v>
      </c>
      <c r="C3" t="s">
        <v>59</v>
      </c>
      <c r="D3" t="s">
        <v>269</v>
      </c>
      <c r="E3" t="s">
        <v>23</v>
      </c>
      <c r="F3">
        <v>0</v>
      </c>
      <c r="G3">
        <v>0</v>
      </c>
      <c r="H3">
        <v>0</v>
      </c>
      <c r="I3">
        <v>9</v>
      </c>
      <c r="J3">
        <v>36</v>
      </c>
      <c r="K3">
        <v>0</v>
      </c>
      <c r="L3">
        <v>1</v>
      </c>
      <c r="M3">
        <v>13</v>
      </c>
      <c r="N3">
        <v>0</v>
      </c>
      <c r="O3">
        <v>1</v>
      </c>
      <c r="P3">
        <v>0</v>
      </c>
      <c r="Q3">
        <v>0</v>
      </c>
      <c r="R3">
        <v>0</v>
      </c>
      <c r="S3">
        <v>5.4</v>
      </c>
    </row>
    <row r="4" spans="1:19" x14ac:dyDescent="0.75">
      <c r="A4" t="s">
        <v>24</v>
      </c>
      <c r="B4" t="s">
        <v>266</v>
      </c>
      <c r="C4" t="s">
        <v>21</v>
      </c>
      <c r="D4" t="s">
        <v>270</v>
      </c>
      <c r="E4" t="s">
        <v>23</v>
      </c>
      <c r="F4">
        <v>0</v>
      </c>
      <c r="G4">
        <v>0</v>
      </c>
      <c r="H4">
        <v>0</v>
      </c>
      <c r="I4">
        <v>24</v>
      </c>
      <c r="J4">
        <v>100</v>
      </c>
      <c r="K4">
        <v>0</v>
      </c>
      <c r="L4">
        <v>3</v>
      </c>
      <c r="M4">
        <v>30</v>
      </c>
      <c r="N4">
        <v>0</v>
      </c>
      <c r="O4">
        <v>4</v>
      </c>
      <c r="P4">
        <v>0</v>
      </c>
      <c r="Q4">
        <v>0</v>
      </c>
      <c r="R4">
        <v>0</v>
      </c>
      <c r="S4">
        <v>14.5</v>
      </c>
    </row>
    <row r="5" spans="1:19" x14ac:dyDescent="0.75">
      <c r="A5" t="s">
        <v>28</v>
      </c>
      <c r="B5" t="s">
        <v>118</v>
      </c>
      <c r="C5" t="s">
        <v>124</v>
      </c>
      <c r="D5" t="s">
        <v>271</v>
      </c>
      <c r="E5" t="s">
        <v>23</v>
      </c>
      <c r="F5">
        <v>0</v>
      </c>
      <c r="G5">
        <v>0</v>
      </c>
      <c r="H5">
        <v>0</v>
      </c>
      <c r="I5">
        <v>1</v>
      </c>
      <c r="J5">
        <v>-5</v>
      </c>
      <c r="K5">
        <v>0</v>
      </c>
      <c r="L5">
        <v>2</v>
      </c>
      <c r="M5">
        <v>25</v>
      </c>
      <c r="N5">
        <v>0</v>
      </c>
      <c r="O5">
        <v>3</v>
      </c>
      <c r="P5">
        <v>0</v>
      </c>
      <c r="Q5">
        <v>0</v>
      </c>
      <c r="R5">
        <v>0</v>
      </c>
      <c r="S5">
        <v>3</v>
      </c>
    </row>
    <row r="6" spans="1:19" x14ac:dyDescent="0.75">
      <c r="A6" t="s">
        <v>32</v>
      </c>
      <c r="B6" t="s">
        <v>181</v>
      </c>
      <c r="C6" t="s">
        <v>114</v>
      </c>
      <c r="D6" t="s">
        <v>267</v>
      </c>
      <c r="E6" t="s">
        <v>23</v>
      </c>
      <c r="F6">
        <v>0</v>
      </c>
      <c r="G6">
        <v>0</v>
      </c>
      <c r="H6">
        <v>0</v>
      </c>
      <c r="I6">
        <v>1</v>
      </c>
      <c r="J6">
        <v>15</v>
      </c>
      <c r="K6">
        <v>0</v>
      </c>
      <c r="L6">
        <v>12</v>
      </c>
      <c r="M6">
        <v>253</v>
      </c>
      <c r="N6">
        <v>2</v>
      </c>
      <c r="O6">
        <v>15</v>
      </c>
      <c r="P6">
        <v>0</v>
      </c>
      <c r="Q6">
        <v>0</v>
      </c>
      <c r="R6">
        <v>0</v>
      </c>
      <c r="S6">
        <v>44.8</v>
      </c>
    </row>
    <row r="7" spans="1:19" x14ac:dyDescent="0.75">
      <c r="A7" t="s">
        <v>36</v>
      </c>
      <c r="B7" t="s">
        <v>254</v>
      </c>
      <c r="C7" t="s">
        <v>109</v>
      </c>
      <c r="D7" t="s">
        <v>272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10</v>
      </c>
      <c r="N7">
        <v>0</v>
      </c>
      <c r="O7">
        <v>4</v>
      </c>
      <c r="P7">
        <v>0</v>
      </c>
      <c r="Q7">
        <v>0</v>
      </c>
      <c r="R7">
        <v>0</v>
      </c>
      <c r="S7">
        <v>1.5</v>
      </c>
    </row>
    <row r="8" spans="1:19" x14ac:dyDescent="0.75">
      <c r="A8" t="s">
        <v>40</v>
      </c>
      <c r="B8" t="s">
        <v>45</v>
      </c>
      <c r="C8" t="s">
        <v>243</v>
      </c>
      <c r="D8" t="s">
        <v>273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6</v>
      </c>
      <c r="M8">
        <v>78</v>
      </c>
      <c r="N8">
        <v>0</v>
      </c>
      <c r="O8">
        <v>12</v>
      </c>
      <c r="P8">
        <v>0</v>
      </c>
      <c r="Q8">
        <v>0</v>
      </c>
      <c r="R8">
        <v>0</v>
      </c>
      <c r="S8">
        <v>10.8</v>
      </c>
    </row>
    <row r="9" spans="1:19" x14ac:dyDescent="0.75">
      <c r="A9" t="s">
        <v>44</v>
      </c>
      <c r="B9" t="s">
        <v>20</v>
      </c>
      <c r="C9" t="s">
        <v>59</v>
      </c>
      <c r="D9" t="s">
        <v>269</v>
      </c>
      <c r="E9" t="s">
        <v>23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75">
      <c r="A10" t="s">
        <v>49</v>
      </c>
      <c r="B10" t="s">
        <v>25</v>
      </c>
      <c r="C10" t="s">
        <v>171</v>
      </c>
      <c r="D10" t="s">
        <v>274</v>
      </c>
      <c r="E10" t="s">
        <v>23</v>
      </c>
      <c r="F10">
        <v>0</v>
      </c>
      <c r="G10">
        <v>0</v>
      </c>
      <c r="H10">
        <v>0</v>
      </c>
      <c r="I10">
        <v>16</v>
      </c>
      <c r="J10">
        <v>95</v>
      </c>
      <c r="K10">
        <v>0</v>
      </c>
      <c r="L10">
        <v>1</v>
      </c>
      <c r="M10">
        <v>10</v>
      </c>
      <c r="N10">
        <v>0</v>
      </c>
      <c r="O10">
        <v>2</v>
      </c>
      <c r="P10">
        <v>0</v>
      </c>
      <c r="Q10">
        <v>0</v>
      </c>
      <c r="R10">
        <v>0</v>
      </c>
      <c r="S10">
        <v>11</v>
      </c>
    </row>
    <row r="11" spans="1:19" x14ac:dyDescent="0.75">
      <c r="A11" t="s">
        <v>53</v>
      </c>
      <c r="B11" t="s">
        <v>201</v>
      </c>
      <c r="C11" t="s">
        <v>38</v>
      </c>
      <c r="D11" t="s">
        <v>275</v>
      </c>
      <c r="E11" t="s">
        <v>23</v>
      </c>
      <c r="F11">
        <v>0</v>
      </c>
      <c r="G11">
        <v>0</v>
      </c>
      <c r="H11">
        <v>0</v>
      </c>
      <c r="I11">
        <v>11</v>
      </c>
      <c r="J11">
        <v>30</v>
      </c>
      <c r="K11">
        <v>0</v>
      </c>
      <c r="L11">
        <v>1</v>
      </c>
      <c r="M11">
        <v>9</v>
      </c>
      <c r="N11">
        <v>0</v>
      </c>
      <c r="O11">
        <v>1</v>
      </c>
      <c r="P11">
        <v>0</v>
      </c>
      <c r="Q11">
        <v>0</v>
      </c>
      <c r="R11">
        <v>0</v>
      </c>
      <c r="S11">
        <v>4.4000000000000004</v>
      </c>
    </row>
    <row r="12" spans="1:19" x14ac:dyDescent="0.75">
      <c r="A12" t="s">
        <v>55</v>
      </c>
      <c r="B12" t="s">
        <v>235</v>
      </c>
      <c r="C12" t="s">
        <v>187</v>
      </c>
      <c r="D12" t="s">
        <v>276</v>
      </c>
      <c r="E12" t="s">
        <v>23</v>
      </c>
      <c r="F12">
        <v>0</v>
      </c>
      <c r="G12">
        <v>0</v>
      </c>
      <c r="H12">
        <v>0</v>
      </c>
      <c r="I12">
        <v>9</v>
      </c>
      <c r="J12">
        <v>20</v>
      </c>
      <c r="K12">
        <v>0</v>
      </c>
      <c r="L12">
        <v>3</v>
      </c>
      <c r="M12">
        <v>27</v>
      </c>
      <c r="N12">
        <v>1</v>
      </c>
      <c r="O12">
        <v>4</v>
      </c>
      <c r="P12">
        <v>0</v>
      </c>
      <c r="Q12">
        <v>1</v>
      </c>
      <c r="R12">
        <v>0</v>
      </c>
      <c r="S12">
        <v>10.199999999999999</v>
      </c>
    </row>
    <row r="13" spans="1:19" x14ac:dyDescent="0.75">
      <c r="A13" t="s">
        <v>57</v>
      </c>
      <c r="B13" t="s">
        <v>182</v>
      </c>
      <c r="C13" t="s">
        <v>214</v>
      </c>
      <c r="D13" t="s">
        <v>277</v>
      </c>
      <c r="E13" t="s">
        <v>23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2</v>
      </c>
      <c r="M13">
        <v>27</v>
      </c>
      <c r="N13">
        <v>0</v>
      </c>
      <c r="O13">
        <v>6</v>
      </c>
      <c r="P13">
        <v>0</v>
      </c>
      <c r="Q13">
        <v>0</v>
      </c>
      <c r="R13">
        <v>0</v>
      </c>
      <c r="S13">
        <v>3.7</v>
      </c>
    </row>
    <row r="14" spans="1:19" x14ac:dyDescent="0.75">
      <c r="A14" t="s">
        <v>61</v>
      </c>
      <c r="B14" t="s">
        <v>278</v>
      </c>
      <c r="C14" t="s">
        <v>82</v>
      </c>
      <c r="D14" t="s">
        <v>123</v>
      </c>
      <c r="E14" t="s">
        <v>23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75">
      <c r="A15" t="s">
        <v>63</v>
      </c>
      <c r="B15" t="s">
        <v>279</v>
      </c>
      <c r="C15" t="s">
        <v>82</v>
      </c>
      <c r="D15" t="s">
        <v>123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280</v>
      </c>
      <c r="C17" t="s">
        <v>114</v>
      </c>
      <c r="D17" t="s">
        <v>267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K17">
        <v>20</v>
      </c>
      <c r="L17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  <col min="153" max="153" width="6.7265625" customWidth="1"/>
    <col min="154" max="154" width="18.7265625" customWidth="1"/>
    <col min="155" max="155" width="5.7265625" customWidth="1"/>
    <col min="156" max="156" width="11.7265625" customWidth="1"/>
    <col min="157" max="158" width="5.7265625" customWidth="1"/>
    <col min="159" max="159" width="4.7265625" customWidth="1"/>
    <col min="160" max="160" width="5.7265625" customWidth="1"/>
    <col min="161" max="161" width="6.7265625" customWidth="1"/>
    <col min="162" max="162" width="5.7265625" customWidth="1"/>
    <col min="163" max="163" width="4.7265625" customWidth="1"/>
    <col min="164" max="165" width="5.7265625" customWidth="1"/>
    <col min="166" max="166" width="4.7265625" customWidth="1"/>
    <col min="167" max="168" width="5.7265625" customWidth="1"/>
    <col min="169" max="169" width="6.7265625" customWidth="1"/>
    <col min="170" max="170" width="4.7265625" customWidth="1"/>
    <col min="171" max="171" width="5.7265625" customWidth="1"/>
    <col min="172" max="172" width="6.7265625" customWidth="1"/>
    <col min="173" max="173" width="18.7265625" customWidth="1"/>
    <col min="174" max="174" width="5.7265625" customWidth="1"/>
    <col min="175" max="175" width="11.7265625" customWidth="1"/>
    <col min="176" max="177" width="5.7265625" customWidth="1"/>
    <col min="178" max="178" width="4.7265625" customWidth="1"/>
    <col min="179" max="179" width="5.7265625" customWidth="1"/>
    <col min="180" max="180" width="6.7265625" customWidth="1"/>
    <col min="181" max="181" width="5.7265625" customWidth="1"/>
    <col min="182" max="182" width="4.7265625" customWidth="1"/>
    <col min="183" max="184" width="5.7265625" customWidth="1"/>
    <col min="185" max="185" width="4.7265625" customWidth="1"/>
    <col min="186" max="187" width="5.7265625" customWidth="1"/>
    <col min="188" max="188" width="6.7265625" customWidth="1"/>
    <col min="189" max="189" width="4.7265625" customWidth="1"/>
    <col min="190" max="190" width="5.7265625" customWidth="1"/>
    <col min="191" max="191" width="6.7265625" customWidth="1"/>
    <col min="192" max="192" width="18.7265625" customWidth="1"/>
    <col min="193" max="193" width="5.7265625" customWidth="1"/>
    <col min="194" max="194" width="11.7265625" customWidth="1"/>
    <col min="195" max="196" width="5.7265625" customWidth="1"/>
    <col min="197" max="197" width="4.7265625" customWidth="1"/>
    <col min="198" max="198" width="5.7265625" customWidth="1"/>
    <col min="199" max="199" width="6.7265625" customWidth="1"/>
    <col min="200" max="200" width="5.7265625" customWidth="1"/>
    <col min="201" max="201" width="4.7265625" customWidth="1"/>
    <col min="202" max="203" width="5.7265625" customWidth="1"/>
    <col min="204" max="204" width="4.7265625" customWidth="1"/>
    <col min="205" max="206" width="5.7265625" customWidth="1"/>
    <col min="207" max="207" width="6.7265625" customWidth="1"/>
    <col min="208" max="208" width="4.7265625" customWidth="1"/>
    <col min="209" max="209" width="5.7265625" customWidth="1"/>
    <col min="210" max="210" width="6.7265625" customWidth="1"/>
    <col min="211" max="211" width="18.7265625" customWidth="1"/>
    <col min="212" max="212" width="5.7265625" customWidth="1"/>
    <col min="213" max="213" width="11.7265625" customWidth="1"/>
    <col min="214" max="215" width="5.7265625" customWidth="1"/>
    <col min="216" max="216" width="4.7265625" customWidth="1"/>
    <col min="217" max="217" width="5.7265625" customWidth="1"/>
    <col min="218" max="218" width="6.7265625" customWidth="1"/>
    <col min="219" max="219" width="5.7265625" customWidth="1"/>
    <col min="220" max="220" width="4.7265625" customWidth="1"/>
    <col min="221" max="222" width="5.7265625" customWidth="1"/>
    <col min="223" max="223" width="4.7265625" customWidth="1"/>
    <col min="224" max="225" width="5.7265625" customWidth="1"/>
    <col min="226" max="226" width="6.7265625" customWidth="1"/>
    <col min="227" max="227" width="4.7265625" customWidth="1"/>
    <col min="228" max="228" width="5.7265625" customWidth="1"/>
    <col min="229" max="229" width="6.7265625" customWidth="1"/>
    <col min="230" max="230" width="18.7265625" customWidth="1"/>
    <col min="231" max="231" width="5.7265625" customWidth="1"/>
    <col min="232" max="232" width="11.7265625" customWidth="1"/>
    <col min="233" max="234" width="5.7265625" customWidth="1"/>
    <col min="235" max="235" width="4.7265625" customWidth="1"/>
    <col min="236" max="236" width="5.7265625" customWidth="1"/>
    <col min="237" max="237" width="6.7265625" customWidth="1"/>
    <col min="238" max="238" width="5.7265625" customWidth="1"/>
    <col min="239" max="239" width="4.7265625" customWidth="1"/>
    <col min="240" max="241" width="5.7265625" customWidth="1"/>
    <col min="242" max="242" width="4.7265625" customWidth="1"/>
    <col min="243" max="244" width="5.7265625" customWidth="1"/>
    <col min="245" max="245" width="6.7265625" customWidth="1"/>
    <col min="246" max="246" width="4.7265625" customWidth="1"/>
    <col min="247" max="247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85</v>
      </c>
      <c r="D2" t="s">
        <v>281</v>
      </c>
      <c r="E2" t="s">
        <v>282</v>
      </c>
      <c r="F2">
        <v>173</v>
      </c>
      <c r="G2">
        <v>0</v>
      </c>
      <c r="H2">
        <v>0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7</v>
      </c>
    </row>
    <row r="3" spans="1:19" x14ac:dyDescent="0.75">
      <c r="A3" t="s">
        <v>19</v>
      </c>
      <c r="B3" t="s">
        <v>235</v>
      </c>
      <c r="C3" t="s">
        <v>283</v>
      </c>
      <c r="D3" t="s">
        <v>284</v>
      </c>
      <c r="E3" t="s">
        <v>23</v>
      </c>
      <c r="F3">
        <v>0</v>
      </c>
      <c r="G3">
        <v>0</v>
      </c>
      <c r="H3">
        <v>0</v>
      </c>
      <c r="I3">
        <v>23</v>
      </c>
      <c r="J3">
        <v>120</v>
      </c>
      <c r="K3">
        <v>1</v>
      </c>
      <c r="L3">
        <v>3</v>
      </c>
      <c r="M3">
        <v>21</v>
      </c>
      <c r="N3">
        <v>0</v>
      </c>
      <c r="O3">
        <v>5</v>
      </c>
      <c r="P3">
        <v>0</v>
      </c>
      <c r="Q3">
        <v>0</v>
      </c>
      <c r="R3">
        <v>0</v>
      </c>
      <c r="S3">
        <v>21.6</v>
      </c>
    </row>
    <row r="4" spans="1:19" x14ac:dyDescent="0.75">
      <c r="A4" t="s">
        <v>24</v>
      </c>
      <c r="B4" t="s">
        <v>266</v>
      </c>
      <c r="C4" t="s">
        <v>285</v>
      </c>
      <c r="D4" t="s">
        <v>286</v>
      </c>
      <c r="E4" t="s">
        <v>23</v>
      </c>
      <c r="F4">
        <v>0</v>
      </c>
      <c r="G4">
        <v>0</v>
      </c>
      <c r="H4">
        <v>0</v>
      </c>
      <c r="I4">
        <v>12</v>
      </c>
      <c r="J4">
        <v>38</v>
      </c>
      <c r="K4">
        <v>0</v>
      </c>
      <c r="L4">
        <v>3</v>
      </c>
      <c r="M4">
        <v>31</v>
      </c>
      <c r="N4">
        <v>0</v>
      </c>
      <c r="O4">
        <v>3</v>
      </c>
      <c r="P4">
        <v>0</v>
      </c>
      <c r="Q4">
        <v>0</v>
      </c>
      <c r="R4">
        <v>0</v>
      </c>
      <c r="S4">
        <v>8.4</v>
      </c>
    </row>
    <row r="5" spans="1:19" x14ac:dyDescent="0.75">
      <c r="A5" t="s">
        <v>28</v>
      </c>
      <c r="B5" t="s">
        <v>118</v>
      </c>
      <c r="C5" t="s">
        <v>263</v>
      </c>
      <c r="D5" t="s">
        <v>101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5</v>
      </c>
      <c r="M5">
        <v>84</v>
      </c>
      <c r="N5">
        <v>0</v>
      </c>
      <c r="O5">
        <v>7</v>
      </c>
      <c r="P5">
        <v>0</v>
      </c>
      <c r="Q5">
        <v>0</v>
      </c>
      <c r="R5">
        <v>0</v>
      </c>
      <c r="S5">
        <v>10.9</v>
      </c>
    </row>
    <row r="6" spans="1:19" x14ac:dyDescent="0.75">
      <c r="A6" t="s">
        <v>32</v>
      </c>
      <c r="B6" t="s">
        <v>181</v>
      </c>
      <c r="C6" t="s">
        <v>85</v>
      </c>
      <c r="D6" t="s">
        <v>281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</v>
      </c>
      <c r="M6">
        <v>24</v>
      </c>
      <c r="N6">
        <v>0</v>
      </c>
      <c r="O6">
        <v>6</v>
      </c>
      <c r="P6">
        <v>0</v>
      </c>
      <c r="Q6">
        <v>0</v>
      </c>
      <c r="R6">
        <v>0</v>
      </c>
      <c r="S6">
        <v>3.4</v>
      </c>
    </row>
    <row r="7" spans="1:19" x14ac:dyDescent="0.75">
      <c r="A7" t="s">
        <v>36</v>
      </c>
      <c r="B7" t="s">
        <v>246</v>
      </c>
      <c r="C7" t="s">
        <v>100</v>
      </c>
      <c r="D7" t="s">
        <v>287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7</v>
      </c>
      <c r="M7">
        <v>81</v>
      </c>
      <c r="N7">
        <v>0</v>
      </c>
      <c r="O7">
        <v>9</v>
      </c>
      <c r="P7">
        <v>0</v>
      </c>
      <c r="Q7">
        <v>0</v>
      </c>
      <c r="R7">
        <v>0</v>
      </c>
      <c r="S7">
        <v>11.6</v>
      </c>
    </row>
    <row r="8" spans="1:19" x14ac:dyDescent="0.75">
      <c r="A8" t="s">
        <v>40</v>
      </c>
      <c r="B8" t="s">
        <v>45</v>
      </c>
      <c r="C8" t="s">
        <v>288</v>
      </c>
      <c r="D8" t="s">
        <v>289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2</v>
      </c>
      <c r="M8">
        <v>33</v>
      </c>
      <c r="N8">
        <v>0</v>
      </c>
      <c r="O8">
        <v>6</v>
      </c>
      <c r="P8">
        <v>0</v>
      </c>
      <c r="Q8">
        <v>0</v>
      </c>
      <c r="R8">
        <v>0</v>
      </c>
      <c r="S8">
        <v>4.3</v>
      </c>
    </row>
    <row r="9" spans="1:19" x14ac:dyDescent="0.75">
      <c r="A9" t="s">
        <v>44</v>
      </c>
      <c r="B9" t="s">
        <v>20</v>
      </c>
      <c r="C9" t="s">
        <v>77</v>
      </c>
      <c r="D9" t="s">
        <v>290</v>
      </c>
      <c r="E9" t="s">
        <v>23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75">
      <c r="A10" t="s">
        <v>49</v>
      </c>
      <c r="B10" t="s">
        <v>25</v>
      </c>
      <c r="C10" t="s">
        <v>144</v>
      </c>
      <c r="D10" t="s">
        <v>291</v>
      </c>
      <c r="E10" t="s">
        <v>23</v>
      </c>
      <c r="F10">
        <v>0</v>
      </c>
      <c r="G10">
        <v>0</v>
      </c>
      <c r="H10">
        <v>0</v>
      </c>
      <c r="I10">
        <v>10</v>
      </c>
      <c r="J10">
        <v>41</v>
      </c>
      <c r="K10">
        <v>0</v>
      </c>
      <c r="L10">
        <v>1</v>
      </c>
      <c r="M10">
        <v>3</v>
      </c>
      <c r="N10">
        <v>0</v>
      </c>
      <c r="O10">
        <v>1</v>
      </c>
      <c r="P10">
        <v>0</v>
      </c>
      <c r="Q10">
        <v>0</v>
      </c>
      <c r="R10">
        <v>0</v>
      </c>
      <c r="S10">
        <v>4.9000000000000004</v>
      </c>
    </row>
    <row r="11" spans="1:19" x14ac:dyDescent="0.75">
      <c r="A11" t="s">
        <v>53</v>
      </c>
      <c r="B11" t="s">
        <v>201</v>
      </c>
      <c r="C11" t="s">
        <v>93</v>
      </c>
      <c r="D11" t="s">
        <v>179</v>
      </c>
      <c r="E11" t="s">
        <v>23</v>
      </c>
      <c r="F11">
        <v>0</v>
      </c>
      <c r="G11">
        <v>0</v>
      </c>
      <c r="H11">
        <v>0</v>
      </c>
      <c r="I11">
        <v>14</v>
      </c>
      <c r="J11">
        <v>32</v>
      </c>
      <c r="K11">
        <v>1</v>
      </c>
      <c r="L11">
        <v>1</v>
      </c>
      <c r="M11">
        <v>-1</v>
      </c>
      <c r="N11">
        <v>0</v>
      </c>
      <c r="O11">
        <v>1</v>
      </c>
      <c r="P11">
        <v>0</v>
      </c>
      <c r="Q11">
        <v>0</v>
      </c>
      <c r="R11">
        <v>0</v>
      </c>
      <c r="S11">
        <v>9.6</v>
      </c>
    </row>
    <row r="12" spans="1:19" x14ac:dyDescent="0.75">
      <c r="A12" t="s">
        <v>55</v>
      </c>
      <c r="B12" t="s">
        <v>150</v>
      </c>
      <c r="C12" t="s">
        <v>77</v>
      </c>
      <c r="D12" t="s">
        <v>290</v>
      </c>
      <c r="E12" t="s">
        <v>23</v>
      </c>
      <c r="F12">
        <v>0</v>
      </c>
      <c r="G12">
        <v>0</v>
      </c>
      <c r="H12">
        <v>0</v>
      </c>
      <c r="I12">
        <v>27</v>
      </c>
      <c r="J12">
        <v>127</v>
      </c>
      <c r="K12">
        <v>1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18.7</v>
      </c>
    </row>
    <row r="13" spans="1:19" x14ac:dyDescent="0.75">
      <c r="A13" t="s">
        <v>57</v>
      </c>
      <c r="B13" t="s">
        <v>182</v>
      </c>
      <c r="C13" t="s">
        <v>156</v>
      </c>
      <c r="D13" t="s">
        <v>292</v>
      </c>
      <c r="E13" t="s">
        <v>23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2</v>
      </c>
      <c r="M13">
        <v>7</v>
      </c>
      <c r="N13">
        <v>0</v>
      </c>
      <c r="O13">
        <v>3</v>
      </c>
      <c r="P13">
        <v>0</v>
      </c>
      <c r="Q13">
        <v>0</v>
      </c>
      <c r="R13">
        <v>0</v>
      </c>
      <c r="S13">
        <v>1.7</v>
      </c>
    </row>
    <row r="14" spans="1:19" x14ac:dyDescent="0.75">
      <c r="A14" t="s">
        <v>61</v>
      </c>
      <c r="B14" t="s">
        <v>293</v>
      </c>
      <c r="C14" t="s">
        <v>288</v>
      </c>
      <c r="D14" t="s">
        <v>289</v>
      </c>
      <c r="E14" t="s">
        <v>294</v>
      </c>
      <c r="F14">
        <v>270</v>
      </c>
      <c r="G14">
        <v>2</v>
      </c>
      <c r="H14">
        <v>0</v>
      </c>
      <c r="I14">
        <v>5</v>
      </c>
      <c r="J14">
        <v>18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22.6</v>
      </c>
    </row>
    <row r="15" spans="1:19" x14ac:dyDescent="0.75">
      <c r="A15" t="s">
        <v>63</v>
      </c>
      <c r="B15" t="s">
        <v>279</v>
      </c>
      <c r="C15" t="s">
        <v>114</v>
      </c>
      <c r="D15" t="s">
        <v>295</v>
      </c>
      <c r="E15" t="s">
        <v>23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296</v>
      </c>
      <c r="C17" t="s">
        <v>97</v>
      </c>
      <c r="D17" t="s">
        <v>297</v>
      </c>
      <c r="E17">
        <v>1</v>
      </c>
      <c r="F17">
        <v>1</v>
      </c>
      <c r="G17">
        <v>0</v>
      </c>
      <c r="H17">
        <v>2</v>
      </c>
      <c r="I17">
        <v>0</v>
      </c>
      <c r="J17">
        <v>0</v>
      </c>
      <c r="K17">
        <v>15</v>
      </c>
      <c r="L17">
        <v>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  <col min="153" max="153" width="6.7265625" customWidth="1"/>
    <col min="154" max="154" width="18.7265625" customWidth="1"/>
    <col min="155" max="155" width="5.7265625" customWidth="1"/>
    <col min="156" max="156" width="11.7265625" customWidth="1"/>
    <col min="157" max="158" width="5.7265625" customWidth="1"/>
    <col min="159" max="159" width="4.7265625" customWidth="1"/>
    <col min="160" max="160" width="5.7265625" customWidth="1"/>
    <col min="161" max="161" width="6.7265625" customWidth="1"/>
    <col min="162" max="162" width="5.7265625" customWidth="1"/>
    <col min="163" max="163" width="4.7265625" customWidth="1"/>
    <col min="164" max="165" width="5.7265625" customWidth="1"/>
    <col min="166" max="166" width="4.7265625" customWidth="1"/>
    <col min="167" max="168" width="5.7265625" customWidth="1"/>
    <col min="169" max="169" width="6.7265625" customWidth="1"/>
    <col min="170" max="170" width="4.7265625" customWidth="1"/>
    <col min="171" max="171" width="5.7265625" customWidth="1"/>
    <col min="172" max="172" width="6.7265625" customWidth="1"/>
    <col min="173" max="173" width="18.7265625" customWidth="1"/>
    <col min="174" max="174" width="5.7265625" customWidth="1"/>
    <col min="175" max="175" width="11.7265625" customWidth="1"/>
    <col min="176" max="177" width="5.7265625" customWidth="1"/>
    <col min="178" max="178" width="4.7265625" customWidth="1"/>
    <col min="179" max="179" width="5.7265625" customWidth="1"/>
    <col min="180" max="180" width="6.7265625" customWidth="1"/>
    <col min="181" max="181" width="5.7265625" customWidth="1"/>
    <col min="182" max="182" width="4.7265625" customWidth="1"/>
    <col min="183" max="184" width="5.7265625" customWidth="1"/>
    <col min="185" max="185" width="4.7265625" customWidth="1"/>
    <col min="186" max="187" width="5.7265625" customWidth="1"/>
    <col min="188" max="188" width="6.7265625" customWidth="1"/>
    <col min="189" max="189" width="4.7265625" customWidth="1"/>
    <col min="190" max="190" width="5.7265625" customWidth="1"/>
    <col min="191" max="191" width="6.7265625" customWidth="1"/>
    <col min="192" max="192" width="18.7265625" customWidth="1"/>
    <col min="193" max="193" width="5.7265625" customWidth="1"/>
    <col min="194" max="194" width="11.7265625" customWidth="1"/>
    <col min="195" max="196" width="5.7265625" customWidth="1"/>
    <col min="197" max="197" width="4.7265625" customWidth="1"/>
    <col min="198" max="198" width="5.7265625" customWidth="1"/>
    <col min="199" max="199" width="6.7265625" customWidth="1"/>
    <col min="200" max="200" width="5.7265625" customWidth="1"/>
    <col min="201" max="201" width="4.7265625" customWidth="1"/>
    <col min="202" max="203" width="5.7265625" customWidth="1"/>
    <col min="204" max="204" width="4.7265625" customWidth="1"/>
    <col min="205" max="206" width="5.7265625" customWidth="1"/>
    <col min="207" max="207" width="6.7265625" customWidth="1"/>
    <col min="208" max="208" width="4.7265625" customWidth="1"/>
    <col min="209" max="209" width="5.7265625" customWidth="1"/>
    <col min="210" max="210" width="6.7265625" customWidth="1"/>
    <col min="211" max="211" width="18.7265625" customWidth="1"/>
    <col min="212" max="212" width="5.7265625" customWidth="1"/>
    <col min="213" max="213" width="11.7265625" customWidth="1"/>
    <col min="214" max="215" width="5.7265625" customWidth="1"/>
    <col min="216" max="216" width="4.7265625" customWidth="1"/>
    <col min="217" max="217" width="5.7265625" customWidth="1"/>
    <col min="218" max="218" width="6.7265625" customWidth="1"/>
    <col min="219" max="219" width="5.7265625" customWidth="1"/>
    <col min="220" max="220" width="4.7265625" customWidth="1"/>
    <col min="221" max="222" width="5.7265625" customWidth="1"/>
    <col min="223" max="223" width="4.7265625" customWidth="1"/>
    <col min="224" max="225" width="5.7265625" customWidth="1"/>
    <col min="226" max="226" width="6.7265625" customWidth="1"/>
    <col min="227" max="227" width="4.7265625" customWidth="1"/>
    <col min="228" max="228" width="5.7265625" customWidth="1"/>
    <col min="229" max="229" width="6.7265625" customWidth="1"/>
    <col min="230" max="230" width="18.7265625" customWidth="1"/>
    <col min="231" max="231" width="5.7265625" customWidth="1"/>
    <col min="232" max="232" width="11.7265625" customWidth="1"/>
    <col min="233" max="234" width="5.7265625" customWidth="1"/>
    <col min="235" max="235" width="4.7265625" customWidth="1"/>
    <col min="236" max="236" width="5.7265625" customWidth="1"/>
    <col min="237" max="237" width="6.7265625" customWidth="1"/>
    <col min="238" max="238" width="5.7265625" customWidth="1"/>
    <col min="239" max="239" width="4.7265625" customWidth="1"/>
    <col min="240" max="241" width="5.7265625" customWidth="1"/>
    <col min="242" max="242" width="4.7265625" customWidth="1"/>
    <col min="243" max="244" width="5.7265625" customWidth="1"/>
    <col min="245" max="245" width="6.7265625" customWidth="1"/>
    <col min="246" max="246" width="4.7265625" customWidth="1"/>
    <col min="247" max="247" width="5.7265625" customWidth="1"/>
    <col min="248" max="248" width="6.7265625" customWidth="1"/>
    <col min="249" max="249" width="18.7265625" customWidth="1"/>
    <col min="250" max="250" width="5.7265625" customWidth="1"/>
    <col min="251" max="251" width="11.7265625" customWidth="1"/>
    <col min="252" max="253" width="5.7265625" customWidth="1"/>
    <col min="254" max="254" width="4.7265625" customWidth="1"/>
    <col min="255" max="255" width="5.7265625" customWidth="1"/>
    <col min="256" max="256" width="6.7265625" customWidth="1"/>
    <col min="257" max="257" width="5.7265625" customWidth="1"/>
    <col min="258" max="258" width="4.7265625" customWidth="1"/>
    <col min="259" max="260" width="5.7265625" customWidth="1"/>
    <col min="261" max="261" width="4.7265625" customWidth="1"/>
    <col min="262" max="263" width="5.7265625" customWidth="1"/>
    <col min="264" max="264" width="6.7265625" customWidth="1"/>
    <col min="265" max="265" width="4.7265625" customWidth="1"/>
    <col min="266" max="266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173</v>
      </c>
      <c r="C2" t="s">
        <v>42</v>
      </c>
      <c r="D2" t="s">
        <v>166</v>
      </c>
      <c r="E2" t="s">
        <v>298</v>
      </c>
      <c r="F2">
        <v>221</v>
      </c>
      <c r="G2">
        <v>1</v>
      </c>
      <c r="H2">
        <v>3</v>
      </c>
      <c r="I2">
        <v>3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8.8000000000000007</v>
      </c>
    </row>
    <row r="3" spans="1:19" x14ac:dyDescent="0.75">
      <c r="A3" t="s">
        <v>19</v>
      </c>
      <c r="B3" t="s">
        <v>266</v>
      </c>
      <c r="C3" t="s">
        <v>144</v>
      </c>
      <c r="D3" t="s">
        <v>299</v>
      </c>
      <c r="E3" t="s">
        <v>23</v>
      </c>
      <c r="F3">
        <v>0</v>
      </c>
      <c r="G3">
        <v>0</v>
      </c>
      <c r="H3">
        <v>0</v>
      </c>
      <c r="I3">
        <v>17</v>
      </c>
      <c r="J3">
        <v>45</v>
      </c>
      <c r="K3">
        <v>0</v>
      </c>
      <c r="L3">
        <v>4</v>
      </c>
      <c r="M3">
        <v>7</v>
      </c>
      <c r="N3">
        <v>0</v>
      </c>
      <c r="O3">
        <v>4</v>
      </c>
      <c r="P3">
        <v>0</v>
      </c>
      <c r="Q3">
        <v>0</v>
      </c>
      <c r="R3">
        <v>0</v>
      </c>
      <c r="S3">
        <v>7.2</v>
      </c>
    </row>
    <row r="4" spans="1:19" x14ac:dyDescent="0.75">
      <c r="A4" t="s">
        <v>24</v>
      </c>
      <c r="B4" t="s">
        <v>300</v>
      </c>
      <c r="C4" t="s">
        <v>84</v>
      </c>
      <c r="D4" t="s">
        <v>301</v>
      </c>
      <c r="E4" t="s">
        <v>23</v>
      </c>
      <c r="F4">
        <v>0</v>
      </c>
      <c r="G4">
        <v>0</v>
      </c>
      <c r="H4">
        <v>0</v>
      </c>
      <c r="I4">
        <v>11</v>
      </c>
      <c r="J4">
        <v>62</v>
      </c>
      <c r="K4">
        <v>0</v>
      </c>
      <c r="L4">
        <v>6</v>
      </c>
      <c r="M4">
        <v>68</v>
      </c>
      <c r="N4">
        <v>0</v>
      </c>
      <c r="O4">
        <v>8</v>
      </c>
      <c r="P4">
        <v>0</v>
      </c>
      <c r="Q4">
        <v>0</v>
      </c>
      <c r="R4">
        <v>0</v>
      </c>
      <c r="S4">
        <v>16</v>
      </c>
    </row>
    <row r="5" spans="1:19" x14ac:dyDescent="0.75">
      <c r="A5" t="s">
        <v>28</v>
      </c>
      <c r="B5" t="s">
        <v>45</v>
      </c>
      <c r="C5" t="s">
        <v>139</v>
      </c>
      <c r="D5" t="s">
        <v>302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</v>
      </c>
      <c r="M5">
        <v>25</v>
      </c>
      <c r="N5">
        <v>0</v>
      </c>
      <c r="O5">
        <v>5</v>
      </c>
      <c r="P5">
        <v>0</v>
      </c>
      <c r="Q5">
        <v>0</v>
      </c>
      <c r="R5">
        <v>0</v>
      </c>
      <c r="S5">
        <v>3.5</v>
      </c>
    </row>
    <row r="6" spans="1:19" x14ac:dyDescent="0.75">
      <c r="A6" t="s">
        <v>32</v>
      </c>
      <c r="B6" t="s">
        <v>181</v>
      </c>
      <c r="C6" t="s">
        <v>42</v>
      </c>
      <c r="D6" t="s">
        <v>166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5</v>
      </c>
      <c r="M6">
        <v>98</v>
      </c>
      <c r="N6">
        <v>0</v>
      </c>
      <c r="O6">
        <v>11</v>
      </c>
      <c r="P6">
        <v>0</v>
      </c>
      <c r="Q6">
        <v>0</v>
      </c>
      <c r="R6">
        <v>0</v>
      </c>
      <c r="S6">
        <v>12.3</v>
      </c>
    </row>
    <row r="7" spans="1:19" x14ac:dyDescent="0.75">
      <c r="A7" t="s">
        <v>36</v>
      </c>
      <c r="B7" t="s">
        <v>246</v>
      </c>
      <c r="C7" t="s">
        <v>77</v>
      </c>
      <c r="D7" t="s">
        <v>303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4</v>
      </c>
      <c r="M7">
        <v>50</v>
      </c>
      <c r="N7">
        <v>1</v>
      </c>
      <c r="O7">
        <v>6</v>
      </c>
      <c r="P7">
        <v>0</v>
      </c>
      <c r="Q7">
        <v>0</v>
      </c>
      <c r="R7">
        <v>0</v>
      </c>
      <c r="S7">
        <v>13</v>
      </c>
    </row>
    <row r="8" spans="1:19" x14ac:dyDescent="0.75">
      <c r="A8" t="s">
        <v>40</v>
      </c>
      <c r="B8" t="s">
        <v>235</v>
      </c>
      <c r="C8" t="s">
        <v>89</v>
      </c>
      <c r="D8" t="s">
        <v>304</v>
      </c>
      <c r="E8" t="s">
        <v>23</v>
      </c>
      <c r="F8">
        <v>0</v>
      </c>
      <c r="G8">
        <v>0</v>
      </c>
      <c r="H8">
        <v>0</v>
      </c>
      <c r="I8">
        <v>25</v>
      </c>
      <c r="J8">
        <v>114</v>
      </c>
      <c r="K8">
        <v>0</v>
      </c>
      <c r="L8">
        <v>5</v>
      </c>
      <c r="M8">
        <v>79</v>
      </c>
      <c r="N8">
        <v>0</v>
      </c>
      <c r="O8">
        <v>6</v>
      </c>
      <c r="P8">
        <v>0</v>
      </c>
      <c r="Q8">
        <v>0</v>
      </c>
      <c r="R8">
        <v>0</v>
      </c>
      <c r="S8">
        <v>21.8</v>
      </c>
    </row>
    <row r="9" spans="1:19" x14ac:dyDescent="0.75">
      <c r="A9" t="s">
        <v>44</v>
      </c>
      <c r="B9" t="s">
        <v>20</v>
      </c>
      <c r="C9" t="s">
        <v>195</v>
      </c>
      <c r="D9" t="s">
        <v>305</v>
      </c>
      <c r="E9" t="s">
        <v>23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75">
      <c r="A10" t="s">
        <v>49</v>
      </c>
      <c r="B10" t="s">
        <v>25</v>
      </c>
      <c r="C10" t="s">
        <v>159</v>
      </c>
      <c r="D10" t="s">
        <v>306</v>
      </c>
      <c r="E10" t="s">
        <v>23</v>
      </c>
      <c r="F10">
        <v>0</v>
      </c>
      <c r="G10">
        <v>0</v>
      </c>
      <c r="H10">
        <v>0</v>
      </c>
      <c r="I10">
        <v>19</v>
      </c>
      <c r="J10">
        <v>121</v>
      </c>
      <c r="K10">
        <v>0</v>
      </c>
      <c r="L10">
        <v>3</v>
      </c>
      <c r="M10">
        <v>10</v>
      </c>
      <c r="N10">
        <v>0</v>
      </c>
      <c r="O10">
        <v>3</v>
      </c>
      <c r="P10">
        <v>0</v>
      </c>
      <c r="Q10">
        <v>0</v>
      </c>
      <c r="R10">
        <v>0</v>
      </c>
      <c r="S10">
        <v>14.6</v>
      </c>
    </row>
    <row r="11" spans="1:19" x14ac:dyDescent="0.75">
      <c r="A11" t="s">
        <v>53</v>
      </c>
      <c r="B11" t="s">
        <v>118</v>
      </c>
      <c r="C11" t="s">
        <v>247</v>
      </c>
      <c r="D11" t="s">
        <v>307</v>
      </c>
      <c r="E11" t="s">
        <v>23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3</v>
      </c>
      <c r="M11">
        <v>78</v>
      </c>
      <c r="N11">
        <v>1</v>
      </c>
      <c r="O11">
        <v>6</v>
      </c>
      <c r="P11">
        <v>0</v>
      </c>
      <c r="Q11">
        <v>0</v>
      </c>
      <c r="R11">
        <v>0</v>
      </c>
      <c r="S11">
        <v>15.3</v>
      </c>
    </row>
    <row r="12" spans="1:19" x14ac:dyDescent="0.75">
      <c r="A12" t="s">
        <v>55</v>
      </c>
      <c r="B12" t="s">
        <v>150</v>
      </c>
      <c r="C12" t="s">
        <v>195</v>
      </c>
      <c r="D12" t="s">
        <v>305</v>
      </c>
      <c r="E12" t="s">
        <v>23</v>
      </c>
      <c r="F12">
        <v>0</v>
      </c>
      <c r="G12">
        <v>0</v>
      </c>
      <c r="H12">
        <v>0</v>
      </c>
      <c r="I12">
        <v>19</v>
      </c>
      <c r="J12">
        <v>62</v>
      </c>
      <c r="K12">
        <v>0</v>
      </c>
      <c r="L12">
        <v>3</v>
      </c>
      <c r="M12">
        <v>23</v>
      </c>
      <c r="N12">
        <v>0</v>
      </c>
      <c r="O12">
        <v>3</v>
      </c>
      <c r="P12">
        <v>0</v>
      </c>
      <c r="Q12">
        <v>0</v>
      </c>
      <c r="R12">
        <v>0</v>
      </c>
      <c r="S12">
        <v>10</v>
      </c>
    </row>
    <row r="13" spans="1:19" x14ac:dyDescent="0.75">
      <c r="A13" t="s">
        <v>57</v>
      </c>
      <c r="B13" t="s">
        <v>293</v>
      </c>
      <c r="C13" t="s">
        <v>139</v>
      </c>
      <c r="D13" t="s">
        <v>302</v>
      </c>
      <c r="E13" t="s">
        <v>308</v>
      </c>
      <c r="F13">
        <v>285</v>
      </c>
      <c r="G13">
        <v>2</v>
      </c>
      <c r="H13">
        <v>2</v>
      </c>
      <c r="I13">
        <v>2</v>
      </c>
      <c r="J13">
        <v>10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</v>
      </c>
      <c r="S13">
        <v>18.399999999999999</v>
      </c>
    </row>
    <row r="14" spans="1:19" x14ac:dyDescent="0.75">
      <c r="A14" t="s">
        <v>63</v>
      </c>
      <c r="B14" t="s">
        <v>279</v>
      </c>
      <c r="C14" t="s">
        <v>30</v>
      </c>
      <c r="D14" t="s">
        <v>309</v>
      </c>
      <c r="E14" t="s">
        <v>23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75">
      <c r="A15" t="s">
        <v>0</v>
      </c>
      <c r="B15" t="s">
        <v>1</v>
      </c>
      <c r="C15" t="s">
        <v>2</v>
      </c>
      <c r="D15" t="s">
        <v>3</v>
      </c>
      <c r="E15" t="s">
        <v>6</v>
      </c>
      <c r="F15" t="s">
        <v>7</v>
      </c>
      <c r="G15" t="s">
        <v>67</v>
      </c>
      <c r="H15" t="s">
        <v>68</v>
      </c>
      <c r="I15" t="s">
        <v>69</v>
      </c>
      <c r="J15" t="s">
        <v>70</v>
      </c>
      <c r="K15" t="s">
        <v>71</v>
      </c>
      <c r="L15" t="s">
        <v>13</v>
      </c>
    </row>
    <row r="16" spans="1:19" x14ac:dyDescent="0.75">
      <c r="A16" t="s">
        <v>72</v>
      </c>
      <c r="B16" t="s">
        <v>170</v>
      </c>
      <c r="C16" t="s">
        <v>142</v>
      </c>
      <c r="D16" t="s">
        <v>310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7</v>
      </c>
      <c r="L16">
        <v>6</v>
      </c>
    </row>
    <row r="17" spans="1:12" x14ac:dyDescent="0.75">
      <c r="A17" t="s">
        <v>61</v>
      </c>
      <c r="B17" t="s">
        <v>311</v>
      </c>
      <c r="C17" t="s">
        <v>51</v>
      </c>
      <c r="D17" t="s">
        <v>312</v>
      </c>
      <c r="E17">
        <v>0</v>
      </c>
      <c r="F17">
        <v>1</v>
      </c>
      <c r="G17">
        <v>1</v>
      </c>
      <c r="H17">
        <v>0</v>
      </c>
      <c r="I17">
        <v>0</v>
      </c>
      <c r="J17">
        <v>0</v>
      </c>
      <c r="K17">
        <v>13</v>
      </c>
      <c r="L17">
        <v>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  <col min="153" max="153" width="6.7265625" customWidth="1"/>
    <col min="154" max="154" width="18.7265625" customWidth="1"/>
    <col min="155" max="155" width="5.7265625" customWidth="1"/>
    <col min="156" max="156" width="11.7265625" customWidth="1"/>
    <col min="157" max="158" width="5.7265625" customWidth="1"/>
    <col min="159" max="159" width="4.7265625" customWidth="1"/>
    <col min="160" max="160" width="5.7265625" customWidth="1"/>
    <col min="161" max="161" width="6.7265625" customWidth="1"/>
    <col min="162" max="162" width="5.7265625" customWidth="1"/>
    <col min="163" max="163" width="4.7265625" customWidth="1"/>
    <col min="164" max="165" width="5.7265625" customWidth="1"/>
    <col min="166" max="166" width="4.7265625" customWidth="1"/>
    <col min="167" max="168" width="5.7265625" customWidth="1"/>
    <col min="169" max="169" width="6.7265625" customWidth="1"/>
    <col min="170" max="170" width="4.7265625" customWidth="1"/>
    <col min="171" max="171" width="5.7265625" customWidth="1"/>
    <col min="172" max="172" width="6.7265625" customWidth="1"/>
    <col min="173" max="173" width="18.7265625" customWidth="1"/>
    <col min="174" max="174" width="5.7265625" customWidth="1"/>
    <col min="175" max="175" width="11.7265625" customWidth="1"/>
    <col min="176" max="177" width="5.7265625" customWidth="1"/>
    <col min="178" max="178" width="4.7265625" customWidth="1"/>
    <col min="179" max="179" width="5.7265625" customWidth="1"/>
    <col min="180" max="180" width="6.7265625" customWidth="1"/>
    <col min="181" max="181" width="5.7265625" customWidth="1"/>
    <col min="182" max="182" width="4.7265625" customWidth="1"/>
    <col min="183" max="184" width="5.7265625" customWidth="1"/>
    <col min="185" max="185" width="4.7265625" customWidth="1"/>
    <col min="186" max="187" width="5.7265625" customWidth="1"/>
    <col min="188" max="188" width="6.7265625" customWidth="1"/>
    <col min="189" max="189" width="4.7265625" customWidth="1"/>
    <col min="190" max="190" width="5.7265625" customWidth="1"/>
    <col min="191" max="191" width="6.7265625" customWidth="1"/>
    <col min="192" max="192" width="18.7265625" customWidth="1"/>
    <col min="193" max="193" width="5.7265625" customWidth="1"/>
    <col min="194" max="194" width="11.7265625" customWidth="1"/>
    <col min="195" max="196" width="5.7265625" customWidth="1"/>
    <col min="197" max="197" width="4.7265625" customWidth="1"/>
    <col min="198" max="198" width="5.7265625" customWidth="1"/>
    <col min="199" max="199" width="6.7265625" customWidth="1"/>
    <col min="200" max="200" width="5.7265625" customWidth="1"/>
    <col min="201" max="201" width="4.7265625" customWidth="1"/>
    <col min="202" max="203" width="5.7265625" customWidth="1"/>
    <col min="204" max="204" width="4.7265625" customWidth="1"/>
    <col min="205" max="206" width="5.7265625" customWidth="1"/>
    <col min="207" max="207" width="6.7265625" customWidth="1"/>
    <col min="208" max="208" width="4.7265625" customWidth="1"/>
    <col min="209" max="209" width="5.7265625" customWidth="1"/>
    <col min="210" max="210" width="6.7265625" customWidth="1"/>
    <col min="211" max="211" width="18.7265625" customWidth="1"/>
    <col min="212" max="212" width="5.7265625" customWidth="1"/>
    <col min="213" max="213" width="11.7265625" customWidth="1"/>
    <col min="214" max="215" width="5.7265625" customWidth="1"/>
    <col min="216" max="216" width="4.7265625" customWidth="1"/>
    <col min="217" max="217" width="5.7265625" customWidth="1"/>
    <col min="218" max="218" width="6.7265625" customWidth="1"/>
    <col min="219" max="219" width="5.7265625" customWidth="1"/>
    <col min="220" max="220" width="4.7265625" customWidth="1"/>
    <col min="221" max="222" width="5.7265625" customWidth="1"/>
    <col min="223" max="223" width="4.7265625" customWidth="1"/>
    <col min="224" max="225" width="5.7265625" customWidth="1"/>
    <col min="226" max="226" width="6.7265625" customWidth="1"/>
    <col min="227" max="227" width="4.7265625" customWidth="1"/>
    <col min="228" max="228" width="5.7265625" customWidth="1"/>
    <col min="229" max="229" width="6.7265625" customWidth="1"/>
    <col min="230" max="230" width="18.7265625" customWidth="1"/>
    <col min="231" max="231" width="5.7265625" customWidth="1"/>
    <col min="232" max="232" width="11.7265625" customWidth="1"/>
    <col min="233" max="234" width="5.7265625" customWidth="1"/>
    <col min="235" max="235" width="4.7265625" customWidth="1"/>
    <col min="236" max="236" width="5.7265625" customWidth="1"/>
    <col min="237" max="237" width="6.7265625" customWidth="1"/>
    <col min="238" max="238" width="5.7265625" customWidth="1"/>
    <col min="239" max="239" width="4.7265625" customWidth="1"/>
    <col min="240" max="241" width="5.7265625" customWidth="1"/>
    <col min="242" max="242" width="4.7265625" customWidth="1"/>
    <col min="243" max="244" width="5.7265625" customWidth="1"/>
    <col min="245" max="245" width="6.7265625" customWidth="1"/>
    <col min="246" max="246" width="4.7265625" customWidth="1"/>
    <col min="247" max="247" width="5.7265625" customWidth="1"/>
    <col min="248" max="248" width="6.7265625" customWidth="1"/>
    <col min="249" max="249" width="18.7265625" customWidth="1"/>
    <col min="250" max="250" width="5.7265625" customWidth="1"/>
    <col min="251" max="251" width="11.7265625" customWidth="1"/>
    <col min="252" max="253" width="5.7265625" customWidth="1"/>
    <col min="254" max="254" width="4.7265625" customWidth="1"/>
    <col min="255" max="255" width="5.7265625" customWidth="1"/>
    <col min="256" max="256" width="6.7265625" customWidth="1"/>
    <col min="257" max="257" width="5.7265625" customWidth="1"/>
    <col min="258" max="258" width="4.7265625" customWidth="1"/>
    <col min="259" max="260" width="5.7265625" customWidth="1"/>
    <col min="261" max="261" width="4.7265625" customWidth="1"/>
    <col min="262" max="263" width="5.7265625" customWidth="1"/>
    <col min="264" max="264" width="6.7265625" customWidth="1"/>
    <col min="265" max="265" width="4.7265625" customWidth="1"/>
    <col min="266" max="266" width="5.7265625" customWidth="1"/>
    <col min="267" max="267" width="6.7265625" customWidth="1"/>
    <col min="268" max="268" width="18.7265625" customWidth="1"/>
    <col min="269" max="269" width="5.7265625" customWidth="1"/>
    <col min="270" max="270" width="11.7265625" customWidth="1"/>
    <col min="271" max="272" width="5.7265625" customWidth="1"/>
    <col min="273" max="273" width="4.7265625" customWidth="1"/>
    <col min="274" max="274" width="5.7265625" customWidth="1"/>
    <col min="275" max="275" width="6.7265625" customWidth="1"/>
    <col min="276" max="276" width="5.7265625" customWidth="1"/>
    <col min="277" max="277" width="4.7265625" customWidth="1"/>
    <col min="278" max="279" width="5.7265625" customWidth="1"/>
    <col min="280" max="280" width="4.7265625" customWidth="1"/>
    <col min="281" max="282" width="5.7265625" customWidth="1"/>
    <col min="283" max="283" width="6.7265625" customWidth="1"/>
    <col min="284" max="284" width="4.7265625" customWidth="1"/>
    <col min="285" max="285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279</v>
      </c>
      <c r="C2" t="s">
        <v>126</v>
      </c>
      <c r="D2" t="s">
        <v>313</v>
      </c>
      <c r="E2" t="s">
        <v>314</v>
      </c>
      <c r="F2">
        <v>290</v>
      </c>
      <c r="G2">
        <v>3</v>
      </c>
      <c r="H2">
        <v>3</v>
      </c>
      <c r="I2">
        <v>6</v>
      </c>
      <c r="J2">
        <v>43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27.9</v>
      </c>
    </row>
    <row r="3" spans="1:19" x14ac:dyDescent="0.75">
      <c r="A3" t="s">
        <v>19</v>
      </c>
      <c r="B3" t="s">
        <v>235</v>
      </c>
      <c r="C3" t="s">
        <v>51</v>
      </c>
      <c r="D3" t="s">
        <v>315</v>
      </c>
      <c r="E3" t="s">
        <v>23</v>
      </c>
      <c r="F3">
        <v>0</v>
      </c>
      <c r="G3">
        <v>0</v>
      </c>
      <c r="H3">
        <v>0</v>
      </c>
      <c r="I3">
        <v>16</v>
      </c>
      <c r="J3">
        <v>78</v>
      </c>
      <c r="K3">
        <v>1</v>
      </c>
      <c r="L3">
        <v>6</v>
      </c>
      <c r="M3">
        <v>35</v>
      </c>
      <c r="N3">
        <v>0</v>
      </c>
      <c r="O3">
        <v>11</v>
      </c>
      <c r="P3">
        <v>0</v>
      </c>
      <c r="Q3">
        <v>0</v>
      </c>
      <c r="R3">
        <v>0</v>
      </c>
      <c r="S3">
        <v>20.3</v>
      </c>
    </row>
    <row r="4" spans="1:19" x14ac:dyDescent="0.75">
      <c r="A4" t="s">
        <v>24</v>
      </c>
      <c r="B4" t="s">
        <v>266</v>
      </c>
      <c r="C4" t="s">
        <v>103</v>
      </c>
      <c r="D4" t="s">
        <v>316</v>
      </c>
      <c r="E4" t="s">
        <v>23</v>
      </c>
      <c r="F4">
        <v>0</v>
      </c>
      <c r="G4">
        <v>0</v>
      </c>
      <c r="H4">
        <v>0</v>
      </c>
      <c r="I4">
        <v>14</v>
      </c>
      <c r="J4">
        <v>37</v>
      </c>
      <c r="K4">
        <v>0</v>
      </c>
      <c r="L4">
        <v>2</v>
      </c>
      <c r="M4">
        <v>29</v>
      </c>
      <c r="N4">
        <v>0</v>
      </c>
      <c r="O4">
        <v>2</v>
      </c>
      <c r="P4">
        <v>0</v>
      </c>
      <c r="Q4">
        <v>0</v>
      </c>
      <c r="R4">
        <v>0</v>
      </c>
      <c r="S4">
        <v>7.6</v>
      </c>
    </row>
    <row r="5" spans="1:19" x14ac:dyDescent="0.75">
      <c r="A5" t="s">
        <v>28</v>
      </c>
      <c r="B5" t="s">
        <v>118</v>
      </c>
      <c r="C5" t="s">
        <v>137</v>
      </c>
      <c r="D5" t="s">
        <v>317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6</v>
      </c>
      <c r="N5">
        <v>0</v>
      </c>
      <c r="O5">
        <v>4</v>
      </c>
      <c r="P5">
        <v>0</v>
      </c>
      <c r="Q5">
        <v>0</v>
      </c>
      <c r="R5">
        <v>0</v>
      </c>
      <c r="S5">
        <v>1.1000000000000001</v>
      </c>
    </row>
    <row r="6" spans="1:19" x14ac:dyDescent="0.75">
      <c r="A6" t="s">
        <v>32</v>
      </c>
      <c r="B6" t="s">
        <v>181</v>
      </c>
      <c r="C6" t="s">
        <v>248</v>
      </c>
      <c r="D6" t="s">
        <v>60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3</v>
      </c>
      <c r="M6">
        <v>54</v>
      </c>
      <c r="N6">
        <v>0</v>
      </c>
      <c r="O6">
        <v>8</v>
      </c>
      <c r="P6">
        <v>0</v>
      </c>
      <c r="Q6">
        <v>0</v>
      </c>
      <c r="R6">
        <v>0</v>
      </c>
      <c r="S6">
        <v>6.9</v>
      </c>
    </row>
    <row r="7" spans="1:19" x14ac:dyDescent="0.75">
      <c r="A7" t="s">
        <v>36</v>
      </c>
      <c r="B7" t="s">
        <v>246</v>
      </c>
      <c r="C7" t="s">
        <v>87</v>
      </c>
      <c r="D7" t="s">
        <v>299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3</v>
      </c>
      <c r="M7">
        <v>28</v>
      </c>
      <c r="N7">
        <v>0</v>
      </c>
      <c r="O7">
        <v>3</v>
      </c>
      <c r="P7">
        <v>0</v>
      </c>
      <c r="Q7">
        <v>0</v>
      </c>
      <c r="R7">
        <v>0</v>
      </c>
      <c r="S7">
        <v>4.3</v>
      </c>
    </row>
    <row r="8" spans="1:19" x14ac:dyDescent="0.75">
      <c r="A8" t="s">
        <v>40</v>
      </c>
      <c r="B8" t="s">
        <v>150</v>
      </c>
      <c r="C8" t="s">
        <v>93</v>
      </c>
      <c r="D8" t="s">
        <v>166</v>
      </c>
      <c r="E8" t="s">
        <v>23</v>
      </c>
      <c r="F8">
        <v>0</v>
      </c>
      <c r="G8">
        <v>0</v>
      </c>
      <c r="H8">
        <v>0</v>
      </c>
      <c r="I8">
        <v>16</v>
      </c>
      <c r="J8">
        <v>61</v>
      </c>
      <c r="K8">
        <v>0</v>
      </c>
      <c r="L8">
        <v>2</v>
      </c>
      <c r="M8">
        <v>0</v>
      </c>
      <c r="N8">
        <v>0</v>
      </c>
      <c r="O8">
        <v>2</v>
      </c>
      <c r="P8">
        <v>0</v>
      </c>
      <c r="Q8">
        <v>0</v>
      </c>
      <c r="R8">
        <v>0</v>
      </c>
      <c r="S8">
        <v>7.1</v>
      </c>
    </row>
    <row r="9" spans="1:19" x14ac:dyDescent="0.75">
      <c r="A9" t="s">
        <v>44</v>
      </c>
      <c r="B9" t="s">
        <v>20</v>
      </c>
      <c r="C9" t="s">
        <v>93</v>
      </c>
      <c r="D9" t="s">
        <v>166</v>
      </c>
      <c r="E9" t="s">
        <v>23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75">
      <c r="A10" t="s">
        <v>49</v>
      </c>
      <c r="B10" t="s">
        <v>45</v>
      </c>
      <c r="C10" t="s">
        <v>206</v>
      </c>
      <c r="D10" t="s">
        <v>302</v>
      </c>
      <c r="E10" t="s">
        <v>23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5</v>
      </c>
      <c r="M10">
        <v>79</v>
      </c>
      <c r="N10">
        <v>1</v>
      </c>
      <c r="O10">
        <v>8</v>
      </c>
      <c r="P10">
        <v>0</v>
      </c>
      <c r="Q10">
        <v>0</v>
      </c>
      <c r="R10">
        <v>0</v>
      </c>
      <c r="S10">
        <v>16.399999999999999</v>
      </c>
    </row>
    <row r="11" spans="1:19" x14ac:dyDescent="0.75">
      <c r="A11" t="s">
        <v>53</v>
      </c>
      <c r="B11" t="s">
        <v>25</v>
      </c>
      <c r="C11" t="s">
        <v>318</v>
      </c>
      <c r="D11" t="s">
        <v>319</v>
      </c>
      <c r="E11" t="s">
        <v>23</v>
      </c>
      <c r="F11">
        <v>0</v>
      </c>
      <c r="G11">
        <v>0</v>
      </c>
      <c r="H11">
        <v>0</v>
      </c>
      <c r="I11">
        <v>5</v>
      </c>
      <c r="J11">
        <v>72</v>
      </c>
      <c r="K11">
        <v>0</v>
      </c>
      <c r="L11">
        <v>4</v>
      </c>
      <c r="M11">
        <v>-7</v>
      </c>
      <c r="N11">
        <v>0</v>
      </c>
      <c r="O11">
        <v>5</v>
      </c>
      <c r="P11">
        <v>0</v>
      </c>
      <c r="Q11">
        <v>0</v>
      </c>
      <c r="R11">
        <v>0</v>
      </c>
      <c r="S11">
        <v>8.5</v>
      </c>
    </row>
    <row r="12" spans="1:19" x14ac:dyDescent="0.75">
      <c r="A12" t="s">
        <v>55</v>
      </c>
      <c r="B12" t="s">
        <v>293</v>
      </c>
      <c r="C12" t="s">
        <v>206</v>
      </c>
      <c r="D12" t="s">
        <v>302</v>
      </c>
      <c r="E12" t="s">
        <v>320</v>
      </c>
      <c r="F12">
        <v>299</v>
      </c>
      <c r="G12">
        <v>3</v>
      </c>
      <c r="H12">
        <v>0</v>
      </c>
      <c r="I12">
        <v>3</v>
      </c>
      <c r="J12">
        <v>18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31.8</v>
      </c>
    </row>
    <row r="13" spans="1:19" x14ac:dyDescent="0.75">
      <c r="A13" t="s">
        <v>57</v>
      </c>
      <c r="B13" t="s">
        <v>321</v>
      </c>
      <c r="C13" t="s">
        <v>38</v>
      </c>
      <c r="D13" t="s">
        <v>322</v>
      </c>
      <c r="E13" t="s">
        <v>23</v>
      </c>
      <c r="F13">
        <v>0</v>
      </c>
      <c r="G13">
        <v>0</v>
      </c>
      <c r="H13">
        <v>0</v>
      </c>
      <c r="I13">
        <v>17</v>
      </c>
      <c r="J13">
        <v>61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6.1</v>
      </c>
    </row>
    <row r="14" spans="1:19" x14ac:dyDescent="0.75">
      <c r="A14" t="s">
        <v>61</v>
      </c>
      <c r="B14" t="s">
        <v>300</v>
      </c>
      <c r="C14" t="s">
        <v>116</v>
      </c>
      <c r="D14" t="s">
        <v>323</v>
      </c>
      <c r="E14" t="s">
        <v>23</v>
      </c>
      <c r="F14">
        <v>0</v>
      </c>
      <c r="G14">
        <v>0</v>
      </c>
      <c r="H14">
        <v>0</v>
      </c>
      <c r="I14">
        <v>14</v>
      </c>
      <c r="J14">
        <v>30</v>
      </c>
      <c r="K14">
        <v>1</v>
      </c>
      <c r="L14">
        <v>3</v>
      </c>
      <c r="M14">
        <v>13</v>
      </c>
      <c r="N14">
        <v>0</v>
      </c>
      <c r="O14">
        <v>5</v>
      </c>
      <c r="P14">
        <v>0</v>
      </c>
      <c r="Q14">
        <v>0</v>
      </c>
      <c r="R14">
        <v>0</v>
      </c>
      <c r="S14">
        <v>11.8</v>
      </c>
    </row>
    <row r="15" spans="1:19" x14ac:dyDescent="0.75">
      <c r="A15" t="s">
        <v>63</v>
      </c>
      <c r="B15" t="s">
        <v>238</v>
      </c>
      <c r="C15" t="s">
        <v>48</v>
      </c>
      <c r="D15" t="s">
        <v>48</v>
      </c>
      <c r="E15" t="s">
        <v>48</v>
      </c>
      <c r="F15" t="s">
        <v>48</v>
      </c>
      <c r="G15" t="s">
        <v>48</v>
      </c>
      <c r="H15" t="s">
        <v>48</v>
      </c>
      <c r="I15" t="s">
        <v>48</v>
      </c>
      <c r="J15" t="s">
        <v>48</v>
      </c>
      <c r="K15" t="s">
        <v>48</v>
      </c>
      <c r="L15" t="s">
        <v>48</v>
      </c>
      <c r="M15" t="s">
        <v>48</v>
      </c>
      <c r="N15" t="s">
        <v>48</v>
      </c>
      <c r="O15" t="s">
        <v>48</v>
      </c>
      <c r="P15" t="s">
        <v>48</v>
      </c>
      <c r="Q15" t="s">
        <v>48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170</v>
      </c>
      <c r="C17" t="s">
        <v>174</v>
      </c>
      <c r="D17" t="s">
        <v>324</v>
      </c>
      <c r="E17">
        <v>0</v>
      </c>
      <c r="F17">
        <v>3</v>
      </c>
      <c r="G17">
        <v>0</v>
      </c>
      <c r="H17">
        <v>3</v>
      </c>
      <c r="I17">
        <v>0</v>
      </c>
      <c r="J17">
        <v>0</v>
      </c>
      <c r="K17">
        <v>16</v>
      </c>
      <c r="L17">
        <v>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S17"/>
  <sheetViews>
    <sheetView workbookViewId="0"/>
  </sheetViews>
  <sheetFormatPr defaultRowHeight="14.75" x14ac:dyDescent="0.75"/>
  <cols>
    <col min="1" max="1" width="8.7265625" customWidth="1"/>
    <col min="2" max="2" width="36.7265625" customWidth="1"/>
    <col min="3" max="4" width="11.7265625" customWidth="1"/>
    <col min="5" max="5" width="7.7265625" customWidth="1"/>
    <col min="6" max="6" width="5.7265625" customWidth="1"/>
    <col min="7" max="7" width="4.7265625" customWidth="1"/>
    <col min="8" max="8" width="5.7265625" customWidth="1"/>
    <col min="9" max="9" width="6.7265625" customWidth="1"/>
    <col min="10" max="10" width="5.7265625" customWidth="1"/>
    <col min="11" max="11" width="4.7265625" customWidth="1"/>
    <col min="12" max="13" width="5.7265625" customWidth="1"/>
    <col min="14" max="14" width="4.7265625" customWidth="1"/>
    <col min="15" max="16" width="5.7265625" customWidth="1"/>
    <col min="17" max="17" width="6.7265625" customWidth="1"/>
    <col min="18" max="18" width="4.7265625" customWidth="1"/>
    <col min="19" max="20" width="6.7265625" customWidth="1"/>
    <col min="21" max="21" width="18.7265625" customWidth="1"/>
    <col min="22" max="22" width="5.7265625" customWidth="1"/>
    <col min="23" max="23" width="11.7265625" customWidth="1"/>
    <col min="24" max="25" width="5.7265625" customWidth="1"/>
    <col min="26" max="26" width="4.7265625" customWidth="1"/>
    <col min="27" max="27" width="5.7265625" customWidth="1"/>
    <col min="28" max="28" width="6.7265625" customWidth="1"/>
    <col min="29" max="29" width="5.7265625" customWidth="1"/>
    <col min="30" max="30" width="4.7265625" customWidth="1"/>
    <col min="31" max="32" width="5.7265625" customWidth="1"/>
    <col min="33" max="33" width="4.7265625" customWidth="1"/>
    <col min="34" max="35" width="5.7265625" customWidth="1"/>
    <col min="36" max="36" width="6.7265625" customWidth="1"/>
    <col min="37" max="37" width="4.7265625" customWidth="1"/>
    <col min="38" max="38" width="5.7265625" customWidth="1"/>
    <col min="39" max="39" width="6.7265625" customWidth="1"/>
    <col min="40" max="40" width="18.7265625" customWidth="1"/>
    <col min="41" max="41" width="5.7265625" customWidth="1"/>
    <col min="42" max="42" width="11.7265625" customWidth="1"/>
    <col min="43" max="44" width="5.7265625" customWidth="1"/>
    <col min="45" max="45" width="4.7265625" customWidth="1"/>
    <col min="46" max="46" width="5.7265625" customWidth="1"/>
    <col min="47" max="47" width="6.7265625" customWidth="1"/>
    <col min="48" max="48" width="5.7265625" customWidth="1"/>
    <col min="49" max="49" width="4.7265625" customWidth="1"/>
    <col min="50" max="51" width="5.7265625" customWidth="1"/>
    <col min="52" max="52" width="4.7265625" customWidth="1"/>
    <col min="53" max="54" width="5.7265625" customWidth="1"/>
    <col min="55" max="55" width="6.7265625" customWidth="1"/>
    <col min="56" max="56" width="4.7265625" customWidth="1"/>
    <col min="57" max="57" width="5.7265625" customWidth="1"/>
    <col min="58" max="58" width="6.7265625" customWidth="1"/>
    <col min="59" max="59" width="18.7265625" customWidth="1"/>
    <col min="60" max="60" width="5.7265625" customWidth="1"/>
    <col min="61" max="61" width="11.7265625" customWidth="1"/>
    <col min="62" max="63" width="5.7265625" customWidth="1"/>
    <col min="64" max="64" width="4.7265625" customWidth="1"/>
    <col min="65" max="65" width="5.7265625" customWidth="1"/>
    <col min="66" max="66" width="6.7265625" customWidth="1"/>
    <col min="67" max="67" width="5.7265625" customWidth="1"/>
    <col min="68" max="68" width="4.7265625" customWidth="1"/>
    <col min="69" max="70" width="5.7265625" customWidth="1"/>
    <col min="71" max="71" width="4.7265625" customWidth="1"/>
    <col min="72" max="73" width="5.7265625" customWidth="1"/>
    <col min="74" max="74" width="6.7265625" customWidth="1"/>
    <col min="75" max="75" width="4.7265625" customWidth="1"/>
    <col min="76" max="76" width="5.7265625" customWidth="1"/>
    <col min="77" max="77" width="6.7265625" customWidth="1"/>
    <col min="78" max="78" width="18.7265625" customWidth="1"/>
    <col min="79" max="79" width="5.7265625" customWidth="1"/>
    <col min="80" max="80" width="11.7265625" customWidth="1"/>
    <col min="81" max="82" width="5.7265625" customWidth="1"/>
    <col min="83" max="83" width="4.7265625" customWidth="1"/>
    <col min="84" max="84" width="5.7265625" customWidth="1"/>
    <col min="85" max="85" width="6.7265625" customWidth="1"/>
    <col min="86" max="86" width="5.7265625" customWidth="1"/>
    <col min="87" max="87" width="4.7265625" customWidth="1"/>
    <col min="88" max="89" width="5.7265625" customWidth="1"/>
    <col min="90" max="90" width="4.7265625" customWidth="1"/>
    <col min="91" max="92" width="5.7265625" customWidth="1"/>
    <col min="93" max="93" width="6.7265625" customWidth="1"/>
    <col min="94" max="94" width="4.7265625" customWidth="1"/>
    <col min="95" max="95" width="5.7265625" customWidth="1"/>
    <col min="96" max="96" width="6.7265625" customWidth="1"/>
    <col min="97" max="97" width="18.7265625" customWidth="1"/>
    <col min="98" max="98" width="5.7265625" customWidth="1"/>
    <col min="99" max="99" width="11.7265625" customWidth="1"/>
    <col min="100" max="101" width="5.7265625" customWidth="1"/>
    <col min="102" max="102" width="4.7265625" customWidth="1"/>
    <col min="103" max="103" width="5.7265625" customWidth="1"/>
    <col min="104" max="104" width="6.7265625" customWidth="1"/>
    <col min="105" max="105" width="5.7265625" customWidth="1"/>
    <col min="106" max="106" width="4.7265625" customWidth="1"/>
    <col min="107" max="108" width="5.7265625" customWidth="1"/>
    <col min="109" max="109" width="4.7265625" customWidth="1"/>
    <col min="110" max="111" width="5.7265625" customWidth="1"/>
    <col min="112" max="112" width="6.7265625" customWidth="1"/>
    <col min="113" max="113" width="4.7265625" customWidth="1"/>
    <col min="114" max="114" width="5.7265625" customWidth="1"/>
    <col min="115" max="115" width="6.7265625" customWidth="1"/>
    <col min="116" max="116" width="18.7265625" customWidth="1"/>
    <col min="117" max="117" width="5.7265625" customWidth="1"/>
    <col min="118" max="118" width="11.7265625" customWidth="1"/>
    <col min="119" max="120" width="5.7265625" customWidth="1"/>
    <col min="121" max="121" width="4.7265625" customWidth="1"/>
    <col min="122" max="122" width="5.7265625" customWidth="1"/>
    <col min="123" max="123" width="6.7265625" customWidth="1"/>
    <col min="124" max="124" width="5.7265625" customWidth="1"/>
    <col min="125" max="125" width="4.7265625" customWidth="1"/>
    <col min="126" max="127" width="5.7265625" customWidth="1"/>
    <col min="128" max="128" width="4.7265625" customWidth="1"/>
    <col min="129" max="130" width="5.7265625" customWidth="1"/>
    <col min="131" max="131" width="6.7265625" customWidth="1"/>
    <col min="132" max="132" width="4.7265625" customWidth="1"/>
    <col min="133" max="133" width="5.7265625" customWidth="1"/>
    <col min="134" max="134" width="6.7265625" customWidth="1"/>
    <col min="135" max="135" width="18.7265625" customWidth="1"/>
    <col min="136" max="136" width="5.7265625" customWidth="1"/>
    <col min="137" max="137" width="11.7265625" customWidth="1"/>
    <col min="138" max="139" width="5.7265625" customWidth="1"/>
    <col min="140" max="140" width="4.7265625" customWidth="1"/>
    <col min="141" max="141" width="5.7265625" customWidth="1"/>
    <col min="142" max="142" width="6.7265625" customWidth="1"/>
    <col min="143" max="143" width="5.7265625" customWidth="1"/>
    <col min="144" max="144" width="4.7265625" customWidth="1"/>
    <col min="145" max="146" width="5.7265625" customWidth="1"/>
    <col min="147" max="147" width="4.7265625" customWidth="1"/>
    <col min="148" max="149" width="5.7265625" customWidth="1"/>
    <col min="150" max="150" width="6.7265625" customWidth="1"/>
    <col min="151" max="151" width="4.7265625" customWidth="1"/>
    <col min="152" max="152" width="5.7265625" customWidth="1"/>
    <col min="153" max="153" width="6.7265625" customWidth="1"/>
    <col min="154" max="154" width="18.7265625" customWidth="1"/>
    <col min="155" max="155" width="5.7265625" customWidth="1"/>
    <col min="156" max="156" width="11.7265625" customWidth="1"/>
    <col min="157" max="158" width="5.7265625" customWidth="1"/>
    <col min="159" max="159" width="4.7265625" customWidth="1"/>
    <col min="160" max="160" width="5.7265625" customWidth="1"/>
    <col min="161" max="161" width="6.7265625" customWidth="1"/>
    <col min="162" max="162" width="5.7265625" customWidth="1"/>
    <col min="163" max="163" width="4.7265625" customWidth="1"/>
    <col min="164" max="165" width="5.7265625" customWidth="1"/>
    <col min="166" max="166" width="4.7265625" customWidth="1"/>
    <col min="167" max="168" width="5.7265625" customWidth="1"/>
    <col min="169" max="169" width="6.7265625" customWidth="1"/>
    <col min="170" max="170" width="4.7265625" customWidth="1"/>
    <col min="171" max="171" width="5.7265625" customWidth="1"/>
    <col min="172" max="172" width="6.7265625" customWidth="1"/>
    <col min="173" max="173" width="18.7265625" customWidth="1"/>
    <col min="174" max="174" width="5.7265625" customWidth="1"/>
    <col min="175" max="175" width="11.7265625" customWidth="1"/>
    <col min="176" max="177" width="5.7265625" customWidth="1"/>
    <col min="178" max="178" width="4.7265625" customWidth="1"/>
    <col min="179" max="179" width="5.7265625" customWidth="1"/>
    <col min="180" max="180" width="6.7265625" customWidth="1"/>
    <col min="181" max="181" width="5.7265625" customWidth="1"/>
    <col min="182" max="182" width="4.7265625" customWidth="1"/>
    <col min="183" max="184" width="5.7265625" customWidth="1"/>
    <col min="185" max="185" width="4.7265625" customWidth="1"/>
    <col min="186" max="187" width="5.7265625" customWidth="1"/>
    <col min="188" max="188" width="6.7265625" customWidth="1"/>
    <col min="189" max="189" width="4.7265625" customWidth="1"/>
    <col min="190" max="190" width="5.7265625" customWidth="1"/>
    <col min="191" max="191" width="6.7265625" customWidth="1"/>
    <col min="192" max="192" width="18.7265625" customWidth="1"/>
    <col min="193" max="193" width="5.7265625" customWidth="1"/>
    <col min="194" max="194" width="11.7265625" customWidth="1"/>
    <col min="195" max="196" width="5.7265625" customWidth="1"/>
    <col min="197" max="197" width="4.7265625" customWidth="1"/>
    <col min="198" max="198" width="5.7265625" customWidth="1"/>
    <col min="199" max="199" width="6.7265625" customWidth="1"/>
    <col min="200" max="200" width="5.7265625" customWidth="1"/>
    <col min="201" max="201" width="4.7265625" customWidth="1"/>
    <col min="202" max="203" width="5.7265625" customWidth="1"/>
    <col min="204" max="204" width="4.7265625" customWidth="1"/>
    <col min="205" max="206" width="5.7265625" customWidth="1"/>
    <col min="207" max="207" width="6.7265625" customWidth="1"/>
    <col min="208" max="208" width="4.7265625" customWidth="1"/>
    <col min="209" max="209" width="5.7265625" customWidth="1"/>
    <col min="210" max="210" width="6.7265625" customWidth="1"/>
    <col min="211" max="211" width="18.7265625" customWidth="1"/>
    <col min="212" max="212" width="5.7265625" customWidth="1"/>
    <col min="213" max="213" width="11.7265625" customWidth="1"/>
    <col min="214" max="215" width="5.7265625" customWidth="1"/>
    <col min="216" max="216" width="4.7265625" customWidth="1"/>
    <col min="217" max="217" width="5.7265625" customWidth="1"/>
    <col min="218" max="218" width="6.7265625" customWidth="1"/>
    <col min="219" max="219" width="5.7265625" customWidth="1"/>
    <col min="220" max="220" width="4.7265625" customWidth="1"/>
    <col min="221" max="222" width="5.7265625" customWidth="1"/>
    <col min="223" max="223" width="4.7265625" customWidth="1"/>
    <col min="224" max="225" width="5.7265625" customWidth="1"/>
    <col min="226" max="226" width="6.7265625" customWidth="1"/>
    <col min="227" max="227" width="4.7265625" customWidth="1"/>
    <col min="228" max="228" width="5.7265625" customWidth="1"/>
    <col min="229" max="229" width="6.7265625" customWidth="1"/>
    <col min="230" max="230" width="18.7265625" customWidth="1"/>
    <col min="231" max="231" width="5.7265625" customWidth="1"/>
    <col min="232" max="232" width="11.7265625" customWidth="1"/>
    <col min="233" max="234" width="5.7265625" customWidth="1"/>
    <col min="235" max="235" width="4.7265625" customWidth="1"/>
    <col min="236" max="236" width="5.7265625" customWidth="1"/>
    <col min="237" max="237" width="6.7265625" customWidth="1"/>
    <col min="238" max="238" width="5.7265625" customWidth="1"/>
    <col min="239" max="239" width="4.7265625" customWidth="1"/>
    <col min="240" max="241" width="5.7265625" customWidth="1"/>
    <col min="242" max="242" width="4.7265625" customWidth="1"/>
    <col min="243" max="244" width="5.7265625" customWidth="1"/>
    <col min="245" max="245" width="6.7265625" customWidth="1"/>
    <col min="246" max="246" width="4.7265625" customWidth="1"/>
    <col min="247" max="247" width="5.7265625" customWidth="1"/>
    <col min="248" max="248" width="6.7265625" customWidth="1"/>
    <col min="249" max="249" width="18.7265625" customWidth="1"/>
    <col min="250" max="250" width="5.7265625" customWidth="1"/>
    <col min="251" max="251" width="11.7265625" customWidth="1"/>
    <col min="252" max="253" width="5.7265625" customWidth="1"/>
    <col min="254" max="254" width="4.7265625" customWidth="1"/>
    <col min="255" max="255" width="5.7265625" customWidth="1"/>
    <col min="256" max="256" width="6.7265625" customWidth="1"/>
    <col min="257" max="257" width="5.7265625" customWidth="1"/>
    <col min="258" max="258" width="4.7265625" customWidth="1"/>
    <col min="259" max="260" width="5.7265625" customWidth="1"/>
    <col min="261" max="261" width="4.7265625" customWidth="1"/>
    <col min="262" max="263" width="5.7265625" customWidth="1"/>
    <col min="264" max="264" width="6.7265625" customWidth="1"/>
    <col min="265" max="265" width="4.7265625" customWidth="1"/>
    <col min="266" max="266" width="5.7265625" customWidth="1"/>
    <col min="267" max="267" width="6.7265625" customWidth="1"/>
    <col min="268" max="268" width="18.7265625" customWidth="1"/>
    <col min="269" max="269" width="5.7265625" customWidth="1"/>
    <col min="270" max="270" width="11.7265625" customWidth="1"/>
    <col min="271" max="272" width="5.7265625" customWidth="1"/>
    <col min="273" max="273" width="4.7265625" customWidth="1"/>
    <col min="274" max="274" width="5.7265625" customWidth="1"/>
    <col min="275" max="275" width="6.7265625" customWidth="1"/>
    <col min="276" max="276" width="5.7265625" customWidth="1"/>
    <col min="277" max="277" width="4.7265625" customWidth="1"/>
    <col min="278" max="279" width="5.7265625" customWidth="1"/>
    <col min="280" max="280" width="4.7265625" customWidth="1"/>
    <col min="281" max="282" width="5.7265625" customWidth="1"/>
    <col min="283" max="283" width="6.7265625" customWidth="1"/>
    <col min="284" max="284" width="4.7265625" customWidth="1"/>
    <col min="285" max="285" width="5.7265625" customWidth="1"/>
    <col min="286" max="286" width="6.7265625" customWidth="1"/>
    <col min="287" max="287" width="18.7265625" customWidth="1"/>
    <col min="288" max="288" width="5.7265625" customWidth="1"/>
    <col min="289" max="289" width="11.7265625" customWidth="1"/>
    <col min="290" max="291" width="5.7265625" customWidth="1"/>
    <col min="292" max="292" width="4.7265625" customWidth="1"/>
    <col min="293" max="293" width="5.7265625" customWidth="1"/>
    <col min="294" max="294" width="6.7265625" customWidth="1"/>
    <col min="295" max="295" width="5.7265625" customWidth="1"/>
    <col min="296" max="296" width="4.7265625" customWidth="1"/>
    <col min="297" max="298" width="5.7265625" customWidth="1"/>
    <col min="299" max="299" width="4.7265625" customWidth="1"/>
    <col min="300" max="301" width="5.7265625" customWidth="1"/>
    <col min="302" max="302" width="6.7265625" customWidth="1"/>
    <col min="303" max="303" width="4.7265625" customWidth="1"/>
    <col min="304" max="304" width="5.7265625" customWidth="1"/>
  </cols>
  <sheetData>
    <row r="1" spans="1:1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5</v>
      </c>
      <c r="K1" t="s">
        <v>6</v>
      </c>
      <c r="L1" t="s">
        <v>9</v>
      </c>
      <c r="M1" t="s">
        <v>5</v>
      </c>
      <c r="N1" t="s">
        <v>6</v>
      </c>
      <c r="O1" t="s">
        <v>10</v>
      </c>
      <c r="P1" t="s">
        <v>11</v>
      </c>
      <c r="Q1" t="s">
        <v>12</v>
      </c>
      <c r="R1" t="s">
        <v>6</v>
      </c>
      <c r="S1" t="s">
        <v>13</v>
      </c>
    </row>
    <row r="2" spans="1:19" x14ac:dyDescent="0.75">
      <c r="A2" t="s">
        <v>14</v>
      </c>
      <c r="B2" t="s">
        <v>293</v>
      </c>
      <c r="C2" t="s">
        <v>126</v>
      </c>
      <c r="D2" t="s">
        <v>325</v>
      </c>
      <c r="E2" t="s">
        <v>326</v>
      </c>
      <c r="F2">
        <v>367</v>
      </c>
      <c r="G2">
        <v>1</v>
      </c>
      <c r="H2">
        <v>0</v>
      </c>
      <c r="I2">
        <v>3</v>
      </c>
      <c r="J2">
        <v>6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3</v>
      </c>
      <c r="R2">
        <v>0</v>
      </c>
      <c r="S2">
        <v>15.3</v>
      </c>
    </row>
    <row r="3" spans="1:19" x14ac:dyDescent="0.75">
      <c r="A3" t="s">
        <v>19</v>
      </c>
      <c r="B3" t="s">
        <v>20</v>
      </c>
      <c r="C3" t="s">
        <v>202</v>
      </c>
      <c r="D3" t="s">
        <v>52</v>
      </c>
      <c r="E3" t="s">
        <v>23</v>
      </c>
      <c r="F3">
        <v>0</v>
      </c>
      <c r="G3">
        <v>0</v>
      </c>
      <c r="H3">
        <v>0</v>
      </c>
      <c r="I3">
        <v>24</v>
      </c>
      <c r="J3">
        <v>97</v>
      </c>
      <c r="K3">
        <v>0</v>
      </c>
      <c r="L3">
        <v>4</v>
      </c>
      <c r="M3">
        <v>21</v>
      </c>
      <c r="N3">
        <v>0</v>
      </c>
      <c r="O3">
        <v>7</v>
      </c>
      <c r="P3">
        <v>0</v>
      </c>
      <c r="Q3">
        <v>0</v>
      </c>
      <c r="R3">
        <v>0</v>
      </c>
      <c r="S3">
        <v>13.8</v>
      </c>
    </row>
    <row r="4" spans="1:19" x14ac:dyDescent="0.75">
      <c r="A4" t="s">
        <v>24</v>
      </c>
      <c r="B4" t="s">
        <v>235</v>
      </c>
      <c r="C4" t="s">
        <v>87</v>
      </c>
      <c r="D4" t="s">
        <v>327</v>
      </c>
      <c r="E4" t="s">
        <v>23</v>
      </c>
      <c r="F4">
        <v>0</v>
      </c>
      <c r="G4">
        <v>0</v>
      </c>
      <c r="H4">
        <v>0</v>
      </c>
      <c r="I4">
        <v>13</v>
      </c>
      <c r="J4">
        <v>57</v>
      </c>
      <c r="K4">
        <v>0</v>
      </c>
      <c r="L4">
        <v>0</v>
      </c>
      <c r="M4">
        <v>0</v>
      </c>
      <c r="N4">
        <v>0</v>
      </c>
      <c r="O4">
        <v>3</v>
      </c>
      <c r="P4">
        <v>0</v>
      </c>
      <c r="Q4">
        <v>0</v>
      </c>
      <c r="R4">
        <v>0</v>
      </c>
      <c r="S4">
        <v>5.7</v>
      </c>
    </row>
    <row r="5" spans="1:19" x14ac:dyDescent="0.75">
      <c r="A5" t="s">
        <v>28</v>
      </c>
      <c r="B5" t="s">
        <v>118</v>
      </c>
      <c r="C5" t="s">
        <v>285</v>
      </c>
      <c r="D5" t="s">
        <v>328</v>
      </c>
      <c r="E5" t="s">
        <v>23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4</v>
      </c>
      <c r="M5">
        <v>35</v>
      </c>
      <c r="N5">
        <v>1</v>
      </c>
      <c r="O5">
        <v>6</v>
      </c>
      <c r="P5">
        <v>0</v>
      </c>
      <c r="Q5">
        <v>0</v>
      </c>
      <c r="R5">
        <v>0</v>
      </c>
      <c r="S5">
        <v>11.5</v>
      </c>
    </row>
    <row r="6" spans="1:19" x14ac:dyDescent="0.75">
      <c r="A6" t="s">
        <v>32</v>
      </c>
      <c r="B6" t="s">
        <v>181</v>
      </c>
      <c r="C6" t="s">
        <v>230</v>
      </c>
      <c r="D6" t="s">
        <v>329</v>
      </c>
      <c r="E6" t="s">
        <v>23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7</v>
      </c>
      <c r="M6">
        <v>149</v>
      </c>
      <c r="N6">
        <v>0</v>
      </c>
      <c r="O6">
        <v>12</v>
      </c>
      <c r="P6">
        <v>0</v>
      </c>
      <c r="Q6">
        <v>0</v>
      </c>
      <c r="R6">
        <v>0</v>
      </c>
      <c r="S6">
        <v>18.399999999999999</v>
      </c>
    </row>
    <row r="7" spans="1:19" x14ac:dyDescent="0.75">
      <c r="A7" t="s">
        <v>36</v>
      </c>
      <c r="B7" t="s">
        <v>330</v>
      </c>
      <c r="C7" t="s">
        <v>109</v>
      </c>
      <c r="D7" t="s">
        <v>331</v>
      </c>
      <c r="E7" t="s">
        <v>23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6</v>
      </c>
      <c r="M7">
        <v>81</v>
      </c>
      <c r="N7">
        <v>1</v>
      </c>
      <c r="O7">
        <v>8</v>
      </c>
      <c r="P7">
        <v>0</v>
      </c>
      <c r="Q7">
        <v>0</v>
      </c>
      <c r="R7">
        <v>0</v>
      </c>
      <c r="S7">
        <v>17.100000000000001</v>
      </c>
    </row>
    <row r="8" spans="1:19" x14ac:dyDescent="0.75">
      <c r="A8" t="s">
        <v>40</v>
      </c>
      <c r="B8" t="s">
        <v>45</v>
      </c>
      <c r="C8" t="s">
        <v>126</v>
      </c>
      <c r="D8" t="s">
        <v>325</v>
      </c>
      <c r="E8" t="s">
        <v>23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6</v>
      </c>
      <c r="M8">
        <v>107</v>
      </c>
      <c r="N8">
        <v>0</v>
      </c>
      <c r="O8">
        <v>8</v>
      </c>
      <c r="P8">
        <v>0</v>
      </c>
      <c r="Q8">
        <v>0</v>
      </c>
      <c r="R8">
        <v>0</v>
      </c>
      <c r="S8">
        <v>13.7</v>
      </c>
    </row>
    <row r="9" spans="1:19" x14ac:dyDescent="0.75">
      <c r="A9" t="s">
        <v>44</v>
      </c>
      <c r="B9" t="s">
        <v>25</v>
      </c>
      <c r="C9" t="s">
        <v>165</v>
      </c>
      <c r="D9" t="s">
        <v>332</v>
      </c>
      <c r="E9" t="s">
        <v>23</v>
      </c>
      <c r="F9">
        <v>0</v>
      </c>
      <c r="G9">
        <v>0</v>
      </c>
      <c r="H9">
        <v>0</v>
      </c>
      <c r="I9">
        <v>12</v>
      </c>
      <c r="J9">
        <v>44</v>
      </c>
      <c r="K9">
        <v>0</v>
      </c>
      <c r="L9">
        <v>1</v>
      </c>
      <c r="M9">
        <v>-1</v>
      </c>
      <c r="N9">
        <v>0</v>
      </c>
      <c r="O9">
        <v>4</v>
      </c>
      <c r="P9">
        <v>0</v>
      </c>
      <c r="Q9">
        <v>0</v>
      </c>
      <c r="R9">
        <v>0</v>
      </c>
      <c r="S9">
        <v>4.8</v>
      </c>
    </row>
    <row r="10" spans="1:19" x14ac:dyDescent="0.75">
      <c r="A10" t="s">
        <v>49</v>
      </c>
      <c r="B10" t="s">
        <v>150</v>
      </c>
      <c r="C10" t="s">
        <v>202</v>
      </c>
      <c r="D10" t="s">
        <v>52</v>
      </c>
      <c r="E10" t="s">
        <v>23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75">
      <c r="A11" t="s">
        <v>53</v>
      </c>
      <c r="B11" t="s">
        <v>266</v>
      </c>
      <c r="C11" t="s">
        <v>283</v>
      </c>
      <c r="D11" t="s">
        <v>333</v>
      </c>
      <c r="E11" t="s">
        <v>23</v>
      </c>
      <c r="F11">
        <v>0</v>
      </c>
      <c r="G11">
        <v>0</v>
      </c>
      <c r="H11">
        <v>0</v>
      </c>
      <c r="I11">
        <v>17</v>
      </c>
      <c r="J11">
        <v>53</v>
      </c>
      <c r="K11">
        <v>0</v>
      </c>
      <c r="L11">
        <v>3</v>
      </c>
      <c r="M11">
        <v>21</v>
      </c>
      <c r="N11">
        <v>0</v>
      </c>
      <c r="O11">
        <v>3</v>
      </c>
      <c r="P11">
        <v>0</v>
      </c>
      <c r="Q11">
        <v>1</v>
      </c>
      <c r="R11">
        <v>0</v>
      </c>
      <c r="S11">
        <v>6.9</v>
      </c>
    </row>
    <row r="12" spans="1:19" x14ac:dyDescent="0.75">
      <c r="A12" t="s">
        <v>55</v>
      </c>
      <c r="B12" t="s">
        <v>279</v>
      </c>
      <c r="C12" t="s">
        <v>85</v>
      </c>
      <c r="D12" t="s">
        <v>334</v>
      </c>
      <c r="E12" t="s">
        <v>23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75">
      <c r="A13" t="s">
        <v>57</v>
      </c>
      <c r="B13" t="s">
        <v>321</v>
      </c>
      <c r="C13" t="s">
        <v>21</v>
      </c>
      <c r="D13" t="s">
        <v>335</v>
      </c>
      <c r="E13" t="s">
        <v>23</v>
      </c>
      <c r="F13">
        <v>0</v>
      </c>
      <c r="G13">
        <v>0</v>
      </c>
      <c r="H13">
        <v>0</v>
      </c>
      <c r="I13">
        <v>16</v>
      </c>
      <c r="J13">
        <v>51</v>
      </c>
      <c r="K13">
        <v>0</v>
      </c>
      <c r="L13">
        <v>2</v>
      </c>
      <c r="M13">
        <v>14</v>
      </c>
      <c r="N13">
        <v>0</v>
      </c>
      <c r="O13">
        <v>3</v>
      </c>
      <c r="P13">
        <v>0</v>
      </c>
      <c r="Q13">
        <v>0</v>
      </c>
      <c r="R13">
        <v>0</v>
      </c>
      <c r="S13">
        <v>7.5</v>
      </c>
    </row>
    <row r="14" spans="1:19" x14ac:dyDescent="0.75">
      <c r="A14" t="s">
        <v>61</v>
      </c>
      <c r="B14" t="s">
        <v>300</v>
      </c>
      <c r="C14" t="s">
        <v>139</v>
      </c>
      <c r="D14" t="s">
        <v>336</v>
      </c>
      <c r="E14" t="s">
        <v>23</v>
      </c>
      <c r="F14">
        <v>0</v>
      </c>
      <c r="G14">
        <v>0</v>
      </c>
      <c r="H14">
        <v>0</v>
      </c>
      <c r="I14">
        <v>23</v>
      </c>
      <c r="J14">
        <v>116</v>
      </c>
      <c r="K14">
        <v>1</v>
      </c>
      <c r="L14">
        <v>7</v>
      </c>
      <c r="M14">
        <v>52</v>
      </c>
      <c r="N14">
        <v>0</v>
      </c>
      <c r="O14">
        <v>7</v>
      </c>
      <c r="P14">
        <v>0</v>
      </c>
      <c r="Q14">
        <v>0</v>
      </c>
      <c r="R14">
        <v>0</v>
      </c>
      <c r="S14">
        <v>26.3</v>
      </c>
    </row>
    <row r="15" spans="1:19" x14ac:dyDescent="0.75">
      <c r="A15" t="s">
        <v>63</v>
      </c>
      <c r="B15" t="s">
        <v>238</v>
      </c>
      <c r="C15" t="s">
        <v>48</v>
      </c>
      <c r="D15" t="s">
        <v>48</v>
      </c>
      <c r="E15" t="s">
        <v>48</v>
      </c>
      <c r="F15" t="s">
        <v>48</v>
      </c>
      <c r="G15" t="s">
        <v>48</v>
      </c>
      <c r="H15" t="s">
        <v>48</v>
      </c>
      <c r="I15" t="s">
        <v>48</v>
      </c>
      <c r="J15" t="s">
        <v>48</v>
      </c>
      <c r="K15" t="s">
        <v>48</v>
      </c>
      <c r="L15" t="s">
        <v>48</v>
      </c>
      <c r="M15" t="s">
        <v>48</v>
      </c>
      <c r="N15" t="s">
        <v>48</v>
      </c>
      <c r="O15" t="s">
        <v>48</v>
      </c>
      <c r="P15" t="s">
        <v>48</v>
      </c>
      <c r="Q15" t="s">
        <v>48</v>
      </c>
    </row>
    <row r="16" spans="1:19" x14ac:dyDescent="0.75">
      <c r="A16" t="s">
        <v>0</v>
      </c>
      <c r="B16" t="s">
        <v>1</v>
      </c>
      <c r="C16" t="s">
        <v>2</v>
      </c>
      <c r="D16" t="s">
        <v>3</v>
      </c>
      <c r="E16" t="s">
        <v>6</v>
      </c>
      <c r="F16" t="s">
        <v>7</v>
      </c>
      <c r="G16" t="s">
        <v>67</v>
      </c>
      <c r="H16" t="s">
        <v>68</v>
      </c>
      <c r="I16" t="s">
        <v>69</v>
      </c>
      <c r="J16" t="s">
        <v>70</v>
      </c>
      <c r="K16" t="s">
        <v>71</v>
      </c>
      <c r="L16" t="s">
        <v>13</v>
      </c>
    </row>
    <row r="17" spans="1:12" x14ac:dyDescent="0.75">
      <c r="A17" t="s">
        <v>72</v>
      </c>
      <c r="B17" t="s">
        <v>296</v>
      </c>
      <c r="C17" t="s">
        <v>100</v>
      </c>
      <c r="D17" t="s">
        <v>337</v>
      </c>
      <c r="E17">
        <v>0</v>
      </c>
      <c r="F17">
        <v>2</v>
      </c>
      <c r="G17">
        <v>1</v>
      </c>
      <c r="H17">
        <v>1</v>
      </c>
      <c r="I17">
        <v>0</v>
      </c>
      <c r="J17">
        <v>0</v>
      </c>
      <c r="K17">
        <v>3</v>
      </c>
      <c r="L17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Stats</vt:lpstr>
      <vt:lpstr>Summary</vt:lpstr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2018-02-14T02:11:49Z</dcterms:created>
  <dcterms:modified xsi:type="dcterms:W3CDTF">2018-02-17T03:44:16Z</dcterms:modified>
</cp:coreProperties>
</file>